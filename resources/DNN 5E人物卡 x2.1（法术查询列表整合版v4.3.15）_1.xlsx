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tabRatio="773" activeTab="1"/>
  </bookViews>
  <sheets>
    <sheet name="背景" sheetId="6" r:id="rId1"/>
    <sheet name="主要" sheetId="2" r:id="rId2"/>
    <sheet name="法术书目录" sheetId="10" state="hidden" r:id="rId3"/>
    <sheet name="背包" sheetId="3" r:id="rId4"/>
    <sheet name="法术书I" sheetId="8" r:id="rId5"/>
    <sheet name="法术书II" sheetId="14" r:id="rId6"/>
    <sheet name="法术书III" sheetId="15" r:id="rId7"/>
    <sheet name="查询" sheetId="9" r:id="rId8"/>
    <sheet name="法术" sheetId="4" r:id="rId9"/>
    <sheet name="种族查询" sheetId="13" r:id="rId10"/>
    <sheet name="装备物品" sheetId="16" state="hidden" r:id="rId11"/>
    <sheet name="列表" sheetId="11" state="hidden" r:id="rId12"/>
    <sheet name="法师" sheetId="12" state="hidden" r:id="rId13"/>
    <sheet name="盟友" sheetId="5" state="hidden" r:id="rId14"/>
    <sheet name="DB" sheetId="7" state="hidden" r:id="rId15"/>
  </sheets>
  <definedNames>
    <definedName name="_xlnm._FilterDatabase" localSheetId="11" hidden="1">列表!$A$2:$R$557</definedName>
    <definedName name="_xlnm._FilterDatabase" localSheetId="12" hidden="1">法师!$A$1:$D$1</definedName>
    <definedName name="人类">法术书目录!$AM$42</definedName>
    <definedName name="阿斯莫">法术书目录!$AM$43:$AO$43</definedName>
    <definedName name="精灵">法术书目录!$AM$44:$AW$44</definedName>
    <definedName name="半身人">法术书目录!$AM$45:$AO$45</definedName>
    <definedName name="矮人">法术书目录!$AM$46:$AO$46</definedName>
    <definedName name="龙裔">法术书目录!$AM$47:$AV$47</definedName>
    <definedName name="侏儒">法术书目录!$AM$48:$AO$48</definedName>
    <definedName name="提夫林">法术书目录!$AM$51:$AW$51</definedName>
    <definedName name="元素裔">法术书目录!$AM$53:$AP$53</definedName>
    <definedName name="地精">法术书目录!$AM$60:$AN$60</definedName>
    <definedName name="吉斯人">法术书目录!$AM$64:$AN$64</definedName>
    <definedName name="化兽者">法术书目录!$AM$72:$AP$72</definedName>
    <definedName name="战俑">法术书目录!$AM$73:$AO$73</definedName>
    <definedName name="半精灵">法术书目录!$AM$49:$AQ$49</definedName>
    <definedName name="析米克杂种">法术书目录!$AM$68:$AR$68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Null</author>
    <author>Administrator</author>
  </authors>
  <commentList>
    <comment ref="B7" authorId="0">
      <text>
        <r>
          <rPr>
            <sz val="9"/>
            <rFont val="微软雅黑"/>
            <charset val="134"/>
          </rPr>
          <t>亚种
变体
分支</t>
        </r>
      </text>
    </comment>
    <comment ref="C11"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3"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V13" authorId="1">
      <text>
        <r>
          <rPr>
            <sz val="9"/>
            <rFont val="微软雅黑"/>
            <charset val="134"/>
          </rPr>
          <t>生命骰的总数等于角色的等级
每一粒生命骰的结果加上角色的体质调整值，即为该粒生命骰恢复的生命值（总数至少为0）。
每掷完一粒生命骰，都可以选择是否花费更多生命骰来恢复生命。
一个角色已花费的生命骰，可以通过完成一次长休来恢复。</t>
        </r>
      </text>
    </comment>
    <comment ref="C15"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V16" authorId="2">
      <text>
        <r>
          <rPr>
            <sz val="9"/>
            <rFont val="微软雅黑"/>
            <charset val="134"/>
          </rPr>
          <t>【特殊能力】
可用来记录职业能力
如狂暴、气、引导神力等...</t>
        </r>
      </text>
    </comment>
    <comment ref="C17"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9"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21"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V21" authorId="1">
      <text>
        <r>
          <rPr>
            <sz val="9"/>
            <rFont val="微软雅黑"/>
            <charset val="134"/>
          </rPr>
          <t>受该类型伤害时数值减半
抗性先作用于易伤，而两者皆在伤害加上所有适用的调整值后再作应用</t>
        </r>
      </text>
    </comment>
    <comment ref="C26" authorId="0">
      <text>
        <r>
          <rPr>
            <sz val="9"/>
            <rFont val="微软雅黑"/>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28" authorId="0">
      <text>
        <r>
          <rPr>
            <sz val="9"/>
            <rFont val="微软雅黑"/>
            <charset val="134"/>
          </rPr>
          <t>敏捷（体操）检定涵盖了在冰块上奔跑，在绳索上平衡，在摇曳甲板上站稳等需要保持平衡的情况。
也可用敏捷（体操）检定来判定你能否完成体操特技，如前翻、侧翻、空翻、后翻等。</t>
        </r>
      </text>
    </comment>
    <comment ref="C29" authorId="0">
      <text>
        <r>
          <rPr>
            <sz val="9"/>
            <rFont val="微软雅黑"/>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0" authorId="0">
      <text>
        <r>
          <rPr>
            <sz val="9"/>
            <rFont val="微软雅黑"/>
            <charset val="134"/>
          </rPr>
          <t>你尝试躲起避过敌人，躲过守卫，偷偷溜走，无声息地绕到某人背后时，进行一次敏捷（隐匿）检定。</t>
        </r>
      </text>
    </comment>
    <comment ref="I30" authorId="0">
      <text>
        <r>
          <rPr>
            <sz val="9"/>
            <rFont val="微软雅黑"/>
            <charset val="134"/>
          </rPr>
          <t xml:space="preserve">躲藏
    DM可以决定情况是否允许进行躲藏。
当你尝试躲藏时，可以进行一个敏捷（隐匿）检定。
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
生物具有优势时，其分值加5，劣势则减5。
</t>
        </r>
      </text>
    </comment>
    <comment ref="C32" authorId="0">
      <text>
        <r>
          <rPr>
            <sz val="9"/>
            <rFont val="微软雅黑"/>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3" authorId="0">
      <text>
        <r>
          <rPr>
            <sz val="9"/>
            <rFont val="微软雅黑"/>
            <charset val="134"/>
          </rPr>
          <t>你的智力（奥秘）检定量化你忆起关于法术、魔法物品、奥秘符文、魔法派系、位面、位面住民等相关知识的能力。</t>
        </r>
      </text>
    </comment>
    <comment ref="C34" authorId="0">
      <text>
        <r>
          <rPr>
            <sz val="9"/>
            <rFont val="微软雅黑"/>
            <charset val="134"/>
          </rPr>
          <t>你的智力（历史）检定量化你忆起关于历史事件、传奇人物、古王国、昔日纠纷、近代战争、失落文明等相关知识的能力。</t>
        </r>
      </text>
    </comment>
    <comment ref="C35" authorId="0">
      <text>
        <r>
          <rPr>
            <sz val="9"/>
            <rFont val="微软雅黑"/>
            <charset val="134"/>
          </rPr>
          <t>你的智力（自然）检定量化你忆起关于地势、动植物、气候、自然周期相关知识的能力。</t>
        </r>
      </text>
    </comment>
    <comment ref="C36" authorId="0">
      <text>
        <r>
          <rPr>
            <sz val="9"/>
            <rFont val="微软雅黑"/>
            <charset val="134"/>
          </rPr>
          <t>你的智力（宗教）检定量化你回忆神祇、仪式和祷告、宗教阶级、圣徽、秘密组织风俗等知识的能力。</t>
        </r>
      </text>
    </comment>
    <comment ref="C38" authorId="0">
      <text>
        <r>
          <rPr>
            <sz val="9"/>
            <rFont val="微软雅黑"/>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38" authorId="0">
      <text>
        <r>
          <rPr>
            <sz val="9"/>
            <rFont val="微软雅黑"/>
            <charset val="134"/>
          </rPr>
          <t>寻找隐藏物件
    当你的角色搜索密门或者陷阱等隐藏物件时，一般会要求你进行一次感知（察觉）检定。
该检定用于寻找一些平时被忽视的蛛丝马迹，以从中获得更多的细节信息。</t>
        </r>
      </text>
    </comment>
    <comment ref="C39" authorId="0">
      <text>
        <r>
          <rPr>
            <sz val="9"/>
            <rFont val="微软雅黑"/>
            <charset val="134"/>
          </rPr>
          <t>感知（洞悉）检定决定你是否能辨别另一人的真实意图，例如辨别谎言或预测其下一步行动。
你需要理解对方的肢体语言、言谈举止、态度转变等，再察觉其中的含义。</t>
        </r>
      </text>
    </comment>
    <comment ref="C40" authorId="0">
      <text>
        <r>
          <rPr>
            <sz val="9"/>
            <rFont val="微软雅黑"/>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1" authorId="0">
      <text>
        <r>
          <rPr>
            <sz val="9"/>
            <rFont val="微软雅黑"/>
            <charset val="134"/>
          </rPr>
          <t>感知（医药）检定让你可以尝试稳定濒死战友的伤势或者诊断病症。</t>
        </r>
      </text>
    </comment>
    <comment ref="C42" authorId="0">
      <text>
        <r>
          <rPr>
            <sz val="9"/>
            <rFont val="微软雅黑"/>
            <charset val="134"/>
          </rPr>
          <t>当你需要追踪，狩猎，引导队伍穿过冰原，辨认附近枭熊踪迹，预测天气，回避流沙或其他自然危害物时，可能会要求你进行一次感知（生存）检定。</t>
        </r>
      </text>
    </comment>
    <comment ref="AE43" authorId="1">
      <text>
        <r>
          <rPr>
            <sz val="9"/>
            <rFont val="微软雅黑"/>
            <charset val="134"/>
          </rPr>
          <t>发端于衰亡的帝国和失落的王国
一枚白金币价值十枚金币</t>
        </r>
      </text>
    </comment>
    <comment ref="C44" authorId="0">
      <text>
        <r>
          <rPr>
            <sz val="9"/>
            <rFont val="微软雅黑"/>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AE44" authorId="1">
      <text>
        <r>
          <rPr>
            <sz val="9"/>
            <rFont val="微软雅黑"/>
            <charset val="134"/>
          </rPr>
          <t>发端于衰亡的帝国和失落的王国
一枚金银币价值五枚银币</t>
        </r>
      </text>
    </comment>
    <comment ref="C45" authorId="0">
      <text>
        <r>
          <rPr>
            <sz val="9"/>
            <rFont val="微软雅黑"/>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AE45" authorId="1">
      <text>
        <r>
          <rPr>
            <sz val="9"/>
            <rFont val="微软雅黑"/>
            <charset val="134"/>
          </rPr>
          <t>金币是度量财富的标准单位</t>
        </r>
      </text>
    </comment>
    <comment ref="C46" authorId="0">
      <text>
        <r>
          <rPr>
            <sz val="9"/>
            <rFont val="微软雅黑"/>
            <charset val="134"/>
          </rPr>
          <t>当你尝试用威胁、敌对行为、暴力等使他人改变心意时，进行一次魅力（威吓）检定。
例子包括迫供、吓退痞子、用破瓶的利口“说服”高官三思等。</t>
        </r>
      </text>
    </comment>
    <comment ref="AE46" authorId="1">
      <text>
        <r>
          <rPr>
            <sz val="9"/>
            <rFont val="微软雅黑"/>
            <charset val="134"/>
          </rPr>
          <t>普通人间最流行的硬币
一枚金币值十枚银币</t>
        </r>
      </text>
    </comment>
    <comment ref="C47" authorId="0">
      <text>
        <r>
          <rPr>
            <sz val="9"/>
            <rFont val="微软雅黑"/>
            <charset val="134"/>
          </rPr>
          <t>你的魅力（表演）检定决定你能多好地用音乐，舞蹈，扮演，卖艺，说书，或其他方式娱乐观众。</t>
        </r>
      </text>
    </comment>
    <comment ref="AE47" authorId="1">
      <text>
        <r>
          <rPr>
            <sz val="9"/>
            <rFont val="微软雅黑"/>
            <charset val="134"/>
          </rPr>
          <t>在乞丐和苦力中十分常见
一枚银币值十枚铜币</t>
        </r>
      </text>
    </comment>
    <comment ref="B49" authorId="1">
      <text>
        <r>
          <rPr>
            <sz val="9"/>
            <rFont val="微软雅黑"/>
            <charset val="134"/>
          </rPr>
          <t>请注意：
此处仅用作货币价值换算，并非随身钱币填写处。</t>
        </r>
      </text>
    </comment>
    <comment ref="E51" authorId="1">
      <text>
        <r>
          <rPr>
            <sz val="9"/>
            <rFont val="微软雅黑"/>
            <charset val="134"/>
          </rPr>
          <t>此功能需要将已知法术录入任意一法术书中</t>
        </r>
      </text>
    </comment>
  </commentList>
</comments>
</file>

<file path=xl/comments2.xml><?xml version="1.0" encoding="utf-8"?>
<comments xmlns="http://schemas.openxmlformats.org/spreadsheetml/2006/main">
  <authors>
    <author>Null</author>
  </authors>
  <commentList>
    <comment ref="Y114" authorId="0">
      <text>
        <r>
          <rPr>
            <sz val="9"/>
            <rFont val="微软雅黑"/>
            <charset val="134"/>
          </rPr>
          <t>发端于衰亡的帝国和失落的王国
一枚白金币价值十枚金币</t>
        </r>
      </text>
    </comment>
    <comment ref="AH114" authorId="0">
      <text>
        <r>
          <rPr>
            <sz val="9"/>
            <rFont val="微软雅黑"/>
            <charset val="134"/>
          </rPr>
          <t>发端于衰亡的帝国和失落的王国
一枚白金币价值十枚金币</t>
        </r>
      </text>
    </comment>
    <comment ref="Y115" authorId="0">
      <text>
        <r>
          <rPr>
            <sz val="9"/>
            <rFont val="微软雅黑"/>
            <charset val="134"/>
          </rPr>
          <t>发端于衰亡的帝国和失落的王国
一枚金银币价值五枚银币</t>
        </r>
      </text>
    </comment>
    <comment ref="AH115" authorId="0">
      <text>
        <r>
          <rPr>
            <sz val="9"/>
            <rFont val="微软雅黑"/>
            <charset val="134"/>
          </rPr>
          <t>发端于衰亡的帝国和失落的王国
一枚金银币价值五枚银币</t>
        </r>
      </text>
    </comment>
    <comment ref="Y116" authorId="0">
      <text>
        <r>
          <rPr>
            <sz val="9"/>
            <rFont val="微软雅黑"/>
            <charset val="134"/>
          </rPr>
          <t>金币是度量财富的标准单位</t>
        </r>
      </text>
    </comment>
    <comment ref="AH116" authorId="0">
      <text>
        <r>
          <rPr>
            <sz val="9"/>
            <rFont val="微软雅黑"/>
            <charset val="134"/>
          </rPr>
          <t>金币是度量财富的标准单位</t>
        </r>
      </text>
    </comment>
    <comment ref="Y117" authorId="0">
      <text>
        <r>
          <rPr>
            <sz val="9"/>
            <rFont val="微软雅黑"/>
            <charset val="134"/>
          </rPr>
          <t>普通人间最流行的硬币
一枚金币值十枚银币</t>
        </r>
      </text>
    </comment>
    <comment ref="AH117" authorId="0">
      <text>
        <r>
          <rPr>
            <sz val="9"/>
            <rFont val="微软雅黑"/>
            <charset val="134"/>
          </rPr>
          <t>普通人间最流行的硬币
一枚金币值十枚银币</t>
        </r>
      </text>
    </comment>
    <comment ref="Y118" authorId="0">
      <text>
        <r>
          <rPr>
            <sz val="9"/>
            <rFont val="微软雅黑"/>
            <charset val="134"/>
          </rPr>
          <t>在乞丐和苦力中十分常见
一枚银币值十枚铜币</t>
        </r>
      </text>
    </comment>
    <comment ref="AH118" authorId="0">
      <text>
        <r>
          <rPr>
            <sz val="9"/>
            <rFont val="微软雅黑"/>
            <charset val="134"/>
          </rPr>
          <t>在乞丐和苦力中十分常见
一枚银币值十枚铜币</t>
        </r>
      </text>
    </comment>
  </commentList>
</comments>
</file>

<file path=xl/comments3.xml><?xml version="1.0" encoding="utf-8"?>
<comments xmlns="http://schemas.openxmlformats.org/spreadsheetml/2006/main">
  <authors>
    <author>LENOVO</author>
  </authors>
  <commentList>
    <comment ref="C4" authorId="0">
      <text>
        <r>
          <rPr>
            <sz val="9"/>
            <rFont val="微软雅黑"/>
            <charset val="134"/>
          </rPr>
          <t>亚种
变体
分支</t>
        </r>
      </text>
    </comment>
    <comment ref="C7"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9"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1"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C13"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5"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7"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List>
</comments>
</file>

<file path=xl/sharedStrings.xml><?xml version="1.0" encoding="utf-8"?>
<sst xmlns="http://schemas.openxmlformats.org/spreadsheetml/2006/main" count="16064" uniqueCount="3770">
  <si>
    <t>人物背景 Background</t>
  </si>
  <si>
    <t>个性</t>
  </si>
  <si>
    <t>理念</t>
  </si>
  <si>
    <t>羁绊</t>
  </si>
  <si>
    <t>缺陷</t>
  </si>
  <si>
    <t>背景特性</t>
  </si>
  <si>
    <t>外貌描写</t>
  </si>
  <si>
    <t>形象</t>
  </si>
  <si>
    <t>背景故事</t>
  </si>
  <si>
    <t>背景</t>
  </si>
  <si>
    <t>出身</t>
  </si>
  <si>
    <t>语言</t>
  </si>
  <si>
    <t>熟练工具</t>
  </si>
  <si>
    <t>DND 5E 人物卡 &lt;NekoWorks ver2.1&gt;</t>
  </si>
  <si>
    <t>推荐在电脑上使用Excel2010及以后版本打开本卡</t>
  </si>
  <si>
    <t>Lv</t>
  </si>
  <si>
    <t>角色名</t>
  </si>
  <si>
    <t>职业</t>
  </si>
  <si>
    <t>&gt;</t>
  </si>
  <si>
    <t>熟练</t>
  </si>
  <si>
    <t>玩家</t>
  </si>
  <si>
    <t>经验值</t>
  </si>
  <si>
    <t>种族</t>
  </si>
  <si>
    <t>性别</t>
  </si>
  <si>
    <t>身高</t>
  </si>
  <si>
    <t>阵营</t>
  </si>
  <si>
    <t>亚种</t>
  </si>
  <si>
    <t>年龄</t>
  </si>
  <si>
    <t>体重</t>
  </si>
  <si>
    <t>信仰</t>
  </si>
  <si>
    <t>属性</t>
  </si>
  <si>
    <t>战斗</t>
  </si>
  <si>
    <t>基本值</t>
  </si>
  <si>
    <t>调整值</t>
  </si>
  <si>
    <t>豁免</t>
  </si>
  <si>
    <t>其他</t>
  </si>
  <si>
    <t>Now</t>
  </si>
  <si>
    <t>Max</t>
  </si>
  <si>
    <t>力量</t>
  </si>
  <si>
    <t>先攻</t>
  </si>
  <si>
    <t>&lt;</t>
  </si>
  <si>
    <t>HP</t>
  </si>
  <si>
    <t>/</t>
  </si>
  <si>
    <t>敏捷</t>
  </si>
  <si>
    <t>AC</t>
  </si>
  <si>
    <t>HD</t>
  </si>
  <si>
    <t>体质</t>
  </si>
  <si>
    <t>死亡豁免成功</t>
  </si>
  <si>
    <t>失败</t>
  </si>
  <si>
    <t>DC</t>
  </si>
  <si>
    <t>特殊</t>
  </si>
  <si>
    <t>临时
HP</t>
  </si>
  <si>
    <t>智力</t>
  </si>
  <si>
    <t>感知</t>
  </si>
  <si>
    <t>关键属性</t>
  </si>
  <si>
    <t>体型</t>
  </si>
  <si>
    <t>速度</t>
  </si>
  <si>
    <t>魅力</t>
  </si>
  <si>
    <t>被动察觉</t>
  </si>
  <si>
    <t>抗力</t>
  </si>
  <si>
    <t>画像</t>
  </si>
  <si>
    <t>技能</t>
  </si>
  <si>
    <t>装备</t>
  </si>
  <si>
    <t>快捷战斗</t>
  </si>
  <si>
    <t>力量系</t>
  </si>
  <si>
    <t>修正</t>
  </si>
  <si>
    <t>总值</t>
  </si>
  <si>
    <t>护甲</t>
  </si>
  <si>
    <t>名称</t>
  </si>
  <si>
    <t>同调</t>
  </si>
  <si>
    <t>特性</t>
  </si>
  <si>
    <t>重量</t>
  </si>
  <si>
    <t>最大敏捷</t>
  </si>
  <si>
    <t>盾牌</t>
  </si>
  <si>
    <t>运动</t>
  </si>
  <si>
    <t>-</t>
  </si>
  <si>
    <t>+</t>
  </si>
  <si>
    <t>敏捷系</t>
  </si>
  <si>
    <t>武器</t>
  </si>
  <si>
    <t>武器名称</t>
  </si>
  <si>
    <t>攻击骰</t>
  </si>
  <si>
    <t>伤害骰</t>
  </si>
  <si>
    <t>伤害类型</t>
  </si>
  <si>
    <t>弹药</t>
  </si>
  <si>
    <t>特技</t>
  </si>
  <si>
    <t>箭</t>
  </si>
  <si>
    <t>巧手</t>
  </si>
  <si>
    <t>矢</t>
  </si>
  <si>
    <t>隐匿</t>
  </si>
  <si>
    <t>弹</t>
  </si>
  <si>
    <t>智力系</t>
  </si>
  <si>
    <t>投</t>
  </si>
  <si>
    <t>调查</t>
  </si>
  <si>
    <t>它</t>
  </si>
  <si>
    <t>奥秘</t>
  </si>
  <si>
    <t>历史</t>
  </si>
  <si>
    <t>法术</t>
  </si>
  <si>
    <t>自然</t>
  </si>
  <si>
    <t>施法属性</t>
  </si>
  <si>
    <t>法术基础攻击骰</t>
  </si>
  <si>
    <t>可以准备的法术数量</t>
  </si>
  <si>
    <t>宗教</t>
  </si>
  <si>
    <t>感知系</t>
  </si>
  <si>
    <t>察觉</t>
  </si>
  <si>
    <t>法术位</t>
  </si>
  <si>
    <t>洞悉</t>
  </si>
  <si>
    <t>驯养</t>
  </si>
  <si>
    <t>法术DC</t>
  </si>
  <si>
    <t>医疗</t>
  </si>
  <si>
    <t>生存</t>
  </si>
  <si>
    <t>———随身钱币———</t>
  </si>
  <si>
    <t>魅力系</t>
  </si>
  <si>
    <t>负重规则</t>
  </si>
  <si>
    <t>——负重&amp;财产——</t>
  </si>
  <si>
    <t>PP</t>
  </si>
  <si>
    <t>说服</t>
  </si>
  <si>
    <t>背包1</t>
  </si>
  <si>
    <t>背包2</t>
  </si>
  <si>
    <t>总负重</t>
  </si>
  <si>
    <t>钱包</t>
  </si>
  <si>
    <t>EP</t>
  </si>
  <si>
    <t>欺诈</t>
  </si>
  <si>
    <t>GP</t>
  </si>
  <si>
    <t>威吓</t>
  </si>
  <si>
    <t>轻载</t>
  </si>
  <si>
    <t>中载</t>
  </si>
  <si>
    <t>重载</t>
  </si>
  <si>
    <t>状态</t>
  </si>
  <si>
    <t>次元袋</t>
  </si>
  <si>
    <t>SP</t>
  </si>
  <si>
    <t>表演</t>
  </si>
  <si>
    <t>CP</t>
  </si>
  <si>
    <t>—————货币换算—————</t>
  </si>
  <si>
    <t>货币重量</t>
  </si>
  <si>
    <t>铜币CP</t>
  </si>
  <si>
    <t>银币SP</t>
  </si>
  <si>
    <t>金银币EP</t>
  </si>
  <si>
    <t>金币GP</t>
  </si>
  <si>
    <t>白金币PP</t>
  </si>
  <si>
    <t>已准备的法术</t>
  </si>
  <si>
    <t>已准备法术的效果</t>
  </si>
  <si>
    <t>法术名称</t>
  </si>
  <si>
    <t>法术名</t>
  </si>
  <si>
    <t>等级</t>
  </si>
  <si>
    <t>系别</t>
  </si>
  <si>
    <t>适用职业</t>
  </si>
  <si>
    <t>施法动作</t>
  </si>
  <si>
    <t>施法距离</t>
  </si>
  <si>
    <t>持续时间</t>
  </si>
  <si>
    <t>法术成分</t>
  </si>
  <si>
    <t>法术效果说明</t>
  </si>
  <si>
    <t>职业能力</t>
  </si>
  <si>
    <t>种族特性</t>
  </si>
  <si>
    <t>描述</t>
  </si>
  <si>
    <t>专长</t>
  </si>
  <si>
    <t>特殊能力</t>
  </si>
  <si>
    <t>其他特性</t>
  </si>
  <si>
    <t>笔记</t>
  </si>
  <si>
    <t>你的角色可能</t>
  </si>
  <si>
    <t>技能分布</t>
  </si>
  <si>
    <t>小工具</t>
  </si>
  <si>
    <t>生
命
值
小
工
具</t>
  </si>
  <si>
    <t>1级</t>
  </si>
  <si>
    <t>2级</t>
  </si>
  <si>
    <t>3级</t>
  </si>
  <si>
    <t>4级</t>
  </si>
  <si>
    <t>5级</t>
  </si>
  <si>
    <t>6级</t>
  </si>
  <si>
    <t>7级</t>
  </si>
  <si>
    <t>8级</t>
  </si>
  <si>
    <t>9级</t>
  </si>
  <si>
    <t>10级</t>
  </si>
  <si>
    <t>11级</t>
  </si>
  <si>
    <t>12级</t>
  </si>
  <si>
    <t>13级</t>
  </si>
  <si>
    <t>14级</t>
  </si>
  <si>
    <t>15级</t>
  </si>
  <si>
    <t>16级</t>
  </si>
  <si>
    <t>17级</t>
  </si>
  <si>
    <t>18级</t>
  </si>
  <si>
    <t>19级</t>
  </si>
  <si>
    <t>20级</t>
  </si>
  <si>
    <t>体质调整值</t>
  </si>
  <si>
    <t>角色等级</t>
  </si>
  <si>
    <t>生命总值</t>
  </si>
  <si>
    <t>I</t>
  </si>
  <si>
    <t>戏法</t>
  </si>
  <si>
    <t>货币</t>
  </si>
  <si>
    <t>II</t>
  </si>
  <si>
    <t>1环</t>
  </si>
  <si>
    <t>2环</t>
  </si>
  <si>
    <t>3环</t>
  </si>
  <si>
    <t>V
言语</t>
  </si>
  <si>
    <t>4环</t>
  </si>
  <si>
    <t>S
姿势</t>
  </si>
  <si>
    <t>5环</t>
  </si>
  <si>
    <t>M
材料</t>
  </si>
  <si>
    <t>6环</t>
  </si>
  <si>
    <t>7环</t>
  </si>
  <si>
    <t>野蛮人</t>
  </si>
  <si>
    <t>0v0？</t>
  </si>
  <si>
    <t>8环</t>
  </si>
  <si>
    <t>价格</t>
  </si>
  <si>
    <t>伤害</t>
  </si>
  <si>
    <t>特质</t>
  </si>
  <si>
    <t>吟游诗人</t>
  </si>
  <si>
    <t>9环</t>
  </si>
  <si>
    <t>全头</t>
  </si>
  <si>
    <t>轻型</t>
  </si>
  <si>
    <t>你还有呼吸的力气</t>
  </si>
  <si>
    <t>一动不动</t>
  </si>
  <si>
    <t>应该还算活着</t>
  </si>
  <si>
    <t>蚂蚁的智力都不可能是1</t>
  </si>
  <si>
    <t>你是怎么活到现在的</t>
  </si>
  <si>
    <t>用脸就能恐惧敌人</t>
  </si>
  <si>
    <t>战士</t>
  </si>
  <si>
    <t>头部</t>
  </si>
  <si>
    <t>中型</t>
  </si>
  <si>
    <t>简单近战武器</t>
  </si>
  <si>
    <t>短棒</t>
  </si>
  <si>
    <t>1sp</t>
  </si>
  <si>
    <t>1d4钝击</t>
  </si>
  <si>
    <t>2lb</t>
  </si>
  <si>
    <t>轻</t>
  </si>
  <si>
    <t>连一枚金币都拿不起来</t>
  </si>
  <si>
    <t>残疾人士</t>
  </si>
  <si>
    <t>固有Buff：病弱</t>
  </si>
  <si>
    <t>连说话都困难</t>
  </si>
  <si>
    <t>迷惘的人啊</t>
  </si>
  <si>
    <t>你出生的时候居然没被掐死</t>
  </si>
  <si>
    <t>牧师</t>
  </si>
  <si>
    <t>死亡豁免失败</t>
  </si>
  <si>
    <t>头发</t>
  </si>
  <si>
    <t>重型</t>
  </si>
  <si>
    <t>匕首</t>
  </si>
  <si>
    <t>2gp</t>
  </si>
  <si>
    <t>1d4穿刺</t>
  </si>
  <si>
    <t>1lb</t>
  </si>
  <si>
    <t>灵巧，轻，投掷（射程20/60）</t>
  </si>
  <si>
    <t>鸡的力量都比你强</t>
  </si>
  <si>
    <t>无法行动自如</t>
  </si>
  <si>
    <t>突然挂掉都不是奇怪的事情</t>
  </si>
  <si>
    <t>目不识丁</t>
  </si>
  <si>
    <t>上错过厕所</t>
  </si>
  <si>
    <t>路边的狗可能会冲过来咬你</t>
  </si>
  <si>
    <t>圣武士</t>
  </si>
  <si>
    <t>男</t>
  </si>
  <si>
    <t>面部</t>
  </si>
  <si>
    <t>巨棒</t>
  </si>
  <si>
    <t>2sp</t>
  </si>
  <si>
    <t>1d8钝击</t>
  </si>
  <si>
    <t>10lb</t>
  </si>
  <si>
    <t>双手</t>
  </si>
  <si>
    <t>手无抓鸡之力</t>
  </si>
  <si>
    <t>腿脚不灵活</t>
  </si>
  <si>
    <t>您的每一天都是上天的恩赐</t>
  </si>
  <si>
    <t>你能看得懂这行字？</t>
  </si>
  <si>
    <t>经常迷路</t>
  </si>
  <si>
    <t>容易被排斥</t>
  </si>
  <si>
    <t>德鲁伊</t>
  </si>
  <si>
    <t>女</t>
  </si>
  <si>
    <t>颈部</t>
  </si>
  <si>
    <t>穿刺</t>
  </si>
  <si>
    <t>手斧</t>
  </si>
  <si>
    <t>5gp</t>
  </si>
  <si>
    <t>1d6挥砍</t>
  </si>
  <si>
    <t>轻，投掷（射程20/60）</t>
  </si>
  <si>
    <t>恭喜你超越了鸡的力量</t>
  </si>
  <si>
    <t>平地摔是你的家常便饭</t>
  </si>
  <si>
    <t>常年病痛缠身</t>
  </si>
  <si>
    <t>阿库娅与你同在</t>
  </si>
  <si>
    <t>在楼房里面找不到房间</t>
  </si>
  <si>
    <t>可能会被人刁难</t>
  </si>
  <si>
    <t>武僧</t>
  </si>
  <si>
    <t>扶她</t>
  </si>
  <si>
    <t>身体</t>
  </si>
  <si>
    <t>挥砍</t>
  </si>
  <si>
    <t>标枪</t>
  </si>
  <si>
    <t>5sp</t>
  </si>
  <si>
    <t>1d6穿刺</t>
  </si>
  <si>
    <t>投掷（射程30/120）</t>
  </si>
  <si>
    <t>拿多点东西都气喘吁吁</t>
  </si>
  <si>
    <t>经常莫名其妙的撞上什么</t>
  </si>
  <si>
    <t>经常需要躺下休息</t>
  </si>
  <si>
    <t>学不下什么东西</t>
  </si>
  <si>
    <t>东西放在眼前就是找不到</t>
  </si>
  <si>
    <t>可能会受到种种审视</t>
  </si>
  <si>
    <t>术士</t>
  </si>
  <si>
    <t>秀吉</t>
  </si>
  <si>
    <t>肩膀</t>
  </si>
  <si>
    <t>钝击</t>
  </si>
  <si>
    <t>轻锤</t>
  </si>
  <si>
    <t>穿脱衣服都有些吃力</t>
  </si>
  <si>
    <t>走在平地上都会摔倒</t>
  </si>
  <si>
    <t>可能有贫血什么的</t>
  </si>
  <si>
    <t>没有受过太多的教育</t>
  </si>
  <si>
    <t>偶尔会犯迷糊</t>
  </si>
  <si>
    <t>所有的人都觉得可以轻而易举地说服你</t>
  </si>
  <si>
    <t>游荡者</t>
  </si>
  <si>
    <t>朕</t>
  </si>
  <si>
    <t>胸前</t>
  </si>
  <si>
    <t>冷冻</t>
  </si>
  <si>
    <t>硬头锤</t>
  </si>
  <si>
    <t>1d6钝击</t>
  </si>
  <si>
    <t>4lb</t>
  </si>
  <si>
    <t>你揍人就像在给对方按摩</t>
  </si>
  <si>
    <t>不上不下真尴尬</t>
  </si>
  <si>
    <t>健康状况堪忧</t>
  </si>
  <si>
    <t>你可能会怀疑你是不是健忘</t>
  </si>
  <si>
    <t>关键时刻掉链子</t>
  </si>
  <si>
    <t>你的说服力还是可以的</t>
  </si>
  <si>
    <t>法师</t>
  </si>
  <si>
    <t>背后</t>
  </si>
  <si>
    <t>火焰</t>
  </si>
  <si>
    <t>木棍</t>
  </si>
  <si>
    <t>多用途(1d8)</t>
  </si>
  <si>
    <t>比正常人稍微差一点</t>
  </si>
  <si>
    <t>思维比别人慢一拍</t>
  </si>
  <si>
    <t>游侠</t>
  </si>
  <si>
    <t>微型</t>
  </si>
  <si>
    <t>腰部</t>
  </si>
  <si>
    <t>闪电</t>
  </si>
  <si>
    <t>镰刀</t>
  </si>
  <si>
    <t>1gp</t>
  </si>
  <si>
    <t>1d4挥砍</t>
  </si>
  <si>
    <t>有正常人的力量</t>
  </si>
  <si>
    <t>普通人的水准</t>
  </si>
  <si>
    <t>正常人的体质</t>
  </si>
  <si>
    <t>正常人的智力</t>
  </si>
  <si>
    <t>你醒啦，你很正常</t>
  </si>
  <si>
    <t>讨价还价的能力不错</t>
  </si>
  <si>
    <t>邪术师</t>
  </si>
  <si>
    <t>小型</t>
  </si>
  <si>
    <t>胯间</t>
  </si>
  <si>
    <t>力场</t>
  </si>
  <si>
    <t>矛</t>
  </si>
  <si>
    <t>3lb</t>
  </si>
  <si>
    <t>投掷（射程20/60），多用途(1d8)</t>
  </si>
  <si>
    <t>在这个档次，做到欺软怕硬是没有问题的</t>
  </si>
  <si>
    <t>可以徒手抓住苍蝇</t>
  </si>
  <si>
    <t>疾病对于您来说，应该是偶发事故</t>
  </si>
  <si>
    <t>可以耍耍小聪明</t>
  </si>
  <si>
    <t>找东西的时候方便一些</t>
  </si>
  <si>
    <t>可以很容易地虎躯一震</t>
  </si>
  <si>
    <t>左脚</t>
  </si>
  <si>
    <t>光耀</t>
  </si>
  <si>
    <t>简单远程武器</t>
  </si>
  <si>
    <t>轻弩</t>
  </si>
  <si>
    <t>25gp</t>
  </si>
  <si>
    <t>1d8穿刺</t>
  </si>
  <si>
    <t>5lb</t>
  </si>
  <si>
    <t>弹药（射程80/320），装填，双手</t>
  </si>
  <si>
    <t>经常锻炼的人能够达到的水平，可以很轻松地连续做上50个俯卧撑</t>
  </si>
  <si>
    <t>可以用筷子夹住苍蝇</t>
  </si>
  <si>
    <t>基本上没有吃过什么药，不是说不得病，但基本上抗一抗就过去了</t>
  </si>
  <si>
    <t>人才啊</t>
  </si>
  <si>
    <t>可以注意到别人注意不到的细节</t>
  </si>
  <si>
    <t>勉勉强强可以放出一丝王霸之气</t>
  </si>
  <si>
    <t>大型</t>
  </si>
  <si>
    <t>右脚</t>
  </si>
  <si>
    <t>黯蚀</t>
  </si>
  <si>
    <t>√</t>
  </si>
  <si>
    <t>飞镖</t>
  </si>
  <si>
    <t>5cp</t>
  </si>
  <si>
    <t>1/4lb</t>
  </si>
  <si>
    <t>灵巧，投掷(射程20/60)</t>
  </si>
  <si>
    <t>一拳一个小朋友</t>
  </si>
  <si>
    <t>很不错的反应能力，可以在旋转的硬币落下的一瞬间看出是哪面落地</t>
  </si>
  <si>
    <t>一般的磕磕碰碰都不放在眼里</t>
  </si>
  <si>
    <t>可以很轻松地取得别人要刻苦努力才能得到的成绩</t>
  </si>
  <si>
    <t>可以推断出一些别人不知道的东西</t>
  </si>
  <si>
    <t>人们更容易接受你的意见</t>
  </si>
  <si>
    <t>Exp</t>
  </si>
  <si>
    <t>巨型</t>
  </si>
  <si>
    <t>双脚</t>
  </si>
  <si>
    <t>毒素</t>
  </si>
  <si>
    <t>短弓</t>
  </si>
  <si>
    <t>弹药（射程80/320），双手</t>
  </si>
  <si>
    <t>超巨型</t>
  </si>
  <si>
    <t>左腿</t>
  </si>
  <si>
    <t>精神</t>
  </si>
  <si>
    <t>投石索</t>
  </si>
  <si>
    <t>弹药（射程30/120）</t>
  </si>
  <si>
    <t>右腿</t>
  </si>
  <si>
    <t>雷呜</t>
  </si>
  <si>
    <t>军用近战武器</t>
  </si>
  <si>
    <t>战斧</t>
  </si>
  <si>
    <t>10gp</t>
  </si>
  <si>
    <t>1d8挥砍</t>
  </si>
  <si>
    <t>多用途(1d10)</t>
  </si>
  <si>
    <t>超乎常人的力度</t>
  </si>
  <si>
    <t>左右横跳</t>
  </si>
  <si>
    <t>你从来就不知道什么叫生病</t>
  </si>
  <si>
    <t>就是个天才</t>
  </si>
  <si>
    <t>身边的一切风吹草动都逃不出您的敏锐的目光</t>
  </si>
  <si>
    <t>您不经意间的一举一动都有可能吸引着其他人</t>
  </si>
  <si>
    <t>装备同调数量</t>
  </si>
  <si>
    <t>双腿</t>
  </si>
  <si>
    <t>强酸</t>
  </si>
  <si>
    <t>链枷</t>
  </si>
  <si>
    <t>左手</t>
  </si>
  <si>
    <t>大砍刀</t>
  </si>
  <si>
    <t>20gp</t>
  </si>
  <si>
    <t>1d10挥砍</t>
  </si>
  <si>
    <t>6lb</t>
  </si>
  <si>
    <t>重型，触及，双手</t>
  </si>
  <si>
    <t>达到人类极限力量</t>
  </si>
  <si>
    <t>超越人类的敏捷</t>
  </si>
  <si>
    <t>生命力旺盛，被人打趴数次还可以站起来继续的那种</t>
  </si>
  <si>
    <t>睿智的目光</t>
  </si>
  <si>
    <t>这个世界上的一切联系都可以被您所感知</t>
  </si>
  <si>
    <t>请注意你的其他属性，因为你很容易被犯罪</t>
  </si>
  <si>
    <t>右手</t>
  </si>
  <si>
    <t>巨斧</t>
  </si>
  <si>
    <t>30gp</t>
  </si>
  <si>
    <t>1d12挥砍</t>
  </si>
  <si>
    <t>7lb</t>
  </si>
  <si>
    <t>重型，双手</t>
  </si>
  <si>
    <t>超越人类极限的力量</t>
  </si>
  <si>
    <t>你跑步的样子像香港记者</t>
  </si>
  <si>
    <t>天生的肉盾</t>
  </si>
  <si>
    <t>超凡的智慧</t>
  </si>
  <si>
    <t>你开始注意到一些本来不该是人类所注意的东西了</t>
  </si>
  <si>
    <t>红颜祸水指的就是你</t>
  </si>
  <si>
    <t>巨剑</t>
  </si>
  <si>
    <t>50gp</t>
  </si>
  <si>
    <t>2d6挥砍</t>
  </si>
  <si>
    <t>熊的力量！</t>
  </si>
  <si>
    <t>无与伦比的运动神经</t>
  </si>
  <si>
    <t>或许有复数血条</t>
  </si>
  <si>
    <t>你可以改变世界</t>
  </si>
  <si>
    <t>所有的谎言在你面前无所遁形</t>
  </si>
  <si>
    <t>沉鱼落雁，闭月羞花</t>
  </si>
  <si>
    <t>左臂</t>
  </si>
  <si>
    <t>戟</t>
  </si>
  <si>
    <t>怪物之力</t>
  </si>
  <si>
    <t>跑得比香港记者还快</t>
  </si>
  <si>
    <t>大概只有天灾才杀死这种人</t>
  </si>
  <si>
    <t>或许是参透法则之人</t>
  </si>
  <si>
    <t>路过坟墓你就能看见鬼魂，经过战场你就能听见哀号</t>
  </si>
  <si>
    <t>您的敌人也可能会倾向于你</t>
  </si>
  <si>
    <t>右臂</t>
  </si>
  <si>
    <t>骑枪</t>
  </si>
  <si>
    <t>1d12穿刺</t>
  </si>
  <si>
    <t>触及，特殊</t>
  </si>
  <si>
    <t>吃饭的时候经常不小心捏碎十几个盘子</t>
  </si>
  <si>
    <t>只要你想要，世界上没什么你弄不到东西</t>
  </si>
  <si>
    <t>被杀不一定会死</t>
  </si>
  <si>
    <t>用睿智这个词来形容你都已经是一种侮辱了</t>
  </si>
  <si>
    <t>敌人的隐形和变形对你来说毫无意义</t>
  </si>
  <si>
    <t>你很少动刀动枪，因为只要有你的存在就能化解绝大多数的纷争</t>
  </si>
  <si>
    <t>双臂</t>
  </si>
  <si>
    <t>长剑</t>
  </si>
  <si>
    <t>15gp</t>
  </si>
  <si>
    <t>多用途(1d10）</t>
  </si>
  <si>
    <t>经常不小心将别人摸成骨折，当地的骨科医生都很喜欢你</t>
  </si>
  <si>
    <t>几乎没有东西有足够的速度能伤害到你</t>
  </si>
  <si>
    <t>最受欢迎的肉盾</t>
  </si>
  <si>
    <t>你一眼就能看清事物的本质，再没有任何事物能够引起你的好奇</t>
  </si>
  <si>
    <t>任何生物在你眼中他的一生命运都历历在目，任何非生物的历史你也一目了然</t>
  </si>
  <si>
    <t>只有意志最坚定的人才能直视你</t>
  </si>
  <si>
    <t>全身</t>
  </si>
  <si>
    <t>巨锤</t>
  </si>
  <si>
    <t>2d6钝击</t>
  </si>
  <si>
    <t>你付账的时候从口袋里掏出来的，往往不是金币而是被巨大的力量捏成一坨的金块</t>
  </si>
  <si>
    <t>战斗的时候，敌人最头痛的就是你，因为他根本砍不到你</t>
  </si>
  <si>
    <t>强壮的体质使你在冒险团队中所向无敌</t>
  </si>
  <si>
    <t>世间的一切在你眼中都索然无味</t>
  </si>
  <si>
    <t>世界上所有的神祗都在要求你做他们的使徒</t>
  </si>
  <si>
    <t>你的一个眼神、一个动作，都可能轻易的左右其他人的思想，决定国家的存亡</t>
  </si>
  <si>
    <t>钉头锤</t>
  </si>
  <si>
    <t>因为你的存在，你所居住的小镇已经很多年没有买过起重机了</t>
  </si>
  <si>
    <t>你从别人身边走过，别人会以为只是一阵风吹过</t>
  </si>
  <si>
    <t>传奇肉盾</t>
  </si>
  <si>
    <t>完全可以去客串半神巫妖</t>
  </si>
  <si>
    <t>你能够直接倾听神祗的话语与神交流，你就是真正的神使</t>
  </si>
  <si>
    <t>天上的众神为了争夺你打的不可开交，深渊中的恶魔因为你的存在而不愿破坏世界</t>
  </si>
  <si>
    <t>长矛</t>
  </si>
  <si>
    <t>1d10穿刺</t>
  </si>
  <si>
    <t>18lb</t>
  </si>
  <si>
    <t>刺剑</t>
  </si>
  <si>
    <t>灵巧</t>
  </si>
  <si>
    <t>弯刀</t>
  </si>
  <si>
    <t>灵巧，轻</t>
  </si>
  <si>
    <t>短剑</t>
  </si>
  <si>
    <t>？</t>
  </si>
  <si>
    <t>三叉戟</t>
  </si>
  <si>
    <t>投掷(射程20/60)，多用途(1d8)</t>
  </si>
  <si>
    <t>战镐</t>
  </si>
  <si>
    <t>战锤</t>
  </si>
  <si>
    <t>出处</t>
  </si>
  <si>
    <t>亚种、变体、分支</t>
  </si>
  <si>
    <t>鞭</t>
  </si>
  <si>
    <t>灵巧，触及</t>
  </si>
  <si>
    <t>PHB</t>
  </si>
  <si>
    <t>人类</t>
  </si>
  <si>
    <t>人类变体</t>
  </si>
  <si>
    <t>军用远程武器</t>
  </si>
  <si>
    <t>吹箭筒</t>
  </si>
  <si>
    <t>1穿刺</t>
  </si>
  <si>
    <t>弹药(射程25/100)，装填</t>
  </si>
  <si>
    <t>VGM</t>
  </si>
  <si>
    <t>阿斯莫</t>
  </si>
  <si>
    <t>守护阿斯莫</t>
  </si>
  <si>
    <t>天罚阿斯莫</t>
  </si>
  <si>
    <t>堕落阿斯莫</t>
  </si>
  <si>
    <t>手弩</t>
  </si>
  <si>
    <t>75gp</t>
  </si>
  <si>
    <t>弹药(射程30/120)，轻，装填</t>
  </si>
  <si>
    <t>精灵</t>
  </si>
  <si>
    <t>高等精灵</t>
  </si>
  <si>
    <t>木精灵</t>
  </si>
  <si>
    <t>黑暗精灵</t>
  </si>
  <si>
    <t>卓尔精灵</t>
  </si>
  <si>
    <t>太阳精灵</t>
  </si>
  <si>
    <t>黄昏精灵</t>
  </si>
  <si>
    <t>月精灵</t>
  </si>
  <si>
    <t>水生精灵</t>
  </si>
  <si>
    <t>海精灵</t>
  </si>
  <si>
    <t>影灵</t>
  </si>
  <si>
    <t>雅灵</t>
  </si>
  <si>
    <t>重弩</t>
  </si>
  <si>
    <t>弹药(射程100/400)，重型，装填，双手</t>
  </si>
  <si>
    <t>半身人</t>
  </si>
  <si>
    <t>轻足半身人</t>
  </si>
  <si>
    <t>强心半身</t>
  </si>
  <si>
    <t>鬼智半身人</t>
  </si>
  <si>
    <t>守序善良</t>
  </si>
  <si>
    <t>中立善良</t>
  </si>
  <si>
    <t>混乱善良</t>
  </si>
  <si>
    <t>长弓</t>
  </si>
  <si>
    <t>弹药(射程150/600)，重型，双手</t>
  </si>
  <si>
    <t>矮人</t>
  </si>
  <si>
    <t>丘陵矮人</t>
  </si>
  <si>
    <t>山地矮人</t>
  </si>
  <si>
    <t>灰矮人</t>
  </si>
  <si>
    <t>守序中立</t>
  </si>
  <si>
    <t>绝对中立</t>
  </si>
  <si>
    <t>混乱中立</t>
  </si>
  <si>
    <t>捕网</t>
  </si>
  <si>
    <t>特殊，投掷（射程5/15）</t>
  </si>
  <si>
    <t>龙裔</t>
  </si>
  <si>
    <t>黑龙</t>
  </si>
  <si>
    <t>蓝龙</t>
  </si>
  <si>
    <t>黄铜龙</t>
  </si>
  <si>
    <t>青铜龙</t>
  </si>
  <si>
    <t>赤铜龙</t>
  </si>
  <si>
    <t>金龙</t>
  </si>
  <si>
    <t>绿龙</t>
  </si>
  <si>
    <t>红龙</t>
  </si>
  <si>
    <t>银龙</t>
  </si>
  <si>
    <t>白龙</t>
  </si>
  <si>
    <t>守序邪恶</t>
  </si>
  <si>
    <t>中立邪恶</t>
  </si>
  <si>
    <t>混乱邪恶</t>
  </si>
  <si>
    <t>侏儒</t>
  </si>
  <si>
    <t>地底侏儒</t>
  </si>
  <si>
    <t>森林侏儒</t>
  </si>
  <si>
    <t>岩侏儒</t>
  </si>
  <si>
    <t>半精灵</t>
  </si>
  <si>
    <t>木半精灵</t>
  </si>
  <si>
    <t>卓尔半精灵</t>
  </si>
  <si>
    <t>太阳半精灵</t>
  </si>
  <si>
    <t>月之半精灵</t>
  </si>
  <si>
    <t>水生半精灵</t>
  </si>
  <si>
    <t>半兽人</t>
  </si>
  <si>
    <t>提夫林</t>
  </si>
  <si>
    <t>提夫林变体</t>
  </si>
  <si>
    <t>提夫林亚种</t>
  </si>
  <si>
    <t>阿斯蒙蒂斯</t>
  </si>
  <si>
    <t>巴尔泽布</t>
  </si>
  <si>
    <t>迪斯帕特</t>
  </si>
  <si>
    <t>菲尔娜</t>
  </si>
  <si>
    <t>格莱西雅</t>
  </si>
  <si>
    <t>莱维斯图斯</t>
  </si>
  <si>
    <t>马曼</t>
  </si>
  <si>
    <t>墨菲斯托菲利斯</t>
  </si>
  <si>
    <t>扎瑞尔</t>
  </si>
  <si>
    <t>EEPC</t>
  </si>
  <si>
    <t>阿兰寇拉</t>
  </si>
  <si>
    <t>元素裔</t>
  </si>
  <si>
    <t>气元素</t>
  </si>
  <si>
    <t>土元素</t>
  </si>
  <si>
    <t>火元素</t>
  </si>
  <si>
    <t>水元素</t>
  </si>
  <si>
    <t>费尔伯格人</t>
  </si>
  <si>
    <t>歌利亚</t>
  </si>
  <si>
    <t>天狗</t>
  </si>
  <si>
    <t>蜥蜴人</t>
  </si>
  <si>
    <t>斑猫人</t>
  </si>
  <si>
    <t>梭螺鱼人</t>
  </si>
  <si>
    <t>地精</t>
  </si>
  <si>
    <t>熊地精</t>
  </si>
  <si>
    <t>大地精</t>
  </si>
  <si>
    <t>狗头人</t>
  </si>
  <si>
    <t>兽人</t>
  </si>
  <si>
    <t>纯种蛇人</t>
  </si>
  <si>
    <t>MTF</t>
  </si>
  <si>
    <t>吉斯人</t>
  </si>
  <si>
    <t>吉斯洋基人</t>
  </si>
  <si>
    <t>吉斯泽莱人</t>
  </si>
  <si>
    <t>GTR</t>
  </si>
  <si>
    <t>半人马</t>
  </si>
  <si>
    <t>牛头人</t>
  </si>
  <si>
    <t>象族</t>
  </si>
  <si>
    <t>析米克杂种</t>
  </si>
  <si>
    <t>析米克杂种·翼</t>
  </si>
  <si>
    <t>析米克杂种·攀</t>
  </si>
  <si>
    <t>析米克杂种·水</t>
  </si>
  <si>
    <t>析米克杂种·斗</t>
  </si>
  <si>
    <t>析米克杂种·甲</t>
  </si>
  <si>
    <t>析米克杂种·蚀</t>
  </si>
  <si>
    <t>维多肯</t>
  </si>
  <si>
    <t>UA</t>
  </si>
  <si>
    <t>幻身灵</t>
  </si>
  <si>
    <t>幻身灵·敏</t>
  </si>
  <si>
    <t>离梦人</t>
  </si>
  <si>
    <t>化兽者</t>
  </si>
  <si>
    <t>兽皮</t>
  </si>
  <si>
    <t>长牙</t>
  </si>
  <si>
    <t>疾驰</t>
  </si>
  <si>
    <t>狩猎</t>
  </si>
  <si>
    <t>战俑</t>
  </si>
  <si>
    <t>特使</t>
  </si>
  <si>
    <t>金刚</t>
  </si>
  <si>
    <t>散兵</t>
  </si>
  <si>
    <t>自选个数</t>
  </si>
  <si>
    <t>自选数值</t>
  </si>
  <si>
    <t>人类不到20岁成年，而很少活过100 岁。</t>
  </si>
  <si>
    <t>人类并不偏向特定阵营。这个种群中存在着最好的人以及最坏的人。</t>
  </si>
  <si>
    <t>人类身高差距很大，有的刚好5尺高，而有的甚至高过6尺。不论你有多高，你的体型皆为中型。</t>
  </si>
  <si>
    <t>你的基础步行速度为30尺。</t>
  </si>
  <si>
    <t>你能够说、读、写通用语和一门额外的自选语言。在与他人交流时，人类通常会主动去学习对方的语言，其中也包括了一些晦涩的方言。他们还喜欢在说话时夹杂其他语言的腔调，如兽人粗口，精灵乐调，矮人军号，等等。</t>
  </si>
  <si>
    <t>人类不到20岁成年，而很少活过101 岁。</t>
  </si>
  <si>
    <t>人类身高差距很大，有的刚好5尺高，而有的甚至高过7尺。不论你有多高，你的体型皆为中型。</t>
  </si>
  <si>
    <t>你的基础步行速度为31尺。</t>
  </si>
  <si>
    <t>你获得一项自选的技能作为熟练项。</t>
  </si>
  <si>
    <t>你获得一项自选的专长。</t>
  </si>
  <si>
    <t>阿斯莫与人类成熟的速度相近，不过他们能活160年。</t>
  </si>
  <si>
    <t>充盈着天界之力，多数阿斯莫是善良的。被放逐的阿斯莫则通常是中立的甚至是邪恶的。</t>
  </si>
  <si>
    <t>阿斯莫的身高和体重与人类接近。</t>
  </si>
  <si>
    <t>你的基础陆地移动速度是30尺。</t>
  </si>
  <si>
    <t>你能说，读，写通用语和天界语。</t>
  </si>
  <si>
    <t>黑暗视觉</t>
  </si>
  <si>
    <t>拜你的光辉灵魂所赐，你的视觉可以轻易地跨越黑暗。你可以看清昏暗光源周围60尺如同它们在亮光之中，而在黑暗之中你可以像昏暗照明一般视物。在黑暗中你无法分辨颜色，只能看见灰色的阴影。</t>
  </si>
  <si>
    <t>天界抗力</t>
  </si>
  <si>
    <t>你对光耀和黯蚀伤害具有抗力。</t>
  </si>
  <si>
    <t>治愈之手</t>
  </si>
  <si>
    <t>以一个动作，你可以触碰一个生物并使他恢复等同于你人物等级的生命值。一旦你使用了这个特性，在下次长休息完成之前你不能再次使用。</t>
  </si>
  <si>
    <t>光辉掌者</t>
  </si>
  <si>
    <t>你知晓光亮术戏法。在施展它时魅力是你的施法主属性。</t>
  </si>
  <si>
    <t>光辉灵魂</t>
  </si>
  <si>
    <t>从3级起，你可以使用一个动作来释放你内在的神圣能量。这将使你的眼睛闪烁，并且会有两条辉煌的纯能量光翼从你的后背延展。
你的转变持续一分钟或直到你以一个附赠动作中止。在这期间，你得到30尺的飞行速度，并且每个你的回合中一次，当你的攻击或法术成功造成伤害，你将对一个目标造成额外的光耀伤害等同于你的人物等级。
一旦你使用这个特性，在下次长休息完成之前你不能再次使用。</t>
  </si>
  <si>
    <t>光辉焚化</t>
  </si>
  <si>
    <t>从3级起，你可以使用一个动作使你体内的神圣能量解除拘束。灼热的光芒将以你为中心辐射，从你的口中和眼中涌动而出，只消顷刻就会将你焚毁。
你的转变持续一分钟或直到你以一个附赠动作中止。在这期间，明亮的光辉会照亮你周围10尺并给予额外10尺的昏暗照明。并且，每个你的回合结束，你和你周围10尺内的每个生物都将受到等同于你人物等级一半的光耀伤害（向上取整）。此外，每个你的回合中一次，当你的攻击或法术成功造成伤害，你将对一个目标造成额外的光耀伤害等同于你的人物等级。
一旦你使用这个特性，在下次长休息完成之前你不能再次使用。</t>
  </si>
  <si>
    <t>死灵寿衣</t>
  </si>
  <si>
    <t>从3级起，你可以使用一个动作来解放你内在的腐败力量。你的眼睛将变为两个漆黑的池，一对幽灵般的骨翅将从你的身后展开。在你进行转变的同时，你周围10尺内所有能看见你的生物必须通过魅力豁免检定（DC=8+你的熟练值+你的魅力调整值），否则直到你的下回合结束之前他们将对你恐惧。
你的转变持续一分钟或直到你以一个附赠动作中止。在这期间，每个你的回合中一次，当你的攻击或法术成功造成伤害，你将对一个目标造成额外的黯蚀伤害等同于你的人物等级。
一旦你使用这个特性，在下次长休息完成之前你不能再次使用。</t>
  </si>
  <si>
    <t>精灵一般在100岁前后宣布成年，寿命可达750岁。</t>
  </si>
  <si>
    <t>精灵热爱自由与多彩的生活，他们有着很强的表现欲，因而会强烈地倾向混乱阵营。他们尊重他人的自由，有时甚至会对他人的处境感同身受并挺身而出。精灵会更倾向于善良阵营，而卓尔精灵则是其中的例外。作为被放逐者，卓尔显得险恶而危险，因而通常更倾向于邪恶。</t>
  </si>
  <si>
    <t>精灵中有的身高低于5尺，而有的则甚至超过6尺。他们身材纤细，属于中型体型。</t>
  </si>
  <si>
    <t>你能够说、读、写通用语和精灵语。</t>
  </si>
  <si>
    <t>精类血统</t>
  </si>
  <si>
    <t>你进行对抗魅惑的豁免时具有优势，并且不会因魔法效应而陷入睡眠。</t>
  </si>
  <si>
    <t>出神</t>
  </si>
  <si>
    <t>精灵不需要睡眠。他们会在需要休息时陷入持续4个小时的半清醒深度冥想中（通用语中描述此状态的词是“出神Trance”）。冥想时精灵也会做梦，这种梦其实是反应多年来现实生活的思维活动。以这种方式休息后，你获得人类睡眠8小时的全部益处。</t>
  </si>
  <si>
    <t>敏锐感官</t>
  </si>
  <si>
    <t>你拥有察觉技能的熟练项。</t>
  </si>
  <si>
    <t>精灵武器训练</t>
  </si>
  <si>
    <t>你拥有长剑、短剑、短弓和长弓等武器的熟练项。</t>
  </si>
  <si>
    <t>你掌握一个戏法，你可以从法师法术列表中自选其一。其施法关键属性为智力。</t>
  </si>
  <si>
    <t>额外语言</t>
  </si>
  <si>
    <t>你能说、读、写一额外的自选语言。</t>
  </si>
  <si>
    <t>轻捷步伐</t>
  </si>
  <si>
    <t>你的基础步行速度提升至35尺。</t>
  </si>
  <si>
    <t>野性面具</t>
  </si>
  <si>
    <t>你从树丛，大雨，落雪，雾气或其他自然现象中获得轻度遮蔽时，就可以尝试执行躲藏。</t>
  </si>
  <si>
    <t>增强黑暗视觉</t>
  </si>
  <si>
    <t>你的黑暗视觉感官范围提升至120尺。</t>
  </si>
  <si>
    <t>日照敏感</t>
  </si>
  <si>
    <t>当你进行攻击检定和依赖视觉的感知（察觉）检定时，如果你本人、你的攻击目标或你尝试察觉的东西位于阳光直射下，则你所进行的相应检定具有劣势。</t>
  </si>
  <si>
    <t>卓尔魔法</t>
  </si>
  <si>
    <t>你掌握戏法舞光术dancing light。达到3级后，你可以每日使用一次法术妖火faerie fire。达到5级后，你可以每日使用一次法术黑暗术darkness。这些每日施展一次的法术其施法关键属性是魅力。你必须完成一次长休才能再次以该特质施展这些法术。</t>
  </si>
  <si>
    <t>卓尔武器训练</t>
  </si>
  <si>
    <t>你拥有刺剑、短剑和手弩等武器的熟练项。</t>
  </si>
  <si>
    <t>水生血统</t>
  </si>
  <si>
    <t>可以选择30尺的游泳速度。</t>
  </si>
  <si>
    <t>准备栏</t>
  </si>
  <si>
    <t>你能够说、读、写通用语和精灵语、水族语。</t>
  </si>
  <si>
    <t>海精灵武器训练</t>
  </si>
  <si>
    <t>你熟练于使用矛、三叉戟、轻弩、捕网。</t>
  </si>
  <si>
    <t>海之子</t>
  </si>
  <si>
    <t>你拥有30英尺的游泳速度，并可以在空气与水中呼吸。</t>
  </si>
  <si>
    <t>海之友</t>
  </si>
  <si>
    <t>通过手势和声音，你可以与任何拥有天生游泳速度的野兽交流简单的想法。</t>
  </si>
  <si>
    <t>暗蚀抗性</t>
  </si>
  <si>
    <t>对暗蚀伤害有抗性。</t>
  </si>
  <si>
    <t>鸦后祝福</t>
  </si>
  <si>
    <t>以一个附赠动作，你可以如魔法般传送至多30英尺，以到达一个你可见并且未被占据的空间。一旦你使用了该特性，你需要在结束一次长休息之后才能再次使用。
从3级开始，你将在你以此能力传送之后得到对于所有伤害的抗力。该抗力将持续到你你的下回合开始。在此期间，你的身体呈现出如幽魂般的半透明。</t>
  </si>
  <si>
    <t>工具表</t>
  </si>
  <si>
    <t>Tools</t>
  </si>
  <si>
    <t>精类步</t>
  </si>
  <si>
    <t>以一个附赠动作，你能使用魔法传送到30尺内你可见的一处未被占据的空间。一旦你使用了该特性，你需要在结束一次短休息或长休息之后才能再次使用。
从3级开始，你的精类步得到了基于你季节的额外效果。如果该效果需要进行一次豁免，则难度等级为8+你的熟练加值+你的魅力调整值：
秋：你使用精类步后，可以立刻选择10尺内你可见的至多两个生物，其必须通过一次感知豁免，否则被你魅惑1分钟，直到你或你的伙伴对其造成任何伤害。
冬：你使用精类步时，你指定的一只传送前于你5尺内的生物必须通过一次感知豁免，否则将在你下回合结束之前对你恐慌。
春：你使用精类步时，可以触摸5尺内一只自愿的生物，他将取代你进行传送，出现于30尺内你选择的对你可见的一处未被占据的空间。
夏：你使用精类步后，5尺内你选择的每一只你可见的生物将受到等同于你的魅力调整值的火焰伤害（至少1点）。</t>
  </si>
  <si>
    <t>物品</t>
  </si>
  <si>
    <t>半身人约20岁成年，一般能活到150岁。</t>
  </si>
  <si>
    <t>大多数半身人倾向于守序善良。</t>
  </si>
  <si>
    <t>半身人身高约3尺，体重约40磅。属小型体型。</t>
  </si>
  <si>
    <t>你的基础步行速度为25尺。</t>
  </si>
  <si>
    <t>你能够说、读、写通用语和半身人语。</t>
  </si>
  <si>
    <t>幸运</t>
  </si>
  <si>
    <t>当攻击检定、属性检定以及豁免检定掷出1时，你可以再重掷一次，但必须使用重掷的结果。</t>
  </si>
  <si>
    <t>勇气</t>
  </si>
  <si>
    <t>你进行对抗恐慌的豁免时具有优势。</t>
  </si>
  <si>
    <t>半身人灵巧</t>
  </si>
  <si>
    <t>你可以穿越任何体形比你大的生物所在空间。</t>
  </si>
  <si>
    <t>工匠工具</t>
  </si>
  <si>
    <t>天生善匿</t>
  </si>
  <si>
    <t>当你从体型比自己大的生物获得遮蔽时，可以尝试执行躲藏Hide动作。</t>
  </si>
  <si>
    <t>炼金工具</t>
  </si>
  <si>
    <t>50 gp</t>
  </si>
  <si>
    <t>8磅</t>
  </si>
  <si>
    <t>敦实体魄</t>
  </si>
  <si>
    <t>你进行对抗毒素的豁免时具有优势，你拥有毒素伤害的伤害抗性。</t>
  </si>
  <si>
    <t>酿酒工具</t>
  </si>
  <si>
    <t>20 gp</t>
  </si>
  <si>
    <t>9磅</t>
  </si>
  <si>
    <t>鬼灵言语</t>
  </si>
  <si>
    <t>你可以向你30尺内的任何生物如同心灵感应般进行沟通。生物必须与你共同知晓一种语言才能理解你的发言。你通过这个方式每次只能和一名生物进行心灵沟通。</t>
  </si>
  <si>
    <t>书法工具</t>
  </si>
  <si>
    <t>10 gp</t>
  </si>
  <si>
    <t>5磅</t>
  </si>
  <si>
    <t>矮人成长的速度和人类相仿，但他们直到50岁前都能被认为是年轻矮人。他们平均能够活350年。</t>
  </si>
  <si>
    <t>矮人大多倾向于守序，并信奉秩序社会所带来的好处。他们同时也倾向善良阵营而有着极强的公平意识，认为每个人都应该享受到公正平等的好处。</t>
  </si>
  <si>
    <t>矮人直立身高4到5尺，平均体重约150磅。属于中型体型。</t>
  </si>
  <si>
    <t>你的基础步行速度为25尺。你的速度不会因穿着重甲而减慢。</t>
  </si>
  <si>
    <t>你能够说、读、写通用语和矮人语。</t>
  </si>
  <si>
    <t>你习惯了地下生活，因而在黑暗和微光环境下有着良好的视力。在微光光照下，你身边60尺内可以视为等同于明亮光照。而在黑暗中，该范围内可视为等同于微光光照。你无法在黑暗中分辨颜色，只能看到有灰度的黑白画面。</t>
  </si>
  <si>
    <t>矮人体魄</t>
  </si>
  <si>
    <t>你进行对抗毒素的豁免时具有优势，并且拥有毒素伤害的抗性。</t>
  </si>
  <si>
    <t>矮人军训</t>
  </si>
  <si>
    <t>你具有战斧，手斧，轻锤和战锤等武器的熟练项。</t>
  </si>
  <si>
    <t>工具熟练项</t>
  </si>
  <si>
    <t>你获得一个工匠工具的熟练项，从以下项目中自选其一：铁匠工具，酿酒工具或石匠工具。</t>
  </si>
  <si>
    <t>石中精妙</t>
  </si>
  <si>
    <t>每当你对一件石制品的起源做智力（历史）检定时，你视为具有历史技能的熟练项，并可以在检定中加上双倍的熟练加值，而非你平时的熟练加值。</t>
  </si>
  <si>
    <t>木匠工具</t>
  </si>
  <si>
    <t>8 gp</t>
  </si>
  <si>
    <t>6磅</t>
  </si>
  <si>
    <t>矮人刚毅</t>
  </si>
  <si>
    <t>你的生命值最大值加1，且此后每次升级时再加1。</t>
  </si>
  <si>
    <t>制图工具</t>
  </si>
  <si>
    <t>15 gp</t>
  </si>
  <si>
    <t>矮人护甲训练</t>
  </si>
  <si>
    <t>你拥有轻甲和中甲的熟练项。</t>
  </si>
  <si>
    <t>鞋匠工具</t>
  </si>
  <si>
    <t>5 gp</t>
  </si>
  <si>
    <t>你能够说、读、写通用语和矮人语、地底通用语。</t>
  </si>
  <si>
    <t>你习惯了地下生活，因而在黑暗和微光环境下有着良好的视力。在微光光照下，你身边60尺内可以视为等同于明亮光照。而在黑暗中，该范围内可视为等同于微光光照。你无法在黑暗中分辨颜色，只能看到有灰度的黑白画面。
你的黑暗视觉感官范围提升至120尺。</t>
  </si>
  <si>
    <t>灰矮人抗性</t>
  </si>
  <si>
    <t>你在进行对抗幻术的豁免检定上具有优势，你在进行被魅惑和麻痹效果的豁免检定上具有优势。</t>
  </si>
  <si>
    <t>灰矮人魔法</t>
  </si>
  <si>
    <t>当你达到3级时，你可以对你自己施放一次使变巨术/缩小术enlarge/reduce，只使用该法术的变巨术选项。当你达到5级的时候，你可以对自己施放一次隐形术Invisibility 。这两种咒语都不需要材料，而且也不能在日照环境下施放。这些每日施展一次的法术其施法关键属性是智力。你必须完成一次长休才能再次以该特质施展这些法术。</t>
  </si>
  <si>
    <t>厨师工具</t>
  </si>
  <si>
    <t>1 gp</t>
  </si>
  <si>
    <t>年幼的龙裔成长速度很快，在孵化后几小时就可以行走。其3岁时就达到了人类10岁儿童的体型和发育水平，然后在15岁时成年。其一生总共能活大约80年。</t>
  </si>
  <si>
    <t>龙裔的阵营趋于极端化，他们在世间善恶斗争（各自代表为巴哈姆特Bahamut和提亚马特Tiamat）中有意识的作出选择。大多数龙裔都是善良者，而那些选择了邪恶道路的龙裔则都是相当可怕的恶棍。</t>
  </si>
  <si>
    <t>龙裔比人类更高大。体重也更高。其直立身高超过6尺，平均体重250磅。属于中型体型。</t>
  </si>
  <si>
    <t>你能够说、读、写通用语和龙语。</t>
  </si>
  <si>
    <t>龙族血统</t>
  </si>
  <si>
    <t>你拥有巨龙的血统。在表格“龙族血统”中选择一个龙种，并基于所选龙种，决定你吐息的形式和具有的伤害抗性。</t>
  </si>
  <si>
    <t>伤害抗性</t>
  </si>
  <si>
    <t>你的龙族血统为你带来相应伤害类型的伤害抗性。</t>
  </si>
  <si>
    <t>龙息</t>
  </si>
  <si>
    <t>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t>
  </si>
  <si>
    <t>玻璃匠工具</t>
  </si>
  <si>
    <t>30 gp</t>
  </si>
  <si>
    <t>你的龙族血统为你带来强酸伤害类型的伤害抗性。</t>
  </si>
  <si>
    <t>使用吐息时，你吐息范围30尺长5尺宽，线状内的每个生物都必须进行一次敏捷豁免。该豁免的DC等于8＋你的体质调整值＋你的熟练加值。豁免失败者将受到2d6点伤害。豁免成功则伤害减半。其伤害值在6级时增加到3d6，11级增加到4d6，16级增加到5d6。
  使用吐息后，你必须完成一次长休或短休后才能再次使用。</t>
  </si>
  <si>
    <t>珠宝匠工具</t>
  </si>
  <si>
    <t>25 gp</t>
  </si>
  <si>
    <t>2磅</t>
  </si>
  <si>
    <t>你的龙族血统为你带来闪电伤害类型的伤害抗性。</t>
  </si>
  <si>
    <t>皮匠工具</t>
  </si>
  <si>
    <t>你的龙族血统为你带来火焰伤害类型的伤害抗性。</t>
  </si>
  <si>
    <t>泥瓦匠工具</t>
  </si>
  <si>
    <t>画家工具</t>
  </si>
  <si>
    <t>陶匠工具</t>
  </si>
  <si>
    <t>3磅</t>
  </si>
  <si>
    <t>使用吐息时，你吐息范围15尺，锥状内的每个生物都必须进行一次敏捷豁免。该豁免的DC等于8＋你的体质调整值＋你的熟练加值。豁免失败者将受到2d6点伤害。豁免成功则伤害减半。其伤害值在6级时增加到3d6，11级增加到4d6，16级增加到5d6。
  使用吐息后，你必须完成一次长休或短休后才能再次使用。</t>
  </si>
  <si>
    <t>铁匠工具</t>
  </si>
  <si>
    <t>你的龙族血统为你带来毒素伤害类型的伤害抗性。</t>
  </si>
  <si>
    <t>使用吐息时，你吐息范围15尺，锥状内的每个生物都必须进行一次体质豁免。该豁免的DC等于8＋你的体质调整值＋你的熟练加值。豁免失败者将受到2d6点伤害。豁免成功则伤害减半。其伤害值在6级时增加到3d6，11级增加到4d6，16级增加到5d6。
  使用吐息后，你必须完成一次长休或短休后才能再次使用。</t>
  </si>
  <si>
    <t>修补工具</t>
  </si>
  <si>
    <t>10磅</t>
  </si>
  <si>
    <t>织布工具</t>
  </si>
  <si>
    <t>你的龙族血统为你带来冷冻伤害类型的伤害抗性。</t>
  </si>
  <si>
    <t>木雕工具</t>
  </si>
  <si>
    <t>易容工具</t>
  </si>
  <si>
    <t>侏儒成长速度与人类相同，大多侏儒预计在40岁左右便定居过上成人生活。他们能活到350到接近500岁。</t>
  </si>
  <si>
    <t>侏儒大多善良。其中那些作为智者、工程师、研究员、学者、调查员或发明家的侏儒多倾向守序。而那些吟游诗人、骗徒、流浪汉或天马行空的珠宝匠们则更倾向于混乱。侏儒们心地善良，乃至于那些侏儒骗徒也大多只是玩笑式的恶作剧，而非出于险恶用心。</t>
  </si>
  <si>
    <t>侏儒平均身高3到4尺，体重约40磅。属于小型体型。</t>
  </si>
  <si>
    <t>你能够说、读、写通用语和侏儒语。</t>
  </si>
  <si>
    <t>你习惯了地下生活，因而在黑暗和微光光照下有着良好的视力。在微光光照下，你身边60尺内可以视为等同于明亮光照。而在黑暗中，该范围内可视为等同于微光光照。你无法在黑暗中分辨颜色，只能看到有灰度的黑白画面。</t>
  </si>
  <si>
    <t>侏儒狡黠</t>
  </si>
  <si>
    <t>你进行对抗魔法的智力、感知和魅力豁免时具有优势。</t>
  </si>
  <si>
    <t>文书伪造工具</t>
  </si>
  <si>
    <t>你能够说、读、写通用语和侏儒语、地底通用语。</t>
  </si>
  <si>
    <t>你习惯了地下生活，因而在黑暗和微光光照下有着良好的视力。在微光光照下，你身边60尺内可以视为等同于明亮光照。而在黑暗中，该范围内可视为等同于微光光照。你无法在黑暗中分辨颜色，只能看到有灰度的黑白画面。
你的黑暗视野半径为120英尺。</t>
  </si>
  <si>
    <t>岩地伪装</t>
  </si>
  <si>
    <t>当你在岩石地形和地下进行躲藏时，你的敏捷（隐匿Stealth）检定获得优势。</t>
  </si>
  <si>
    <t>赌博工具</t>
  </si>
  <si>
    <t>自然幻术师</t>
  </si>
  <si>
    <t>你学会戏法次级幻影minor illusion。其相应的施法关健属性为智力。</t>
  </si>
  <si>
    <t>小型野兽交谈</t>
  </si>
  <si>
    <t>你可以通过声音和手势与小型或更小的野兽进行简单沟通。森林侏儒喜爱动物，且经常喂养松鼠、獾、兔子、鼹鼠、啄木鸟等动物作为自己心爱的宠物。</t>
  </si>
  <si>
    <t>整副骰子</t>
  </si>
  <si>
    <t>1 sp</t>
  </si>
  <si>
    <t>－</t>
  </si>
  <si>
    <t>工匠学识</t>
  </si>
  <si>
    <t>当你进行关于魔法物品、炼金物品或是工艺元件的智力（历史）检定时，你可以在检定中加上双倍的熟练加值，而非你平时的熟练加值。</t>
  </si>
  <si>
    <t>修补匠</t>
  </si>
  <si>
    <t>你拥有工匠工具（修补工具）的熟练项。使用这些工具时，你可以花费1小时时间和10gp材料制作一个超小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
制作装置时，你选择下列选项之一：
发条玩具Clockwork Toy。该玩具是个机械的动物、怪物或人，例如青蛙、老鼠、鸟、龙或者士兵。当被放在地上时，该玩具能在你的回合里随机向一个方向移动5尺。此外该玩具还会模范所模拟生物发出声响。
打火机Fire Starter。该装置可以产生微小的火焰。你可以用它来点蜡烛，火炬或营火。使用该装置需要花费动作。
音乐盒Music Box。音乐盒打开时，将以适中的音量奏响固定的一首的歌曲。音乐播放完毕，或音乐盒被关闭时，音乐盒将停止发声。</t>
  </si>
  <si>
    <t>整套龙棋</t>
  </si>
  <si>
    <t>5 sp</t>
  </si>
  <si>
    <t>1/2磅</t>
  </si>
  <si>
    <t>半精灵的成长速度与人类相同。他们20岁左右成年，但却拥有毕人类更长的寿命。半精灵通常能活到180岁以上。</t>
  </si>
  <si>
    <t>半精灵继承其精灵血统中的混乱倾向。他们重视个人自由和创意的表达，不爱作领导者也不希望被人追随。他们不在乎规则，讨厌被人命令，甚至有时会显得不太可靠。换个角度讲，半精灵显得有点让人捉摸不定。</t>
  </si>
  <si>
    <t>半精灵的体型与人类相仿，其身高在5尺到6尺之间。属于中型体型。</t>
  </si>
  <si>
    <t>你能够说、读、写通用语和精灵语，以及任意一门自选语言。</t>
  </si>
  <si>
    <t>得益于你的精灵血统，你在黑暗和微光光照中有着超出常人的视力。在微光光照下，你身边60尺内可以视为等同于明亮光照。而在黑暗中，该范围内可视为等同于微光光照。你无法在黑暗中分辨颜色，只能看到有灰度的黑白画面。</t>
  </si>
  <si>
    <t>多才多艺</t>
  </si>
  <si>
    <t>你获得两项自选技能的熟练项。</t>
  </si>
  <si>
    <t>整副纸牌</t>
  </si>
  <si>
    <t>整副三龙牌</t>
  </si>
  <si>
    <t>草药工具</t>
  </si>
  <si>
    <t>乐器</t>
  </si>
  <si>
    <t>月半精灵</t>
  </si>
  <si>
    <t>风笛</t>
  </si>
  <si>
    <t>鼓</t>
  </si>
  <si>
    <t>6 gp</t>
  </si>
  <si>
    <t>半兽人比人类更快成熟。他们在14岁左右便成年，而其衰老也明显而快速。很少有半兽人可以活过75岁。</t>
  </si>
  <si>
    <t>半兽人从其兽人先祖继承了混乱以及非善良的阵营倾向。通常在兽人族群中成长，并自愿生活在其中的半兽人都倾向于邪恶。</t>
  </si>
  <si>
    <t>半兽人比人类更魁梧更强壮。他们身高5尺到6尺以上。属于中型体型。</t>
  </si>
  <si>
    <t>你可以说、读、写通用语和兽人语。</t>
  </si>
  <si>
    <t>得益于你的兽人血统，你在黑暗和微光光照下有超出常人的视力。在微光光照下，你身边60尺内可以视为等同于明亮光照。而在黑暗中，该范围内可视为等同于微光光照。你无法在黑暗中分辨颜色，只能看到有灰度的黑白画面。</t>
  </si>
  <si>
    <t>凶恶</t>
  </si>
  <si>
    <t>你获得威吓技能的熟练项。</t>
  </si>
  <si>
    <t>坚韧不屈</t>
  </si>
  <si>
    <t>当你HP降至0而没有立即死亡时，可以改为使HP降至1。此特质生效后必须完成一次长休后才能再次生效。</t>
  </si>
  <si>
    <t>凶蛮攻击</t>
  </si>
  <si>
    <t>使用近战武器攻击造成重击时，你可以额外掷一个该武器的伤害骰，并将其数值加入到重击的额外伤害中。</t>
  </si>
  <si>
    <t>扬琴</t>
  </si>
  <si>
    <t>提夫林成年的岁数与人类相仿，但寿命会长数年。</t>
  </si>
  <si>
    <t>提夫林并不一定天生趋向邪恶，不过其中大多都选择了邪恶之路。不管邪恶与否，自恃的天性使得他们更倾向于混乱阵营。</t>
  </si>
  <si>
    <t>提夫林和人类体型相近，都是中型。</t>
  </si>
  <si>
    <t>你能够说、读、写通用语和地狱语。</t>
  </si>
  <si>
    <t>得益于炼狱先祖的遗传，你在黑暗和微光光照下有着超出常人的视力。在微光光照下，你身边60尺内可以视为等同于明亮光照。而在黑暗中，该范围内可视为等同于微光光照。你无法在黑暗中分辨颜色，只能看到有灰度的黑白画面。</t>
  </si>
  <si>
    <t>炎狱抗性</t>
  </si>
  <si>
    <t>你对火焰伤害具有抗性。</t>
  </si>
  <si>
    <t>地狱遗赠I</t>
  </si>
  <si>
    <t>你可以获得施展戏法奇术tha-umaturgy的能力。</t>
  </si>
  <si>
    <t>地狱遗赠II</t>
  </si>
  <si>
    <t>第3级时，你可以每日施展一次2环的炼狱叱喝hellish rebuke。</t>
  </si>
  <si>
    <t>地狱遗赠III</t>
  </si>
  <si>
    <t>第5级时，你可以每日施展一次黑暗术darkness。花费掉的法术次数将在完成一次长休后恢复。与该特质相关的施法关键属性为魅力。</t>
  </si>
  <si>
    <t>长笛</t>
  </si>
  <si>
    <t>2 gp</t>
  </si>
  <si>
    <t>1磅</t>
  </si>
  <si>
    <t>魔鬼之舌</t>
  </si>
  <si>
    <t>你知晓恶言相加戏法。当你到达3级时，你可以施展一次魅惑人类作为一个2环法术。当你到达5级时，你可以施展一次注目术。你必须完成一次长休息才能再次从这个特性中施展这些法术。魅力是你的施法主属性。这个特性取代了地狱遗赠特性。</t>
  </si>
  <si>
    <t>地狱之火</t>
  </si>
  <si>
    <t>当你达到3级时，你可以每天施展一次燃烧之手作为2环法术。这个特性取代了地狱遗赠特性中的炼狱叱喝法术。</t>
  </si>
  <si>
    <t>飞翼</t>
  </si>
  <si>
    <t>在你的肩胛骨下方有一双蝙蝠般的翅膀。你得到30尺飞行速度。这个特性取代了地狱遗赠特性。</t>
  </si>
  <si>
    <t>鲁特琴</t>
  </si>
  <si>
    <t>35 gp</t>
  </si>
  <si>
    <t>里拉琴</t>
  </si>
  <si>
    <t>角号</t>
  </si>
  <si>
    <t>3 gp</t>
  </si>
  <si>
    <t>马拉多米尼之遗赠</t>
  </si>
  <si>
    <t>你获得施展戏法奇术thaumaturgy的能力。第3级时，你可以每日施展一次2环的致病射线ray of sickness。第5级，你可以每日施展一次疯狂冠冕crown of madness。花费掉的法术次数将在一次长休后恢复。与该特质相关的施法关键属性为魅力。</t>
  </si>
  <si>
    <t>排箫</t>
  </si>
  <si>
    <t>12 gp</t>
  </si>
  <si>
    <t>迪斯遗赠</t>
  </si>
  <si>
    <t>你获得施展戏法奇术thaumaturgy的能力。第3级时，你可以每日施展一次易容术disguise self。第5级，你可以每日施展一次侦测思想detect thoughts。花费掉的法术次数将在一次长休后恢复。与该特质相关的施法关键属性为魅力。</t>
  </si>
  <si>
    <t>芦笛</t>
  </si>
  <si>
    <t>福莱格索斯的遗赠</t>
  </si>
  <si>
    <t>你获得施展戏法交友术friends的能力。第3级时，你可以每日施展一次2环的魅惑人类charm person。第5级，你可以每日施展一次暗示术suggestion。花费掉的法术次数将在一次长休后恢复。与该特质相关的施法关键属性为魅力。</t>
  </si>
  <si>
    <t>提琴</t>
  </si>
  <si>
    <t>马尔伯吉之遗赠</t>
  </si>
  <si>
    <t>你获得施展戏法次级幻影minor illusion的能力。第3级时，你可以每日施展一次易容术disguise self。第5级，你可以每日施展一次隐形术invisibility。花费掉的法术次数将在一次长休后恢复。与该特质相关的施法关键属性为魅力。</t>
  </si>
  <si>
    <t>领航工具</t>
  </si>
  <si>
    <t>斯泰吉亚之遗赠</t>
  </si>
  <si>
    <t>你获得施展戏法冷冻射线ray of frost的能力。第3级时，你可以每日施展一次2环的艾嘉西斯之铠armor of Agathys。第5级，你可以每日施展一次黑暗术darkness。花费掉的法术次数将在一次长休后恢复。与该特质相关的施法关键属性为魅力。</t>
  </si>
  <si>
    <t>制毒工具</t>
  </si>
  <si>
    <t>弥瑙洛斯之遗赠</t>
  </si>
  <si>
    <t>你获得施展戏法法师之手mage hand的能力。第3级时，你可以施展一次谭森浮碟术Tenser’s floating disk，你在一次短休或长休后可以重新施展此法术。第5级，你可以施展一次秘法锁arcane lock而不需要材料成分，你在一次长休后可以重新施展此法术。与该特质相关的施法关键属性为魅力。</t>
  </si>
  <si>
    <t>盗贼工具</t>
  </si>
  <si>
    <t>卡尼亚遗赠</t>
  </si>
  <si>
    <t>你获得施展戏法法师之手mage hand的能力。第3级时，你可以每日施展一次2环的燃烧之手burning hands。第5级，你可以每日施展一次火焰刀flame blade。花费掉的法术次数将在一次长休后恢复。与该特质相关的施法关键属性为魅力。</t>
  </si>
  <si>
    <t>载具（水运或陆运）</t>
  </si>
  <si>
    <t>＊</t>
  </si>
  <si>
    <t>阿弗纳斯之遗赠</t>
  </si>
  <si>
    <t>你获得施展戏法奇术thaumaturgy的能力。第3级时，你可以每日施展一次2环的炽焰斩searing smite。第5级，你可以每日施展一次印记斩branding smite。花费掉的法术次数将在一次长休后恢复。与该特质相关的施法关键属性为魅力。</t>
  </si>
  <si>
    <t>阿兰寇拉鹰人 3 岁时成年。较之于人类，鹰人通常活不过 30 岁。</t>
  </si>
  <si>
    <t>鹰人大多属善良且很少在秩序混乱中选择一方。部族中的领袖与武者可能属守序，而探险者与冒险者则可能倾向混乱。</t>
  </si>
  <si>
    <t>鹰人大约 5 尺高。他们身体轻盈而纤细，体重介于 80 到 100 磅之间。你的体型为中型。</t>
  </si>
  <si>
    <t>你的基础步行速度为 25 尺。</t>
  </si>
  <si>
    <t>你可以说、读、写通用语，阿兰寇拉语和风族语。</t>
  </si>
  <si>
    <t>飞行</t>
  </si>
  <si>
    <t>你拥有 50 尺的飞行速度，使用这一速度时你不能着装中型或重型护甲。</t>
  </si>
  <si>
    <t>元素裔的成长速度和人类差不多，在 20 岁左右进入成年。他们活的要比人类长点，最多活到 120 岁。</t>
  </si>
  <si>
    <t>元素裔们独立而自恃，且倾向中立阵营。</t>
  </si>
  <si>
    <t>元素裔的体形随其凡人父母而各有不同，但通常体格会像人类，其直立身高通常有 5 尺到 6 尺。你的体型是中型。</t>
  </si>
  <si>
    <t>你的基础步行速度为 30 尺。</t>
  </si>
  <si>
    <t>你可以说、读、写通用语，以及原初语Primordial。</t>
  </si>
  <si>
    <t>魔息</t>
  </si>
  <si>
    <t>只要你未陷入失能，就可以一直保持憋气。</t>
  </si>
  <si>
    <t>融入清风</t>
  </si>
  <si>
    <t>你可以通过此特质施展一次 浮空术 levitate 且无需任何材料构材。你必须完成一次长休后才能再次启用该能力。该法术的施法关键属性为体质。</t>
  </si>
  <si>
    <t>土行</t>
  </si>
  <si>
    <t>你在穿越土地与岩地的困难地形时可以不消耗额外的移动力。</t>
  </si>
  <si>
    <t>混入大地</t>
  </si>
  <si>
    <t>你可以用此特质施展一次 行动无踪 pass without trace 且无需材料构材。你必须完成一次长休后才能再次启用该能力。该法术的施法关键属性为体质。</t>
  </si>
  <si>
    <t>你在微光光照下看身边 60 尺内事物时如同在明亮光照一样。你与火元素位面的联系使你的黑暗视觉与众不同：你眼中的所有事物都泛着红光。</t>
  </si>
  <si>
    <t>火焰抗性</t>
  </si>
  <si>
    <t>你具有火焰伤害的抗性。</t>
  </si>
  <si>
    <t>烈焰之触</t>
  </si>
  <si>
    <t>你掌握戏法 燃火术 produceflame。3 级时，你可以用此特质施展一次 1 环的 燃烧之手burning hands，而你必须完成一次长休后才能再次启用该法术。这些法术的施法关键属性均为体质。</t>
  </si>
  <si>
    <t>强酸抗性</t>
  </si>
  <si>
    <t>你拥有强酸伤害的抗性。</t>
  </si>
  <si>
    <t>水陆两栖</t>
  </si>
  <si>
    <t>你可以在空气和水中呼吸。</t>
  </si>
  <si>
    <t>游泳</t>
  </si>
  <si>
    <t>你拥有 30 尺的游泳速度。</t>
  </si>
  <si>
    <t>呼唤波浪</t>
  </si>
  <si>
    <t>你掌握戏法 塑水 shape water。3 级时，你可以用此特质施展一次 2 环的 造水 / 枯水术 create of destroy water，而你必须完成一次长休后才能再次启用该法术。这些法术的施法关键属性均为体质。</t>
  </si>
  <si>
    <t>作为与精类有关的类人生物，费尔伯格人有着悠长的寿命。一名费尔伯格人在30岁左右成年，他们中最年老的能活500年。</t>
  </si>
  <si>
    <t>为人遵循着大自然的节奏，并把他们自己看作是它的守护者，费尔伯格人通常是中立善良的。邪恶的费尔伯格人很罕见，而且一般是他们同族的死敌。</t>
  </si>
  <si>
    <t>费尔伯格人有7到8尺高，体重在240到300磅之间。你的体型为中型。</t>
  </si>
  <si>
    <t>你的基础步行速度是30尺。</t>
  </si>
  <si>
    <t>你能说，读，和写通用语，精灵语，以及巨人语。</t>
  </si>
  <si>
    <t>费尔伯格人魔法</t>
  </si>
  <si>
    <t>你可以用这个特性施展侦测魔法和易容术，使用感知作为你在施展它们时的施法属性。一旦你施展了两者中的任何一个法术，直到你完成一次短或长休息前都不能用这个特性再次施展它。当你施展这个版本的易容术时，你可以看起来比平时矮3尺，让你更容易融入人类与精灵之中。</t>
  </si>
  <si>
    <t>神隐步</t>
  </si>
  <si>
    <t>以一个附赠动作，你能如魔法般变为隐形，直到你的下一回合开始，或者直到你攻击，进行一次伤害骰，或者强迫某人进行一次豁免检定。一旦你使用了这个特性，直到你完成一次短或长休息前都不能再次使用它。</t>
  </si>
  <si>
    <t>有力体型</t>
  </si>
  <si>
    <t>在确定你的负重能力与你可以推动，拖曳，举起的重量时你算作大一个体型。</t>
  </si>
  <si>
    <t>兽与叶之语</t>
  </si>
  <si>
    <t>你有能力以有限的方式与野兽以及植物交流。它们可以理解你的话的意思，虽然你没有特殊的能力来明白它们的回应。你在所有试图影响它们的魅力检定上有优势。</t>
  </si>
  <si>
    <t>歌利亚和人类的寿命差不多。它们在青春期晚期进入成年，且很少活到过一百岁。</t>
  </si>
  <si>
    <t>歌利亚社会分工明确，有着强烈的守序倾向。歌利亚眼中的公正与平衡主要体现为自我完善和个人义务，这使它们更偏向中立。</t>
  </si>
  <si>
    <t>歌利亚身高介于 7 到 8 尺之间，体重为 280 至340 磅。你的体型为中型。</t>
  </si>
  <si>
    <t>歌利亚的基础步行速度为 30 尺。</t>
  </si>
  <si>
    <t>你能说、读、写通用语与巨人语。</t>
  </si>
  <si>
    <t>运动健将</t>
  </si>
  <si>
    <t>你熟练运动技能。</t>
  </si>
  <si>
    <t>石之坚韧</t>
  </si>
  <si>
    <t>你可以专注于自身以偶尔避免受伤。受到伤害时，你可以用自己的反应骰一次 d12，再将骰值加上你的体质调整。你所受的实际伤害将减去该总值。你必须完成一次长休后才能再次启用该能力。</t>
  </si>
  <si>
    <t>身强力壮</t>
  </si>
  <si>
    <t>你计算自己的负重及拖、拉、拽的重量时，视为大一级的体型。</t>
  </si>
  <si>
    <t>生于高山</t>
  </si>
  <si>
    <t>你适应高海拔环境，包括超过20,000 尺的高原地带。你也自动适应于寒冷气候。</t>
  </si>
  <si>
    <t>天狗的寿命比起人类较短。他们在12岁左右成年，通常能活到60岁。</t>
  </si>
  <si>
    <t>天狗是混乱的生物，他们很少做长久的承诺，并且他们最关心的是保护自己的隐匿性。他们通常处于混乱中立阵营。</t>
  </si>
  <si>
    <t>天狗大约有5英尺高，体重在90磅至120磅之间，是中体形生物。</t>
  </si>
  <si>
    <t>你可以读写通用语和气族语（Auran），但你只能使用你的拟声特性来说话。</t>
  </si>
  <si>
    <t>专家伪造</t>
  </si>
  <si>
    <t>你可以仿造其他生物的笔迹和工艺。你在为伪造文书和复制现存物体进行的任何检定中获得优势。</t>
  </si>
  <si>
    <t>天狗训练</t>
  </si>
  <si>
    <t>你从以下技能中选择两项获得熟练：杂技、欺瞒、隐匿，以及手上功夫。</t>
  </si>
  <si>
    <t>拟声</t>
  </si>
  <si>
    <t>你可以模仿你听到的声音，包括人的嗓音。听到声音的生物需要通过一个感知（洞悉）检定来对抗你的魅力（欺瞒）检定，若成功将发现是模仿的。</t>
  </si>
  <si>
    <t>蜥蜴人一般14岁成年，很少活到60岁以上。</t>
  </si>
  <si>
    <t>大多数蜥蜴人是中立的，他们认为这世界上只有捕食者和猎物，在这里生死都只是自然的过程。他们的愿望只有生存，和让其他的生物落入他们的计划。</t>
  </si>
  <si>
    <t>蜥蜴人比人类笨重高大一点，而他们身上五花八门的装饰甚至会让他们显得更大一些。你的体型为中型。</t>
  </si>
  <si>
    <t>你的基础步行速度是30尺，你拥有30尺游泳速度。</t>
  </si>
  <si>
    <t>你能说、读和写通用语以及龙语。</t>
  </si>
  <si>
    <t>啮咬</t>
  </si>
  <si>
    <t>你的尖牙是一件天生武器，可以用来进行徒手攻击。如果你击中了目标，你造成1d6+你的力量调整值的穿刺伤害，而不是普通徒手攻击所造成的钝击伤害。</t>
  </si>
  <si>
    <t>能工巧匠</t>
  </si>
  <si>
    <t>作为一次短休息的一部分，你可以用从杀死的小型或更大的野兽、构装生物、龙、怪兽，或者植物上获取的骨头兽皮制作以下一件物品：一面盾牌，一根棍棒，一支标枪，或者1d4支飞镖或吹箭筒针。想要使用这个能力，你需要一把刀，例如一把匕首，或者合适的工匠工具，例如皮匠工具。</t>
  </si>
  <si>
    <t>屏息</t>
  </si>
  <si>
    <t>在上浮前你能屏住你的呼吸15分钟。</t>
  </si>
  <si>
    <t>猎人传说</t>
  </si>
  <si>
    <t>你在以下技能中选择两项并获得熟练：驯养动物，自然，观察，隐匿和求生。</t>
  </si>
  <si>
    <t>天生护甲</t>
  </si>
  <si>
    <t>你有着坚韧带鳞的皮肤，当你没有穿戴盔甲时，你的AC是13+你的敏捷调整值。如果你穿戴的盔甲给予你的AC较低，你可以用你的天生护甲来决定你的AC。你在使用你的天生护甲时，仍能获得盾牌的好处。</t>
  </si>
  <si>
    <t>饥渴之喉</t>
  </si>
  <si>
    <t>在战斗中，你能让你自己进入一种凶狠的暴食状态。以一个附赠动作，你能用你的啮咬攻击做一次特殊攻击，如果攻击命中，造成正常的伤害，同时你获得等同于你的体质调整值的临时HP（至少1点）。在你完成一次短休息或长休息前，你不能再次使用该能力。</t>
  </si>
  <si>
    <t>斑猫人的寿命与人类相仿。</t>
  </si>
  <si>
    <t>斑猫人趋向于混乱阵营，他们让冲动与幻想引导着他们的决定。他们很少有邪恶的，大多数斑猫人是被好奇心驱使着，而不是贪婪或者其他黑暗的冲动。</t>
  </si>
  <si>
    <t>斑猫人平均身高要比人类高，相对也更纤细。你的体型为中型。</t>
  </si>
  <si>
    <t>你能说、读和写通用语以及任意一门你自选的语言。</t>
  </si>
  <si>
    <t>你有着一只猫般的敏锐感觉，尤其是在黑暗中。在昏暗环境下，你可以将你周围60英尺内的区域视为明亮光照；在黑暗环境下，你可以将光照视为昏暗光照。你在黑暗中无法分清颜色，只能看到灰色的影子。</t>
  </si>
  <si>
    <t>猫之迅捷</t>
  </si>
  <si>
    <t>你的反应和敏捷允许你能以爆发性的速度移动。当你在战斗中移动时，你可以让你的速度增加一倍，直到回合结束。一旦你使用了这个特性，除非你在你的一个回合移动了0尺，否则你不能再使用它。</t>
  </si>
  <si>
    <t>猫之利爪</t>
  </si>
  <si>
    <t>因为你的爪子，你有20尺的攀爬速度。此外，你的利爪视为天生武器，你可以用它来进行徒手攻击。如果击中了目标，你造成的挥砍伤害等于1d4+你的力量调整值，而不是普通徒手攻击所造成的钝击伤害。</t>
  </si>
  <si>
    <t>猫之天性</t>
  </si>
  <si>
    <t>你熟练于观察和隐匿技能。</t>
  </si>
  <si>
    <t>梭螺鱼人在15岁左右成年，能活到200岁。</t>
  </si>
  <si>
    <t>梭螺鱼人倾向于守序善良。作为最黑暗海域的守护者，他们的文化把他们推向秩序和仁慈。</t>
  </si>
  <si>
    <t>梭螺鱼人比人类稍矮，平均约5尺高。你的体型为中型。</t>
  </si>
  <si>
    <t>你的基础步行速度是30尺，你拥有30尺的游泳速度。</t>
  </si>
  <si>
    <t>你可以说，读，写通用语和原初语。</t>
  </si>
  <si>
    <t>两栖</t>
  </si>
  <si>
    <t>你能呼吸空气和水。</t>
  </si>
  <si>
    <t>控风操水</t>
  </si>
  <si>
    <t>作为一位大海之子，你能呼唤气元素和水元素的魔力。你可以用这个特性施展云雾术。从3级开始，你能用它施展造风术，从5级开始，你也能用它施展水墙术（见边栏中的法术）。一旦你用这个特性施展了一个法术，直到你完成一次长休息前都不能再这么做。你的这些法术的施法能力值是魅力。</t>
  </si>
  <si>
    <t>海之使者</t>
  </si>
  <si>
    <t>水生野兽与你的种族有着非凡的亲和力。你可以与能在水中呼吸的野兽简单沟通交流。它们能够理解你的话的意思，虽然你没有特殊的能力来明白它们的回应。</t>
  </si>
  <si>
    <t>海渊守护者</t>
  </si>
  <si>
    <t>适应了哪怕是最极端的海洋深处，你获得对寒冷伤害的抗力。你无视深水环境所造成的任何劣势。</t>
  </si>
  <si>
    <t>地精在8岁时成年，他们显然衰老得比人类要快，尽管很少有地精能活到老，他们中最小心谨慎的也能活过60岁。</t>
  </si>
  <si>
    <t>拉尼卡的地精多数是混乱阵营，而善良还是邪恶并没有特别的倾向。</t>
  </si>
  <si>
    <t>地精大约3到4尺高，体重40到80磅，你是小体型。</t>
  </si>
  <si>
    <t>你可以说、读及写通用语和地精语。</t>
  </si>
  <si>
    <t>在昏暗环境下，你可以看清你周围60英尺内的区域如同处于明亮光照下；在黑暗环境下，你可以视为昏暗光照。你在黑暗中无法分辨颜色，只能看到灰色的画面。</t>
  </si>
  <si>
    <t>小型生物的怒火</t>
  </si>
  <si>
    <t>当你对比你大型的生物使用攻击或魔法，并造成伤害时，你可以对它造成额外伤害。这个额外伤害等于你的等级。该特性在你完成一次短休息或长休前无法再次使用。</t>
  </si>
  <si>
    <t>敏捷逃脱</t>
  </si>
  <si>
    <t>地精可在自己的回合，以一个附赠动作进行撤离（Disengage）或者躲藏（Hide）动作。</t>
  </si>
  <si>
    <t>熊地精在16岁便成年，并可以活到80岁。</t>
  </si>
  <si>
    <t>熊地精忍受恶劣的生存环境，要求每个人保持自给自足，即使这要牺牲他们的同胞。他们往往是混乱邪恶。</t>
  </si>
  <si>
    <t>熊地精身高在6至8英尺之间，体重在250至350磅之间。你的体形为中型。</t>
  </si>
  <si>
    <t>你的基础步行速度是30英尺。</t>
  </si>
  <si>
    <t>长肢</t>
  </si>
  <si>
    <t>当你在你的回合使用近战攻击时，你的触及范围增加5尺。</t>
  </si>
  <si>
    <t>隐秘</t>
  </si>
  <si>
    <t>你熟练隐匿技能。</t>
  </si>
  <si>
    <t>突袭攻击</t>
  </si>
  <si>
    <t>如果你突袭一个目标并在战斗中的第一回合击中了它，这次攻击额外造成2d6伤害。此特性只能在每场战斗中使用一次。</t>
  </si>
  <si>
    <t>大地精成年岁数与人类相仿，寿命亦与其相仿。</t>
  </si>
  <si>
    <t>大地精的社会是建立在一个忠于严格无情的行为准则的基础之上。正因如此，他们往往是守序邪恶。</t>
  </si>
  <si>
    <t>大地精身高在5至6英尺之间，体重在150至200磅之间。你的体形为中型。</t>
  </si>
  <si>
    <t>军事训练</t>
  </si>
  <si>
    <t>你熟练使用两项你选择的军用武器以及轻甲。</t>
  </si>
  <si>
    <t>挽回面子</t>
  </si>
  <si>
    <t>大地精因为害怕失去地位，小心亦亦地不在盟友面前显示软弱的一脸。如果你在一次攻击检定中打空了、能力检定或豁免中失败了，你将会获得骰值加值，此次加值的数目等同于你30英尺内能见的友方数目（最多+5）。此特性在你完成一次短休息或长休息前无法再次使用。</t>
  </si>
  <si>
    <t>狗头人在6岁便成年，并可以活到120岁，不过少之有少。</t>
  </si>
  <si>
    <t>狗头人从根本上是自私的存在，使他们邪恶，但他们依赖他们团结的力量使他们偏向守序。</t>
  </si>
  <si>
    <t>狗头人身高在2至3英尺之间，体重在25至35磅之间。你的体形为小型。</t>
  </si>
  <si>
    <t>你可以说、读及写通用语和龙语。</t>
  </si>
  <si>
    <t>猛虎落地式</t>
  </si>
  <si>
    <t>在你的行动回合，你可以花费一个动作，可怜地蜷缩着以分散附近的敌人的注意。直到你下个回合结束时，你的友方在攻击你十英尺之内的敌人时获得攻击检定的优势。此特性在你完成一次短休息或长休息前无法再次使用。</t>
  </si>
  <si>
    <t>群体战术</t>
  </si>
  <si>
    <t>如果你有至少一个盟友在目标生物5尺范围内且非乏力，你在对抗该生物的攻击检定上则有优势。</t>
  </si>
  <si>
    <t>阳光敏感性</t>
  </si>
  <si>
    <t>在阳光照射下，你的攻击骰有劣势，同时依靠视力的感知（观察）检定也具有劣势。</t>
  </si>
  <si>
    <t>兽人在12岁便成年，并可以活到50岁。</t>
  </si>
  <si>
    <t>兽人是恶毒的掠夺者，他们相信这个世界应该属于他们的。他们崇敬力量致上，并相信强者必须欺负弱者，以确保弱者不会像疾病一样传播。他们普遍是混乱邪恶。</t>
  </si>
  <si>
    <t>兽人身高普遍在6英尺以上，体重在230至280磅之间。你的体形为中型。</t>
  </si>
  <si>
    <t>你可以说、读及写通用语和兽人语。</t>
  </si>
  <si>
    <t>好斗</t>
  </si>
  <si>
    <t>以一个附赠动作，兽人向一个可见的敌对生物移动至多相当于其速度的距离。你必须在结束这个移动时，比开始移动前更接近敌人。</t>
  </si>
  <si>
    <t>威胁</t>
  </si>
  <si>
    <t>你接受过威吓技能的训练。</t>
  </si>
  <si>
    <t>强力体格</t>
  </si>
  <si>
    <t>你的负重、推动、拉动及抬起物品的能力视同为体型大一级的生物。</t>
  </si>
  <si>
    <t>纯种蛇人成年岁数与人类相仿，寿命亦与其相仿。</t>
  </si>
  <si>
    <t>纯种蛇人缺乏感情，把别人看作工具来操作。他们很少关心守序或混乱，通常是中立邪恶。</t>
  </si>
  <si>
    <t>纯种蛇人与人类的平均身高体重相同。你的体形为中型。</t>
  </si>
  <si>
    <t>你可以说、读及写通用语、深渊语和龙语。</t>
  </si>
  <si>
    <t>天生施法</t>
  </si>
  <si>
    <t>你懂得毒气喷射（Poison Spray）这个戏法。你能够无限次施展化兽为友（Animal Friendship），不过目标只能是蛇。从第三级开始，你能够施展暗示术（Suggestion），一但你施展了它，在你完成一次短休息或长休息前无法再次使用。魅力是你的施法属性。</t>
  </si>
  <si>
    <t>魔法抗性</t>
  </si>
  <si>
    <t>对抗法术和其他魔法效果时你有豁免检定的优势。</t>
  </si>
  <si>
    <t>免疫毒素</t>
  </si>
  <si>
    <t>你免疫中毒的伤害和中毒状态。</t>
  </si>
  <si>
    <t>吉斯人在20岁前成年，大约能活100年。</t>
  </si>
  <si>
    <t>吉斯人比人类更高、更瘦，大多数都是6尺高的瘦高个儿。</t>
  </si>
  <si>
    <t>你能说、读、写通用语和吉斯语。</t>
  </si>
  <si>
    <t>吉斯洋基人倾向于守序邪恶阵营。他们好战而且傲慢，同时又对他们的巫妖女王维拉基斯Vlaakith忠心耿耿。叛变的吉斯洋基人则多倾向于混乱阵营。</t>
  </si>
  <si>
    <t>业余爱好</t>
  </si>
  <si>
    <t>你学会一门自选的语言，并获得一项技能或工具的熟练项。在图纳拉斯这座永恒之城里，吉斯洋基人拥有足够的时间来掌握一些零碎的知识。</t>
  </si>
  <si>
    <t>军事人才</t>
  </si>
  <si>
    <t>你拥有轻甲、中甲、短剑、长剑、巨剑的熟练项。</t>
  </si>
  <si>
    <t>洋基灵能</t>
  </si>
  <si>
    <t>你掌握戏法法师之手mage  hand，且当你使用该特性施放这一戏法时，这只手是不可见的。
从第3级起，你可以使用该特性施放一次法术跳跃术jump，你必须完成一次长休才能再次施展该法术。从第5级起，你可以使用该特性释放一次法术迷踪步misty step，你必须完成一次长休才能再次施展该法术。
你施展这些法术的施法关键属性是智力。当你使用该特性施放这些法术时无需满足法术成分。</t>
  </si>
  <si>
    <t>吉斯泽莱人倾向于守序中立阵营。</t>
  </si>
  <si>
    <t>磨练心智</t>
  </si>
  <si>
    <t>你在对抗魅惑和恐慌状态的豁免检定上具有优势。在修道院的大师指导下，吉斯泽莱人学会了如何掌握自己的精神。</t>
  </si>
  <si>
    <t>泽莱灵能</t>
  </si>
  <si>
    <t>你掌握戏法法师之手mage  hand，且当你使用该特性施放这一戏法时，这只手是不可见的。
从第3级起，你可以使用该特性施放一次法术护盾术shield，你必须完成一次长休才能再次施展该法术。从第5级起，你可以使用该特性释放一次法术侦测思想detect thoughts，你必须完成一次长休才能再次施展该法术。
你施展这些法术的施法关键属性是感知。当你使用该特性施放这些法术时无需满足法术成分。</t>
  </si>
  <si>
    <t>半人马的成熟与衰老速度和人类相同。</t>
  </si>
  <si>
    <t>半人马倾向于中立。那些加入瑟雷尼亚的半人马通常是中立善良的，而加入古鲁部族的通常是混乱中立。</t>
  </si>
  <si>
    <t>半人马站立有6到7尺高，马身肩高4尺左右，你是中等体型。</t>
  </si>
  <si>
    <t>你的基础步行速度为40尺。</t>
  </si>
  <si>
    <t>你可以说、读与写通用语和木族语。</t>
  </si>
  <si>
    <t>精类生物</t>
  </si>
  <si>
    <t>你的生物类型是精类，而非类人。</t>
  </si>
  <si>
    <t>冲锋</t>
  </si>
  <si>
    <t>你的马蹄视作天生近战武器，你可以用来做徒手攻击。如果你以蹄击中目标，将造成1d4+力量调整值的钝击伤害，替代你通常的徒手攻击伤害。</t>
  </si>
  <si>
    <t>马体构造</t>
  </si>
  <si>
    <t>在决定你的载重与推拉抬极限时，视你为大一级的体型。另外，因为你的马腿，任何需要手脚并用的攀爬对你而言尤其困难。当你进行这样的攀爬时，每移动1尺需要花费额外4尺移动力，而非额外1尺。</t>
  </si>
  <si>
    <t>生存专家</t>
  </si>
  <si>
    <t>你从以下技能中选择一种获得其熟练项：驯兽，医药，自然或生存。</t>
  </si>
  <si>
    <t>大多数加入波洛斯军团的牛头人倾向守序阵营，而加入拉泽斯教派或格鲁部族的则倾向于混乱阵营。</t>
  </si>
  <si>
    <t>牛头人平均身高超过6尺，有着强壮而结实的体格。你的体型为中体型。</t>
  </si>
  <si>
    <t>你可以说、读与写通用语和米诺陶语（Minotaur）。</t>
  </si>
  <si>
    <t>牛角</t>
  </si>
  <si>
    <t xml:space="preserve">你的角是天生近战武器，你可以用它进行徒手击打。当你以角击中目标时，将造成1d6+力量调整值的穿刺伤害，代替通常徒手击打的钝击伤害。
</t>
  </si>
  <si>
    <t>角顶冲刺</t>
  </si>
  <si>
    <t>在你于你的回合中使用疾走动作，并至少移动了20尺之后，你可以立即以附赠动作用你的角进行一次近战武器攻击。</t>
  </si>
  <si>
    <t>角锤</t>
  </si>
  <si>
    <t>在你于你的回合中以近战武器攻击作为攻击动作的一部分击中一个生物后，你可以使用一个附赠动作尝试以角推撞之。目标生物不能比你大超过一级体型，并且需要在你5尺之内。目标必须进行一次难度等级为8+你的熟练加值+你的力量调整值的力量豁免检定，若其失败，你将其推离你10尺。</t>
  </si>
  <si>
    <t>威风堂堂</t>
  </si>
  <si>
    <t>你从以下技能中选择一种获得其熟练项：威吓或者说服。</t>
  </si>
  <si>
    <t>象族和生理上的成熟时间和人类相当，但寿命一般可达450年。象族高度重视智慧和经验的价值， 因此60岁前的象族都会被认为是年轻人。</t>
  </si>
  <si>
    <t>大多数象族都是守序，因为其相信和谐生活的价值，所以他们倾向于善良。</t>
  </si>
  <si>
    <t>象族身高7尺到8尺，体重300到400磅，属于中型体型。</t>
  </si>
  <si>
    <t>你可以说、读、写通用语和象族语。</t>
  </si>
  <si>
    <t>身强体壮</t>
  </si>
  <si>
    <t>你计算自己的负重及拖、拉、拽 的重量时，视为大级的体型。</t>
  </si>
  <si>
    <t>象之宁静</t>
  </si>
  <si>
    <t>你在对抗恐慌和魅惑的豁免检定上具有优势。</t>
  </si>
  <si>
    <t>你有着厚革质的皮肤，在未穿戴护甲时AC为12+体质调整值。如果你护甲的AC较之更低，你可以用你的天生防御AC取代之，你可以正常获得盾牌提供的AC加值。
AC计算并不叠加，当你有多种方式计算你的AC时，你只能选择它们其中之一来计算。比如你有象人的天生护甲特性以及武僧的无甲防御职业能力，你不能将它们叠加计算，你只能选择一种来决定你的AC。</t>
  </si>
  <si>
    <t>象鼻</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</si>
  <si>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</si>
  <si>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敏锐嗅觉</t>
  </si>
  <si>
    <t>仰仗你敏感的鼻子，你在依赖嗅觉进行的感知（察觉），感知（生存）和智力（调查）检定上具有优势。</t>
  </si>
  <si>
    <t>杂种获得生命时已经是成年人类、精灵或者维多肯了。它们显示出轻微加速老化的迹象，因此它们的最大寿命可能会有所减少，但守护者计划还没有运行足够长的时间来观察这种现象所反映的全部影响。</t>
  </si>
  <si>
    <t>总体上大多数杂种都具有析米克联合的中立特性。他们更感兴趣的是科学研究和协会的地位，而不是道德或伦理问题。然而，那些离开联合的人经常讨论道德或伦理问题，因为他们的哲学观点和阵营更符合一个不同的公会。</t>
  </si>
  <si>
    <t>你属于中型体型，在你的基础类人种族范围内。</t>
  </si>
  <si>
    <t>你可以说、读与写通用语，另外你在维多肯语和精灵语中选择一个获得说、读与写能力。</t>
  </si>
  <si>
    <t>在微光光照下，你身边60尺内可以视为等同于明亮光照。而在黑暗中，该范围内可视为等同于微光光照。你无法在黑暗中分辨颜色，只能看到有灰度的黑白画面。</t>
  </si>
  <si>
    <t>动物强化</t>
  </si>
  <si>
    <t>你的身体已经被改变以融入某些动物特征。你现在选择一个动物强化，然后在第5级选择第二个强化。</t>
  </si>
  <si>
    <t>蝠鲼滑翔</t>
  </si>
  <si>
    <t>你的蝠翼可以减缓你的下降，让你滑翔。当你坠落而没有失能，在计算坠落伤害时，你可以从坠落高度中减去100英尺，每下降1英尺，你可以水平移动2英尺。</t>
  </si>
  <si>
    <t>灵活攀登</t>
  </si>
  <si>
    <t>你获得等于你步行速度的攀爬速度。</t>
  </si>
  <si>
    <t>水下适应</t>
  </si>
  <si>
    <t>你可以在水中呼吸空气，你获得等于你步行速度的游泳速度。</t>
  </si>
  <si>
    <t>斗殴附件</t>
  </si>
  <si>
    <t>你的手臂旁边长着两个特殊的附肢。你可以选择它们是爪子还是触手。使用一个动作，你可以使用他们来尝试擒抱一个生物。这些附肢都是天生武器，你可以用它们进行徒手攻击。如果你用它攻击，目标会受到1d6 +你的力量调整值的钝击伤害，而非普通徒手攻击的钝击伤害。在击中目标后，你可以尝试用附赠动作擒拿抱目标。这些附肢不能精确操控任何东西，也不能使用武器、魔法物品或其他特殊装备。</t>
  </si>
  <si>
    <t>甲壳</t>
  </si>
  <si>
    <t>你皮肤的一些地方被厚厚的外壳覆盖着。当你不穿重甲时，你将获得AC +1加值。</t>
  </si>
  <si>
    <t>酸液喷吐</t>
  </si>
  <si>
    <t>使用动作你可以从口腔的腺体中喷射出一股酸性物质，选择30英尺内你能看到的生物或物体作为目标。除非其成功通过DC等于8 +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</si>
  <si>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维多肯的成熟速度比人类要慢，在40岁时才会成年，维多肯的寿命一般在350岁有一些可以活到500岁。</t>
  </si>
  <si>
    <t>维多肯通常守序且鲜有邪恶。</t>
  </si>
  <si>
    <t>维多肯比人类高但是身形更修长，平均身高为六尺到六尺半。往往重达两百磅。你属于中型体型。</t>
  </si>
  <si>
    <t>你可以说、读、写通用语，维多肯语，还有一项你选择的其他语言。</t>
  </si>
  <si>
    <t>维多肯式冷静</t>
  </si>
  <si>
    <t>你在所有智力，感知和魅力的豁免检定上具有优势。</t>
  </si>
  <si>
    <t>追求卓越，不知疲倦</t>
  </si>
  <si>
    <t>你在以下一项你选择的技能上具有熟练项: 奥秘, 历史, 调查, 医药, 表演或者巧手。 你同样获得一种你选择的工具的熟练项。
当你进行你选择的技能或工具的属性检定时，投一枚D4并将其结果加到骰值上。</t>
  </si>
  <si>
    <t>部分两栖</t>
  </si>
  <si>
    <t>通过用皮肤吸收氧气，你可以水下呼吸一小时，一旦超过时限，你就无法再次使用本特性直到完成一次长休。</t>
  </si>
  <si>
    <t>幻身灵成熟速度比人类稍快，但是寿命和人类差不多——通常是一世纪或更短。虽然幻身灵能够通过改变外表来隐藏自己的年龄，但是这么做无法让他们逃脱衰老带来的影响。</t>
  </si>
  <si>
    <t>幻身灵讨厌被以任何方式束缚，这些旅者的追随者相信混乱和改变是生活中最精华的部分。他们大多倾向于务实和中立，而不是关注崇高的理想。但仍有少数幻身灵选择拥抱邪恶。</t>
  </si>
  <si>
    <t>原始形态下的幻身灵平均身高在5英尺到6英尺之间，身材纤细。属于中等体型。</t>
  </si>
  <si>
    <t>你能说、读、写通用语和其他两门你选择的语言。</t>
  </si>
  <si>
    <t>改头换面</t>
  </si>
  <si>
    <t>以一个动作，你能够改变自己的外表或恢复到原始的形态。你不能复制一个你从未见过的生物的外观。当你死亡时，会恢复到原始形态。
你能自行决定自己的外观，这包括了身高、体重、面部特征、声音、肤色、发色、头发长度、性别和其他一切显著的特征。你能够让自己看上去象是其他种族的一员，但这并不会改变你的游戏数据。如果你是二足动物，你不能用此能力变成四足动物。你的衣服和其他装备的外表、尺寸和形状都不会发生变化。为了进行完美的伪装，你需要在手头多准备几套衣服。
即使是最精明的观察者也很难识破你的诡计。当你引起其他生物的怀疑，或是有机警的生物怀疑什么地方出了问题，你在避免被识破的魅力（欺瞒）检定中具有优势。</t>
  </si>
  <si>
    <t>幻身灵本能</t>
  </si>
  <si>
    <t>你从以下技能中选择两项获得熟练：欺瞒、洞悉、威吓或游说。</t>
  </si>
  <si>
    <t>扰人面容</t>
  </si>
  <si>
    <t>当一个你能够看见的生物对你进行攻击检定时，你能以一个反应动作让这次检定具有劣势。你必须在知道攻击是否命中之前声明使用此能力。在使用此能力后，所有30尺内能够看到你的生物都会发觉你的变形生物本质。使用一次此能力后，必须经过一次短休或长休才能再次使用。</t>
  </si>
  <si>
    <t>人格面具</t>
  </si>
  <si>
    <t>你选择一种工具获得熟练，然后设定一个与此熟练相关，且包括姓名、种族、性别、年龄和其他细节的人格面具。当你处于这个人格面具相应的形态下时，用选定工具进行的任何属性检定都能获得双倍熟练加值。</t>
  </si>
  <si>
    <t>离梦人的发育速度和人类一样，寿命也差不多。</t>
  </si>
  <si>
    <t>与高贵精神体的链接让离梦人的行为趋向守序和善良。大多数离梦人严格自律、慈悲为怀，但有些离梦人抵抗了善良精神体对他们的影响。</t>
  </si>
  <si>
    <t>离梦人体型和人类相近，但比人类高几英寸。属于中等体型。</t>
  </si>
  <si>
    <t>你能说、读、写通用语、梦族语和其他一门你选择的语言。</t>
  </si>
  <si>
    <t>双重灵魂</t>
  </si>
  <si>
    <t>当你进行感知豁免检定时，你能以一个反应动作使这次检定具有优势。你能在掷骰之后再使用此能力，但必须在要豁免的效果生效之前决定。</t>
  </si>
  <si>
    <t>心灵训练</t>
  </si>
  <si>
    <t>你对心灵伤害具有抗性。</t>
  </si>
  <si>
    <t>心灵链接</t>
  </si>
  <si>
    <t>你能够对60尺内任何你能看到的生物通过心灵感应说话。你不必须懂得该生物的语言也能使其理解你通过心灵感应所传达的话语，但目标必须至少能够理解一种语言。当你对一个距离60尺内且能看到你的生物通过心灵感应说话时，你能以一个附赠动作赋予该生物通过心灵感应向你说话的能力，此效果持续至你的下一轮开始时。</t>
  </si>
  <si>
    <t>超然魅力</t>
  </si>
  <si>
    <t>你从以下技能中选择一项：洞悉、威吓、表演或游说。你在通过该技能进行属性检定时具有优势。</t>
  </si>
  <si>
    <t>隔离梦境</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</si>
  <si>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</si>
  <si>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化兽者在身体和心理上都会快速成熟，他们在10岁时成年，很少能活过70岁。</t>
  </si>
  <si>
    <t>化兽者倾向中立阵营，他们更关注生存，而不是善良与邪恶的概念。对于个人自由的热爱可能会驱使化兽者倾向混乱阵营。</t>
  </si>
  <si>
    <t>化兽者根据亚种，身高从5英尺到近7英尺不等。属于中等体型。</t>
  </si>
  <si>
    <t>你能说、读、写通用语。</t>
  </si>
  <si>
    <t>你熟练于察觉技能。</t>
  </si>
  <si>
    <t>兽化</t>
  </si>
  <si>
    <t>以一个附赠动作，你的外表能够变得更为野性。这个变化将持续1分钟，或直到你死亡。你能以一个附赠动作恢复原来的外表。当你兽化，你获得等同于你的等级+体质调整值的临时生命值（最少1点）。同时你还将根据亚种获得额外的好处。
当你兽化之后，必须经过一次短休或长休才能再次使用。</t>
  </si>
  <si>
    <t>强壮</t>
  </si>
  <si>
    <t>你熟练于运动技能。</t>
  </si>
  <si>
    <t>兽化特性</t>
  </si>
  <si>
    <t>当你兽化时，能够额外得到1d6临时生命值，并且在处于兽化状态时，你在AC上获得+1加值。</t>
  </si>
  <si>
    <t>凶猛</t>
  </si>
  <si>
    <t>你熟练于威吓技能。</t>
  </si>
  <si>
    <t>当你兽化时，你能以一个附赠动作用利齿发动徒手攻击。如果命中，你将造成1d6+力量调整值的穿刺伤害，而不是通常的徒手攻击伤害。</t>
  </si>
  <si>
    <t>优雅</t>
  </si>
  <si>
    <t>你熟练于体操技能。</t>
  </si>
  <si>
    <t>当你兽化时，步行速度增加5英尺。此外，当敌人在距离你5英尺处结束回合时，你能以一个反应动作移动10英尺。
此移动不会引发借机攻击。</t>
  </si>
  <si>
    <t>迅捷步伐</t>
  </si>
  <si>
    <t>你步行速度增加5英尺。</t>
  </si>
  <si>
    <t>自然追踪者</t>
  </si>
  <si>
    <t>你熟练于求生技能。</t>
  </si>
  <si>
    <t>当你兽化时，你在感知检定中具有优势。</t>
  </si>
  <si>
    <t>追踪气味</t>
  </si>
  <si>
    <t>以一个附赠动作，你能够锁定一个距离你10尺以内的生物。直到你下次长休结束，你在为了找到目标而进行的属性检定中具有双倍的熟练加值，并且当目标与你之间的距离不大于60尺时，你总是能够知道目标的位置。
使用一次此能力后，必须经过一次短休或长休才能再次使用。</t>
  </si>
  <si>
    <t>典型的战俑年龄在2-30岁之间。因为到目前为止，战俑还没有表现出由时间导致的劣化现象，所以战俑的最大寿命仍是未知数。</t>
  </si>
  <si>
    <t>绝大多数战俑在有秩序和纪律的环境中会感到舒适，这使他们倾向于守序中立阵营，有些战俑已经从他们侍奉的人那里吸收了道德观念，但也有一些对此毫无概念。</t>
  </si>
  <si>
    <t>战俑的身高在5英尺到6英尺半之间，具体数据取决于亚种。属于中等体型。</t>
  </si>
  <si>
    <t>战俑耐力</t>
  </si>
  <si>
    <t>你设计上就拥有非凡的强韧，这表现在以下几个方面：
你进行对抗毒素的豁免时具有优势，并且拥有毒素伤害的抗性。
你对疾病免疫。
你不需要吃、喝和呼吸。
你不需要睡眠，不会因为缺乏休息而陷入力竭，同时也不会因为魔法效果而陷入睡眠。</t>
  </si>
  <si>
    <t>哨兵式休息</t>
  </si>
  <si>
    <t>当你进行长休时，你必须进入6小时静止的非激活状态以代替睡眠。处于非激活状态时，你变得迟缓，但不会失去意识，并能够保持正常的视力和听力。</t>
  </si>
  <si>
    <t>综合防护</t>
  </si>
  <si>
    <t>你的身体有内置的防护层，你的防御等级将由此决定。你无法穿戴任何盔甲，但你能正常从装备盾牌中获得好处。
你能够改变自己的身体以进入不同的防护模式；每当你进行长休时，你能够从综合防护表中选择一个符合其先决条件的防护模式。
综合防护：
模式          先决条件    防御等级
黑木核心   无               11+你的敏捷调整值（如果你擅长轻甲，再计入你的熟练加值）
复合护甲   擅长中甲    13+你的敏捷调整值（最多+2）+熟练加值
重型护甲   擅长重甲    16+你的熟练加值；同时在敏捷（隐匿）检定中具有劣势</t>
  </si>
  <si>
    <t>专业设计</t>
  </si>
  <si>
    <t>你选择一项技能、一种工具和一门语言，获得其熟练。</t>
  </si>
  <si>
    <t>内置工具</t>
  </si>
  <si>
    <t>选择一种你熟练的工具。该工具会被整合到你的身体里，同时你在使用此工具进行属性检定时具有双倍的熟练加值。你在使用内置工具时，必须空着双手。</t>
  </si>
  <si>
    <t>铁拳</t>
  </si>
  <si>
    <t>当你的徒手攻击命中时，将造成1d4+你的力量调整值的伤害。而不是通常的徒手攻击伤害。</t>
  </si>
  <si>
    <t>强壮体格</t>
  </si>
  <si>
    <t>你的负重、推动、拉动及抬起物品的能力视同为体型大一级的生物。
你比你的同族更高：金刚战俑身高6-7英尺，体重能够达到450磅。</t>
  </si>
  <si>
    <t>迅捷</t>
  </si>
  <si>
    <t>轻巧步伐</t>
  </si>
  <si>
    <t>当你独自旅行一段时间（1小时或更长时间）后，你能够在不减速的情况下于移动中保持隐匿。</t>
  </si>
  <si>
    <t>背包 Inventory</t>
  </si>
  <si>
    <t>lb</t>
  </si>
  <si>
    <t>数量</t>
  </si>
  <si>
    <t>×</t>
  </si>
  <si>
    <t>背包3（次元袋）</t>
  </si>
  <si>
    <t>无效</t>
  </si>
  <si>
    <t>背包4（次元袋）</t>
  </si>
  <si>
    <t>次元袋负重（实际）</t>
  </si>
  <si>
    <t>次元袋负重（收纳）</t>
  </si>
  <si>
    <t>玩家笔记1</t>
  </si>
  <si>
    <t>玩家笔记2</t>
  </si>
  <si>
    <t>个人据点储物箱</t>
  </si>
  <si>
    <t>个人据点财产</t>
  </si>
  <si>
    <t>个人财产收入</t>
  </si>
  <si>
    <t>物品名称</t>
  </si>
  <si>
    <t>物品描述</t>
  </si>
  <si>
    <t>币种</t>
  </si>
  <si>
    <t>来源</t>
  </si>
  <si>
    <t>个人据点武器架</t>
  </si>
  <si>
    <t>杂物间</t>
  </si>
  <si>
    <t>书页标签</t>
  </si>
  <si>
    <t>优先读取</t>
  </si>
  <si>
    <t>目录</t>
  </si>
  <si>
    <t>BY:做一个好条条</t>
  </si>
  <si>
    <t>懒人包系列：法术速查</t>
  </si>
  <si>
    <t>选</t>
  </si>
  <si>
    <t>感谢各位翻译人员的伟大贡献，在你们努力的基础上，我才能做出这份东西来让大家更好地偷懒。
另外还有一句话，这份东西做出来是为了方便大家用的，如果你有更好或者更习惯的方法，你可以不用这个，但是不要说给我听，这没有任何逼格。谢谢</t>
  </si>
  <si>
    <t>启用</t>
  </si>
  <si>
    <t>SCAG</t>
  </si>
  <si>
    <t>XGE</t>
  </si>
  <si>
    <t>因为EEPC和XGE的部分法术重复，所以同法术的EEPC版本词尾会加个E
用法：右边的框框里单击你想要的法术，CRTL+C复制，点击下面那个中文框，右键粘贴文本（或者叫粘贴为数值
或者手打 （英语同</t>
  </si>
  <si>
    <t>输入你要查的法术（中文）</t>
  </si>
  <si>
    <t>输入</t>
  </si>
  <si>
    <t>侦测思想</t>
  </si>
  <si>
    <t>译名和你知道的不符就填英文</t>
  </si>
  <si>
    <t>Detect Thoughts</t>
  </si>
  <si>
    <r>
      <rPr>
        <sz val="20"/>
        <rFont val="楷体"/>
        <charset val="134"/>
      </rPr>
      <t>单击复制，粘贴文本到中文区</t>
    </r>
    <r>
      <rPr>
        <sz val="20"/>
        <rFont val="Arial"/>
        <charset val="134"/>
      </rPr>
      <t>↑</t>
    </r>
  </si>
  <si>
    <r>
      <rPr>
        <sz val="20"/>
        <rFont val="楷体"/>
        <charset val="134"/>
      </rPr>
      <t>描述区域在底下</t>
    </r>
    <r>
      <rPr>
        <sz val="20"/>
        <rFont val="Arial"/>
        <charset val="134"/>
      </rPr>
      <t>↓</t>
    </r>
  </si>
  <si>
    <t>●</t>
  </si>
  <si>
    <t>施法时间：</t>
  </si>
  <si>
    <t>施法距离：</t>
  </si>
  <si>
    <t>法术成分：</t>
  </si>
  <si>
    <t>持续时间：</t>
  </si>
  <si>
    <t>下面有大号版本的</t>
  </si>
  <si>
    <t>钢风斩</t>
  </si>
  <si>
    <t>西风打击</t>
  </si>
  <si>
    <t>莫伊之影</t>
  </si>
  <si>
    <t>众星冠冕</t>
  </si>
  <si>
    <t>汲能术</t>
  </si>
  <si>
    <t>渺远步</t>
  </si>
  <si>
    <t>精神监狱</t>
  </si>
  <si>
    <t>心灵尖刺</t>
  </si>
  <si>
    <t>律令痛苦</t>
  </si>
  <si>
    <t>心灵尖啸</t>
  </si>
  <si>
    <t>散射术</t>
  </si>
  <si>
    <t>幽影刃</t>
  </si>
  <si>
    <t>致病辐射</t>
  </si>
  <si>
    <t>雷霆步</t>
  </si>
  <si>
    <t>光墙</t>
  </si>
  <si>
    <t>阿比达奇凋死术</t>
  </si>
  <si>
    <t>阿迦纳萨喷火术</t>
  </si>
  <si>
    <t>弹射</t>
  </si>
  <si>
    <t>龙息术</t>
  </si>
  <si>
    <t>焚烧</t>
  </si>
  <si>
    <t>麦克斯米利安的地之攫</t>
  </si>
  <si>
    <t>马友夫微流星</t>
  </si>
  <si>
    <t>史尼洛雪球群</t>
  </si>
  <si>
    <t>暴风球</t>
  </si>
  <si>
    <t>浓酸球</t>
  </si>
  <si>
    <t>混乱箭</t>
  </si>
  <si>
    <t>敌群环绕</t>
  </si>
  <si>
    <t>突触静止</t>
  </si>
  <si>
    <t>假寐术</t>
  </si>
  <si>
    <t>群体变形术</t>
  </si>
  <si>
    <t>烟火</t>
  </si>
  <si>
    <t>授予技能</t>
  </si>
  <si>
    <t>魅惑怪物</t>
  </si>
  <si>
    <t>鸣雷破</t>
  </si>
  <si>
    <t>地动</t>
  </si>
  <si>
    <t>守护之风</t>
  </si>
  <si>
    <t>空中写字</t>
  </si>
  <si>
    <t>获得高等坐骑</t>
  </si>
  <si>
    <t>典礼术</t>
  </si>
  <si>
    <t>神圣武器</t>
  </si>
  <si>
    <t>亡者丧钟</t>
  </si>
  <si>
    <t>拂晓</t>
  </si>
  <si>
    <t>生命转换</t>
  </si>
  <si>
    <t>神庙术</t>
  </si>
  <si>
    <t>光耀祷词</t>
  </si>
  <si>
    <t>吸收元素</t>
  </si>
  <si>
    <t>造成恐惧</t>
  </si>
  <si>
    <t>骷髅之舞</t>
  </si>
  <si>
    <t>地狱呼唤</t>
  </si>
  <si>
    <t>疯狂之暗</t>
  </si>
  <si>
    <t>负能量洪流</t>
  </si>
  <si>
    <t>灵魂牢笼</t>
  </si>
  <si>
    <t>召唤高等恶魔</t>
  </si>
  <si>
    <t>召唤次级恶魔</t>
  </si>
  <si>
    <t>创造小人</t>
  </si>
  <si>
    <t>幻影巨龙</t>
  </si>
  <si>
    <t>无敌术</t>
  </si>
  <si>
    <t>坚固堡垒</t>
  </si>
  <si>
    <t>谭森变形术</t>
  </si>
  <si>
    <t>迷你仆役</t>
  </si>
  <si>
    <t>沙墙</t>
  </si>
  <si>
    <t>火箭</t>
  </si>
  <si>
    <t>魔法圈套</t>
  </si>
  <si>
    <t>兽之联结</t>
  </si>
  <si>
    <t>自然守卫</t>
  </si>
  <si>
    <t>治愈之魂</t>
  </si>
  <si>
    <t>自然之怒</t>
  </si>
  <si>
    <t>魔石</t>
  </si>
  <si>
    <t>创造篝火</t>
  </si>
  <si>
    <t>地缚</t>
  </si>
  <si>
    <t>虫群孳生</t>
  </si>
  <si>
    <t>炽焰赋权</t>
  </si>
  <si>
    <t>寒冰赋权</t>
  </si>
  <si>
    <t>磐石赋权</t>
  </si>
  <si>
    <t>清风赋权</t>
  </si>
  <si>
    <t>控风</t>
  </si>
  <si>
    <t>尘土恶魔</t>
  </si>
  <si>
    <t>土石喷发</t>
  </si>
  <si>
    <t>舞风</t>
  </si>
  <si>
    <t>冰刃</t>
  </si>
  <si>
    <t>塑土</t>
  </si>
  <si>
    <t>塑水</t>
  </si>
  <si>
    <t>潮涌</t>
  </si>
  <si>
    <t>水墙</t>
  </si>
  <si>
    <t>碧水球</t>
  </si>
  <si>
    <t>旋风</t>
  </si>
  <si>
    <t>元素灾厄</t>
  </si>
  <si>
    <t>转化岩石</t>
  </si>
  <si>
    <t>霜噬</t>
  </si>
  <si>
    <t>控火</t>
  </si>
  <si>
    <t>地之骨</t>
  </si>
  <si>
    <t>德鲁伊林地</t>
  </si>
  <si>
    <t>大漩涡</t>
  </si>
  <si>
    <t>原初蛮击</t>
  </si>
  <si>
    <t>原初守护</t>
  </si>
  <si>
    <t>轰雷剑</t>
  </si>
  <si>
    <t>翠炎剑</t>
  </si>
  <si>
    <t>闪电牵引</t>
  </si>
  <si>
    <t>剑刃爆发</t>
  </si>
  <si>
    <t>警报术</t>
  </si>
  <si>
    <t>召唤箭雨</t>
  </si>
  <si>
    <t>万箭齐发</t>
  </si>
  <si>
    <t>警戒之箭</t>
  </si>
  <si>
    <t>诱捕打击</t>
  </si>
  <si>
    <t>棘雹术</t>
  </si>
  <si>
    <t>猎人印记</t>
  </si>
  <si>
    <t>闪电箭</t>
  </si>
  <si>
    <t>迅捷箭袋</t>
  </si>
  <si>
    <t>异界探知</t>
  </si>
  <si>
    <t>创造半位面</t>
  </si>
  <si>
    <t>石化术</t>
  </si>
  <si>
    <t>禁锢术</t>
  </si>
  <si>
    <t>衰弱射线</t>
  </si>
  <si>
    <t>吸血鬼之触</t>
  </si>
  <si>
    <t>艾嘉西斯之铠</t>
  </si>
  <si>
    <t>哈达之臂</t>
  </si>
  <si>
    <t>魔能爆</t>
  </si>
  <si>
    <t>炼狱叱喝</t>
  </si>
  <si>
    <t>脆弱诅咒</t>
  </si>
  <si>
    <t>哈达之欲</t>
  </si>
  <si>
    <t>造物术</t>
  </si>
  <si>
    <t>灼热射线</t>
  </si>
  <si>
    <t>秘法门</t>
  </si>
  <si>
    <t>冻寒之触</t>
  </si>
  <si>
    <t>死亡法阵</t>
  </si>
  <si>
    <t>法术反制</t>
  </si>
  <si>
    <t>黑暗术</t>
  </si>
  <si>
    <t>脚底摸油</t>
  </si>
  <si>
    <t>死亡一指</t>
  </si>
  <si>
    <t>飞行术</t>
  </si>
  <si>
    <t>气化形体</t>
  </si>
  <si>
    <t>镜影术</t>
  </si>
  <si>
    <t>迷踪步</t>
  </si>
  <si>
    <t>蛛行术</t>
  </si>
  <si>
    <t>巫术箭</t>
  </si>
  <si>
    <t>酸液飞溅</t>
  </si>
  <si>
    <t>变身术</t>
  </si>
  <si>
    <t>闪现术</t>
  </si>
  <si>
    <t>朦胧术</t>
  </si>
  <si>
    <t>燃烧之手</t>
  </si>
  <si>
    <t>连锁闪电</t>
  </si>
  <si>
    <t>繁彩球</t>
  </si>
  <si>
    <t>死云术</t>
  </si>
  <si>
    <t>七彩喷射</t>
  </si>
  <si>
    <t>寒冰锥</t>
  </si>
  <si>
    <t>延迟爆裂火球</t>
  </si>
  <si>
    <t>解离术</t>
  </si>
  <si>
    <t>变巨/缩小术</t>
  </si>
  <si>
    <t>虚假生命</t>
  </si>
  <si>
    <t>火焰箭</t>
  </si>
  <si>
    <t>火球术</t>
  </si>
  <si>
    <t>法术无效结界</t>
  </si>
  <si>
    <t>加速术</t>
  </si>
  <si>
    <t>焚云术</t>
  </si>
  <si>
    <t>浮空术</t>
  </si>
  <si>
    <t>闪电束</t>
  </si>
  <si>
    <t>法师护甲</t>
  </si>
  <si>
    <t>魔法飞弹</t>
  </si>
  <si>
    <t>流星爆</t>
  </si>
  <si>
    <t>虹光喷射</t>
  </si>
  <si>
    <t>冷冻射线</t>
  </si>
  <si>
    <t>致病射线</t>
  </si>
  <si>
    <t>护盾术</t>
  </si>
  <si>
    <t>电爪</t>
  </si>
  <si>
    <t>缓慢术</t>
  </si>
  <si>
    <t>心灵遥控</t>
  </si>
  <si>
    <t>时间停止</t>
  </si>
  <si>
    <t>蛛网术</t>
  </si>
  <si>
    <t>祈愿术</t>
  </si>
  <si>
    <t>回避侦测</t>
  </si>
  <si>
    <t>托梦术</t>
  </si>
  <si>
    <t>魔力监牢</t>
  </si>
  <si>
    <t>迷幻手稿</t>
  </si>
  <si>
    <t>完全变形术</t>
  </si>
  <si>
    <t>隐形仆役</t>
  </si>
  <si>
    <t>注目术</t>
  </si>
  <si>
    <t>花言巧语</t>
  </si>
  <si>
    <t>剑刃防护</t>
  </si>
  <si>
    <t>匕首之云</t>
  </si>
  <si>
    <t>通晓语言</t>
  </si>
  <si>
    <t>疯狂冠冕</t>
  </si>
  <si>
    <t>任意门</t>
  </si>
  <si>
    <t>支配怪物</t>
  </si>
  <si>
    <t>摄心目光</t>
  </si>
  <si>
    <t>恐惧术</t>
  </si>
  <si>
    <t>交友术</t>
  </si>
  <si>
    <t>怪物定身术</t>
  </si>
  <si>
    <t>催眠图纹</t>
  </si>
  <si>
    <t>隐形术</t>
  </si>
  <si>
    <t>法师之手</t>
  </si>
  <si>
    <t>高等幻影</t>
  </si>
  <si>
    <t>群体暗示术</t>
  </si>
  <si>
    <t>次级幻影</t>
  </si>
  <si>
    <t>律令死亡</t>
  </si>
  <si>
    <t>律令震慑</t>
  </si>
  <si>
    <t>魔法伎俩</t>
  </si>
  <si>
    <t>粉碎音波</t>
  </si>
  <si>
    <t>暗示术</t>
  </si>
  <si>
    <t>克敌机先</t>
  </si>
  <si>
    <t>活化物件</t>
  </si>
  <si>
    <t>舞光术</t>
  </si>
  <si>
    <t>易容术</t>
  </si>
  <si>
    <t>支配人类</t>
  </si>
  <si>
    <t>羽落术</t>
  </si>
  <si>
    <t>高等隐形术</t>
  </si>
  <si>
    <t>敲击术</t>
  </si>
  <si>
    <t>传讯术</t>
  </si>
  <si>
    <t>魅影之力</t>
  </si>
  <si>
    <t>识破隐形</t>
  </si>
  <si>
    <t>伪装术</t>
  </si>
  <si>
    <t>无声幻影</t>
  </si>
  <si>
    <t>睡眠术</t>
  </si>
  <si>
    <t>臭云术</t>
  </si>
  <si>
    <t>传送术</t>
  </si>
  <si>
    <t>传送法阵</t>
  </si>
  <si>
    <t>英雄气概</t>
  </si>
  <si>
    <t>沉默术</t>
  </si>
  <si>
    <t>同游灵界</t>
  </si>
  <si>
    <t>巧言术</t>
  </si>
  <si>
    <t>真知术</t>
  </si>
  <si>
    <t>目盲/耳聋术</t>
  </si>
  <si>
    <t>鹰眼术</t>
  </si>
  <si>
    <t>光亮术</t>
  </si>
  <si>
    <t>死者复活</t>
  </si>
  <si>
    <t>诚实之域</t>
  </si>
  <si>
    <t>降咒</t>
  </si>
  <si>
    <t>守卫刻文</t>
  </si>
  <si>
    <t>通晓传奇</t>
  </si>
  <si>
    <t>短讯术</t>
  </si>
  <si>
    <t>魔法徽记</t>
  </si>
  <si>
    <t>行动自如</t>
  </si>
  <si>
    <t>探知</t>
  </si>
  <si>
    <t>人类定身术</t>
  </si>
  <si>
    <t>修复术</t>
  </si>
  <si>
    <t>强化属性</t>
  </si>
  <si>
    <t>侦测魔法</t>
  </si>
  <si>
    <t>生物定位术</t>
  </si>
  <si>
    <t>物件定位术</t>
  </si>
  <si>
    <t>疗伤术</t>
  </si>
  <si>
    <t>次级复原术</t>
  </si>
  <si>
    <t>解除魔法</t>
  </si>
  <si>
    <t>指使术</t>
  </si>
  <si>
    <t>假死术</t>
  </si>
  <si>
    <t>异界誓缚</t>
  </si>
  <si>
    <t>寻路术</t>
  </si>
  <si>
    <t>高等复原术</t>
  </si>
  <si>
    <t>治愈真言</t>
  </si>
  <si>
    <t>群体疗伤术</t>
  </si>
  <si>
    <t>再生术</t>
  </si>
  <si>
    <t>灾祸术</t>
  </si>
  <si>
    <t>安定心神</t>
  </si>
  <si>
    <t>复生术</t>
  </si>
  <si>
    <t>死者交谈</t>
  </si>
  <si>
    <t>铜墙铁壁</t>
  </si>
  <si>
    <t>鉴定术</t>
  </si>
  <si>
    <t>李欧蒙小屋</t>
  </si>
  <si>
    <t>魔嘴术</t>
  </si>
  <si>
    <t>心灵屏障</t>
  </si>
  <si>
    <t>假象术</t>
  </si>
  <si>
    <t>篡改记忆</t>
  </si>
  <si>
    <t>摩登肯豪宅术</t>
  </si>
  <si>
    <t>摩登肯之剑</t>
  </si>
  <si>
    <t>奥图迷舞</t>
  </si>
  <si>
    <t>预置幻影</t>
  </si>
  <si>
    <t>投影术</t>
  </si>
  <si>
    <t>塔莎狂笑术</t>
  </si>
  <si>
    <t>大步奔行</t>
  </si>
  <si>
    <t>化兽为友</t>
  </si>
  <si>
    <t>动物信使</t>
  </si>
  <si>
    <t>动植物定位术</t>
  </si>
  <si>
    <t>植物滋长</t>
  </si>
  <si>
    <t>动物交谈</t>
  </si>
  <si>
    <t>植物交谈</t>
  </si>
  <si>
    <t>弱智术</t>
  </si>
  <si>
    <t>预警术</t>
  </si>
  <si>
    <t>幻景</t>
  </si>
  <si>
    <t>魅惑人类</t>
  </si>
  <si>
    <t>困惑术</t>
  </si>
  <si>
    <t>变形术</t>
  </si>
  <si>
    <t>雷鸣波</t>
  </si>
  <si>
    <t>海市蜃楼</t>
  </si>
  <si>
    <t>启蒙术</t>
  </si>
  <si>
    <t>妖火</t>
  </si>
  <si>
    <t>灼热金属</t>
  </si>
  <si>
    <t>强迫术</t>
  </si>
  <si>
    <t>不谐低语</t>
  </si>
  <si>
    <t>律令医疗</t>
  </si>
  <si>
    <t>恶言相加</t>
  </si>
  <si>
    <t>魔化武器</t>
  </si>
  <si>
    <t>生命灵光</t>
  </si>
  <si>
    <t>净化灵光</t>
  </si>
  <si>
    <t>活力灵光</t>
  </si>
  <si>
    <t>放逐斩</t>
  </si>
  <si>
    <t>致盲斩</t>
  </si>
  <si>
    <t>印记斩</t>
  </si>
  <si>
    <t>原力法阵</t>
  </si>
  <si>
    <t>强令对决</t>
  </si>
  <si>
    <t>十字军披风</t>
  </si>
  <si>
    <t>湮灭波</t>
  </si>
  <si>
    <t>神恩</t>
  </si>
  <si>
    <t>元素武器</t>
  </si>
  <si>
    <t>召唤坐骑</t>
  </si>
  <si>
    <t>炽焰斩</t>
  </si>
  <si>
    <t>惊惧斩</t>
  </si>
  <si>
    <t>雷鸣斩</t>
  </si>
  <si>
    <t>激愤斩</t>
  </si>
  <si>
    <t>星界投影</t>
  </si>
  <si>
    <t>唤起死灵</t>
  </si>
  <si>
    <t>异界之门</t>
  </si>
  <si>
    <t>防护法阵</t>
  </si>
  <si>
    <t>防护善恶</t>
  </si>
  <si>
    <t>移除诅咒</t>
  </si>
  <si>
    <t>放逐术</t>
  </si>
  <si>
    <t>援助术</t>
  </si>
  <si>
    <t>祝福术</t>
  </si>
  <si>
    <t>命令术</t>
  </si>
  <si>
    <t>造粮术</t>
  </si>
  <si>
    <t>防死结界</t>
  </si>
  <si>
    <t>侦测善恶</t>
  </si>
  <si>
    <t>反制善恶</t>
  </si>
  <si>
    <t>回生术</t>
  </si>
  <si>
    <t>虔诚护盾</t>
  </si>
  <si>
    <t>操纵死尸</t>
  </si>
  <si>
    <t>反魔法力场</t>
  </si>
  <si>
    <t>不灭明焰</t>
  </si>
  <si>
    <t>遗体防腐</t>
  </si>
  <si>
    <t>防护能量伤害</t>
  </si>
  <si>
    <t>水面行走</t>
  </si>
  <si>
    <t>寻找陷阱</t>
  </si>
  <si>
    <t>异界传送</t>
  </si>
  <si>
    <t>地震术</t>
  </si>
  <si>
    <t>火焰风暴</t>
  </si>
  <si>
    <t>疫病虫群</t>
  </si>
  <si>
    <t>昼明术</t>
  </si>
  <si>
    <t>侦测毒性和疾病</t>
  </si>
  <si>
    <t>防护毒素</t>
  </si>
  <si>
    <t>净化食粮</t>
  </si>
  <si>
    <t>操控水体</t>
  </si>
  <si>
    <t>操控天气</t>
  </si>
  <si>
    <t>塑石术</t>
  </si>
  <si>
    <t>疫病术</t>
  </si>
  <si>
    <t>造水/枯水术</t>
  </si>
  <si>
    <t>神导术</t>
  </si>
  <si>
    <t>医疗术</t>
  </si>
  <si>
    <t>英雄宴</t>
  </si>
  <si>
    <t>融身入石</t>
  </si>
  <si>
    <t>提升抗性</t>
  </si>
  <si>
    <t>完全复生术</t>
  </si>
  <si>
    <t>卜筮术</t>
  </si>
  <si>
    <t>希望信标</t>
  </si>
  <si>
    <t>剑刃护壁</t>
  </si>
  <si>
    <t>通神术</t>
  </si>
  <si>
    <t>召唤天界生物</t>
  </si>
  <si>
    <t>预言术</t>
  </si>
  <si>
    <t>圣言术</t>
  </si>
  <si>
    <t>焰击术</t>
  </si>
  <si>
    <t>禁制术</t>
  </si>
  <si>
    <t>信仰守卫</t>
  </si>
  <si>
    <t>曳光弹</t>
  </si>
  <si>
    <t>圣居</t>
  </si>
  <si>
    <t>重伤术</t>
  </si>
  <si>
    <t>圣洁灵光</t>
  </si>
  <si>
    <t>致伤术</t>
  </si>
  <si>
    <t>群体医疗术</t>
  </si>
  <si>
    <t>群体治愈真言</t>
  </si>
  <si>
    <t>异界誓盟</t>
  </si>
  <si>
    <t>治疗祷言</t>
  </si>
  <si>
    <t>圣火术</t>
  </si>
  <si>
    <t>庇护术</t>
  </si>
  <si>
    <t>维生术</t>
  </si>
  <si>
    <t>灵体卫士</t>
  </si>
  <si>
    <t>灵体武器</t>
  </si>
  <si>
    <t>奇术</t>
  </si>
  <si>
    <t>守护之链</t>
  </si>
  <si>
    <t>回返真言</t>
  </si>
  <si>
    <t>秘法眼</t>
  </si>
  <si>
    <t>秘法锁</t>
  </si>
  <si>
    <t>毕格比之手</t>
  </si>
  <si>
    <t>克隆术</t>
  </si>
  <si>
    <t>触发术</t>
  </si>
  <si>
    <t>卓姆吉瞬间召唤</t>
  </si>
  <si>
    <t>艾伐黑触手</t>
  </si>
  <si>
    <t>鬼斧神工</t>
  </si>
  <si>
    <t>获得魔宠</t>
  </si>
  <si>
    <t>火焰护盾</t>
  </si>
  <si>
    <t>炽焰法球</t>
  </si>
  <si>
    <t>油腻术</t>
  </si>
  <si>
    <t>李欧蒙秘藏箱</t>
  </si>
  <si>
    <t>魔魂壶</t>
  </si>
  <si>
    <t>迷宫术</t>
  </si>
  <si>
    <t>马友夫强酸箭</t>
  </si>
  <si>
    <t>摩登肯忠犬</t>
  </si>
  <si>
    <t>摩登肯私人密室</t>
  </si>
  <si>
    <t>涅斯图魔法灵光</t>
  </si>
  <si>
    <t>欧提路克冰封法球</t>
  </si>
  <si>
    <t>欧提路克弹力法球</t>
  </si>
  <si>
    <t>穿墙术</t>
  </si>
  <si>
    <t>魅影杀手</t>
  </si>
  <si>
    <t>魅影驹</t>
  </si>
  <si>
    <t>虹光法墙</t>
  </si>
  <si>
    <t>拉瑞心灵联结</t>
  </si>
  <si>
    <t>魔绳术</t>
  </si>
  <si>
    <t>隔离术</t>
  </si>
  <si>
    <t>拟像术</t>
  </si>
  <si>
    <t>心灵感应</t>
  </si>
  <si>
    <t>谭森浮碟术</t>
  </si>
  <si>
    <t>力场墙</t>
  </si>
  <si>
    <t>冰墙术</t>
  </si>
  <si>
    <t>怪影杀手</t>
  </si>
  <si>
    <t>德鲁伊伎俩</t>
  </si>
  <si>
    <t>燃火术</t>
  </si>
  <si>
    <t>云雾术</t>
  </si>
  <si>
    <t>跳跃术</t>
  </si>
  <si>
    <t>石肤术</t>
  </si>
  <si>
    <t>水中呼吸</t>
  </si>
  <si>
    <t>树肤术</t>
  </si>
  <si>
    <t>野兽知觉</t>
  </si>
  <si>
    <t>问道自然</t>
  </si>
  <si>
    <t>召唤动物</t>
  </si>
  <si>
    <t>召唤林地之精</t>
  </si>
  <si>
    <t>神莓术</t>
  </si>
  <si>
    <t>擒抱藤</t>
  </si>
  <si>
    <t>行动无踪</t>
  </si>
  <si>
    <t>荆棘丛生</t>
  </si>
  <si>
    <t>树跃术</t>
  </si>
  <si>
    <t>风墙术</t>
  </si>
  <si>
    <t>召唤精类生物</t>
  </si>
  <si>
    <t>枯萎术</t>
  </si>
  <si>
    <t>毒气喷溅</t>
  </si>
  <si>
    <t>造风术</t>
  </si>
  <si>
    <t>冰风暴</t>
  </si>
  <si>
    <t>地动术</t>
  </si>
  <si>
    <t>雪雨暴</t>
  </si>
  <si>
    <t>阳炎射线</t>
  </si>
  <si>
    <t>阳炎爆</t>
  </si>
  <si>
    <t>火墙术</t>
  </si>
  <si>
    <t>石墙术</t>
  </si>
  <si>
    <t>支配野兽</t>
  </si>
  <si>
    <t>海啸术</t>
  </si>
  <si>
    <t>嫌恶/关怀术</t>
  </si>
  <si>
    <t>召唤元素生物</t>
  </si>
  <si>
    <t>召唤次级元素生物</t>
  </si>
  <si>
    <t>形体变化</t>
  </si>
  <si>
    <t>动物形态</t>
  </si>
  <si>
    <t>防活物护罩</t>
  </si>
  <si>
    <t>召雷术</t>
  </si>
  <si>
    <t>纠缠术</t>
  </si>
  <si>
    <t>火焰刀</t>
  </si>
  <si>
    <t>巨虫术</t>
  </si>
  <si>
    <t>月华之光</t>
  </si>
  <si>
    <t>转生术</t>
  </si>
  <si>
    <t>橡棍术</t>
  </si>
  <si>
    <t>复仇风暴</t>
  </si>
  <si>
    <t>荆棘之鞭</t>
  </si>
  <si>
    <t>木遁术</t>
  </si>
  <si>
    <t>棘墙术</t>
  </si>
  <si>
    <t>御风而行</t>
  </si>
  <si>
    <t>反重力</t>
  </si>
  <si>
    <t>弹射E</t>
  </si>
  <si>
    <t>焚烧E</t>
  </si>
  <si>
    <t>麦克斯米利安的地之攫E</t>
  </si>
  <si>
    <t>史尼洛雪球群E</t>
  </si>
  <si>
    <t>暴风球E</t>
  </si>
  <si>
    <t>浓酸球E</t>
  </si>
  <si>
    <t>阿比达奇凋死术E</t>
  </si>
  <si>
    <t>阿迦纳萨喷火术E</t>
  </si>
  <si>
    <t>烟火E</t>
  </si>
  <si>
    <t>地动E</t>
  </si>
  <si>
    <t>空中写字E</t>
  </si>
  <si>
    <t>守护之风E</t>
  </si>
  <si>
    <t>魔石E</t>
  </si>
  <si>
    <t>创造篝火E</t>
  </si>
  <si>
    <t>炽焰赋权E</t>
  </si>
  <si>
    <t>寒冰赋权E</t>
  </si>
  <si>
    <t>磐石赋权E</t>
  </si>
  <si>
    <t>清风赋权E</t>
  </si>
  <si>
    <t>控风E</t>
  </si>
  <si>
    <t>尘土恶魔E</t>
  </si>
  <si>
    <t>土石喷发E</t>
  </si>
  <si>
    <t>舞风E</t>
  </si>
  <si>
    <t>冰刃E</t>
  </si>
  <si>
    <t>塑土E</t>
  </si>
  <si>
    <t>塑水E</t>
  </si>
  <si>
    <t>潮涌E</t>
  </si>
  <si>
    <t>水墙E</t>
  </si>
  <si>
    <t>碧水球E</t>
  </si>
  <si>
    <t>旋风E</t>
  </si>
  <si>
    <t>元素灾厄E</t>
  </si>
  <si>
    <t>转化岩石E</t>
  </si>
  <si>
    <t>霜噬E</t>
  </si>
  <si>
    <t>控火E</t>
  </si>
  <si>
    <t>大漩涡E</t>
  </si>
  <si>
    <t>原初守护E</t>
  </si>
  <si>
    <t>兽之联结E</t>
  </si>
  <si>
    <t>地之骨E</t>
  </si>
  <si>
    <t>燃箭</t>
  </si>
  <si>
    <t>雷鸣</t>
  </si>
  <si>
    <t>法术 Spell</t>
  </si>
  <si>
    <t>可准备</t>
  </si>
  <si>
    <t>效果描述</t>
  </si>
  <si>
    <t>动作</t>
  </si>
  <si>
    <t>距离</t>
  </si>
  <si>
    <t>时间</t>
  </si>
  <si>
    <t>专注</t>
  </si>
  <si>
    <t>成分</t>
  </si>
  <si>
    <t>材料</t>
  </si>
  <si>
    <t>更新记录</t>
  </si>
  <si>
    <t>种族查询（Alpha版）</t>
  </si>
  <si>
    <t>v1版本：AC最大敏捷结算订正</t>
  </si>
  <si>
    <t>v2版本：法术速查整合，法术书添加</t>
  </si>
  <si>
    <t>V3……咳咳</t>
  </si>
  <si>
    <t>v4版本：排版更改为竖排</t>
  </si>
  <si>
    <t>v4.2版本：添加角色描述</t>
  </si>
  <si>
    <t>基础属性</t>
  </si>
  <si>
    <t>基础值</t>
  </si>
  <si>
    <t>种族调整值</t>
  </si>
  <si>
    <t>自选值</t>
  </si>
  <si>
    <t>v4.3版本：人物血量计算小工具添加</t>
  </si>
  <si>
    <t>v4.3.2版本：下拉菜单添加</t>
  </si>
  <si>
    <t>v4.3.4版本：主要页面施法栏变更</t>
  </si>
  <si>
    <t>v4.3.5版本：属性下拉菜单更改为复选框</t>
  </si>
  <si>
    <t>v4.3.6版本：额外添加两本法术书</t>
  </si>
  <si>
    <t>v4.3.7版本：添加准备法术菜单</t>
  </si>
  <si>
    <t>v4.3.8版本：种族属性查询工具添加</t>
  </si>
  <si>
    <t>v4.3.9版本：装备同调选项添加</t>
  </si>
  <si>
    <t>v4.3.10版本：修复Bug</t>
  </si>
  <si>
    <t>v4.3.11版本：法术重复项提示功能加入</t>
  </si>
  <si>
    <t>v4.3.12版本：专注法术绿标功能加入</t>
  </si>
  <si>
    <t>v4.3.13版本：灵巧武器攻击骰调整</t>
  </si>
  <si>
    <t>v4.3.14版本：技能修正值统合</t>
  </si>
  <si>
    <t>选择了你所需要的种族数据之后可以按下【Ctrl+C】，然后去到主要人物卡对应属性项目处【右键】选择【只粘贴文本】</t>
  </si>
  <si>
    <t>v4.3.15版本：负重判定Bug修正</t>
  </si>
  <si>
    <t>护甲表</t>
  </si>
  <si>
    <t>武器表Weapons</t>
  </si>
  <si>
    <t>冒险用品表AdventuringGear</t>
  </si>
  <si>
    <t>=LEFT(I3,LENB(I3)-LEN(I3))</t>
  </si>
  <si>
    <t>护甲等级（AC）</t>
  </si>
  <si>
    <t>重量LB</t>
  </si>
  <si>
    <t>轻甲</t>
  </si>
  <si>
    <t>布甲</t>
  </si>
  <si>
    <t>11＋敏捷调整值</t>
  </si>
  <si>
    <t>劣势</t>
  </si>
  <si>
    <t>简易近战武器</t>
  </si>
  <si>
    <t>皮甲</t>
  </si>
  <si>
    <t>灵巧，轻型，投掷（射程20/60）</t>
  </si>
  <si>
    <t>算盘abacus</t>
  </si>
  <si>
    <t>镶钉皮甲</t>
  </si>
  <si>
    <t>45gp</t>
  </si>
  <si>
    <t>12＋敏捷调整值</t>
  </si>
  <si>
    <t>强酸acid（小瓶vial）</t>
  </si>
  <si>
    <t>中甲</t>
  </si>
  <si>
    <t>兽皮甲</t>
  </si>
  <si>
    <t>12＋敏捷调整值(最大2)</t>
  </si>
  <si>
    <t>轻型，投掷（射程20/60）</t>
  </si>
  <si>
    <t>炽火胶alchemistsfire(扁瓶flask)</t>
  </si>
  <si>
    <t>链甲衫</t>
  </si>
  <si>
    <t>13＋敏捷调整值(最大2)</t>
  </si>
  <si>
    <t>弹药ammunition</t>
  </si>
  <si>
    <t>鳞甲</t>
  </si>
  <si>
    <t>14＋敏捷调整值(最大2)</t>
  </si>
  <si>
    <t>箭arrows(20)</t>
  </si>
  <si>
    <t>胸甲</t>
  </si>
  <si>
    <t>400gp</t>
  </si>
  <si>
    <t>吹矢blowgunneedles(50)</t>
  </si>
  <si>
    <t>半身板甲</t>
  </si>
  <si>
    <t>750gp</t>
  </si>
  <si>
    <t>15＋敏捷调整值(最大2)</t>
  </si>
  <si>
    <t>长棍</t>
  </si>
  <si>
    <t>两用（1d8）</t>
  </si>
  <si>
    <t>弩矢crossbowbolts(20)</t>
  </si>
  <si>
    <t>1½磅</t>
  </si>
  <si>
    <t>重甲</t>
  </si>
  <si>
    <t>环甲</t>
  </si>
  <si>
    <t>投石索弹丸slingbullets(20)</t>
  </si>
  <si>
    <t>4 cp</t>
  </si>
  <si>
    <t>链甲</t>
  </si>
  <si>
    <t>力量13</t>
  </si>
  <si>
    <t>投掷（射程20/60），两用（1d8）</t>
  </si>
  <si>
    <t>抗毒剂antitoxin（小瓶vial）</t>
  </si>
  <si>
    <t>板条甲</t>
  </si>
  <si>
    <t>200gp</t>
  </si>
  <si>
    <t>力量15</t>
  </si>
  <si>
    <t>简易远程武器</t>
  </si>
  <si>
    <t>奥术法器arcanefocus</t>
  </si>
  <si>
    <t>板甲</t>
  </si>
  <si>
    <t>1500gp</t>
  </si>
  <si>
    <t>灵巧，投掷（射程20/60）</t>
  </si>
  <si>
    <t>水晶crystal</t>
  </si>
  <si>
    <t>法球orb</t>
  </si>
  <si>
    <t>—</t>
  </si>
  <si>
    <t>权杖rob</t>
  </si>
  <si>
    <t>两用（1d10）</t>
  </si>
  <si>
    <t>法杖staff</t>
  </si>
  <si>
    <t>4磅</t>
  </si>
  <si>
    <t>魔杖wand</t>
  </si>
  <si>
    <t>背包backpack</t>
  </si>
  <si>
    <t>滚珠（一包1000粒）ballbearings</t>
  </si>
  <si>
    <t>木桶barrel</t>
  </si>
  <si>
    <t>70磅</t>
  </si>
  <si>
    <t>篮子basket</t>
  </si>
  <si>
    <t>4 sp</t>
  </si>
  <si>
    <t>铺盖bedroll</t>
  </si>
  <si>
    <t>7磅</t>
  </si>
  <si>
    <t>铃铛bell</t>
  </si>
  <si>
    <t>毛毯blanket</t>
  </si>
  <si>
    <t>滑轮组blockandtackle</t>
  </si>
  <si>
    <t>书book</t>
  </si>
  <si>
    <t>28 gp</t>
  </si>
  <si>
    <t>玻璃瓶bottle,glass</t>
  </si>
  <si>
    <t>灵巧，轻型</t>
  </si>
  <si>
    <t>水桶bucket</t>
  </si>
  <si>
    <t>5 cp</t>
  </si>
  <si>
    <t>铁蒺藜caltrops（一包20枚）</t>
  </si>
  <si>
    <t>蜡烛candle</t>
  </si>
  <si>
    <t>1 cp</t>
  </si>
  <si>
    <t>弩矢匣case,crossbowbolt</t>
  </si>
  <si>
    <t>地图或卷轴匣case,maporscroll</t>
  </si>
  <si>
    <t>链条chain（10尺）</t>
  </si>
  <si>
    <t>弹药（射程25/100）装填</t>
  </si>
  <si>
    <t>粉笔chalk（1块）</t>
  </si>
  <si>
    <t>弹药（射程30/120），轻型，装填</t>
  </si>
  <si>
    <t>木箱chest</t>
  </si>
  <si>
    <t>25磅</t>
  </si>
  <si>
    <t>弹药（射程100/400），重型，装填，双手</t>
  </si>
  <si>
    <t>攀爬工具climberskit</t>
  </si>
  <si>
    <t>12磅</t>
  </si>
  <si>
    <t>弹药（射程150/600），重型，双手</t>
  </si>
  <si>
    <t>普通服装clothes,common</t>
  </si>
  <si>
    <t>表演服装clothes,costume</t>
  </si>
  <si>
    <t>高档服装clothes,fine</t>
  </si>
  <si>
    <t>旅行者服装clothes,travelers</t>
  </si>
  <si>
    <t>材料包componentpouch</t>
  </si>
  <si>
    <t>撬棍crowbar</t>
  </si>
  <si>
    <t>德鲁伊法器druidicfocus</t>
  </si>
  <si>
    <t>槲寄生枝条sprigofmistletoe</t>
  </si>
  <si>
    <t>图腾totem</t>
  </si>
  <si>
    <t>木制法杖woodenstaff</t>
  </si>
  <si>
    <t>紫衫魔杖yewwand</t>
  </si>
  <si>
    <t>渔具fishingtackle</t>
  </si>
  <si>
    <t>扁瓶flask或大杯tankard</t>
  </si>
  <si>
    <t>2 cp</t>
  </si>
  <si>
    <t>爪钩grapplinghook</t>
  </si>
  <si>
    <t>铁锤hammer</t>
  </si>
  <si>
    <t>大铁锤hammer,sledge</t>
  </si>
  <si>
    <t>医疗包healerskit</t>
  </si>
  <si>
    <t>原名</t>
  </si>
  <si>
    <t>出自</t>
  </si>
  <si>
    <t>本职</t>
  </si>
  <si>
    <t>类型</t>
  </si>
  <si>
    <t>施法时间</t>
  </si>
  <si>
    <t>效果</t>
  </si>
  <si>
    <t>种类</t>
  </si>
  <si>
    <t>法术所需</t>
  </si>
  <si>
    <t>Zephyr Strike</t>
  </si>
  <si>
    <t>出自：XGE</t>
  </si>
  <si>
    <t>1环/变化</t>
  </si>
  <si>
    <t>1附赠动作</t>
  </si>
  <si>
    <t>自身</t>
  </si>
  <si>
    <t>V</t>
  </si>
  <si>
    <t>专注，至多1分钟</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</si>
  <si>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此外，在此法术结束前仅一次，你可以在自己的回合让自己的一次武器攻击检定获得优势。这次攻击若击中会造成额外1d8力场伤害。无论你是否击中，你的步行速度都会增加30英尺，直到这个回合的结束。</t>
  </si>
  <si>
    <t>变化</t>
  </si>
  <si>
    <t>言语（V）</t>
  </si>
  <si>
    <t>!</t>
  </si>
  <si>
    <t>Aganazzar’s Scorcher</t>
  </si>
  <si>
    <t>术士 法师</t>
  </si>
  <si>
    <t>1环/塑能</t>
  </si>
  <si>
    <t>1动作</t>
  </si>
  <si>
    <t>30尺</t>
  </si>
  <si>
    <t>V、S、M（一片红龙鳞片）</t>
  </si>
  <si>
    <t>立即</t>
  </si>
  <si>
    <t>一道长30尺，宽5尺的线状翻涌火线从你出发向一个你指定的方向蔓延。线状区域内的每个生物必须进行一次敏捷豁免。豁免失败者将受3d8的火焰伤害，成功则伤害减半。
升环施法效应。
使用3环或更高环法术位施展该法术时，你使用的法术位每比2环高一环，其伤害便增加1d8。</t>
  </si>
  <si>
    <t>塑能</t>
  </si>
  <si>
    <t>言语（V）姿势（S）材料（M）</t>
  </si>
  <si>
    <t>（一片红龙鳞片）</t>
  </si>
  <si>
    <t/>
  </si>
  <si>
    <t>Catapult</t>
  </si>
  <si>
    <t>60尺</t>
  </si>
  <si>
    <t>S</t>
  </si>
  <si>
    <t>选择距离之内，一个未被穿戴或持握的，重量为1到5磅的物体。此目标在你选择的一个方向上以直线轨迹飞行，在落到地面前至多行进90英尺，若其在此过程中撞击到了固体表面则会提前停止运动。若该物体将会撞击一个生物，该生物必须进行一次敏捷豁免检定。若检定失败，该物体击中目标并不再移动。无论如何，物体和被击中的生物或固体表面各受到3d8点钝击伤害。
升环效果：当你使用2环或更高的法术位施放该法术时，使用的法术位每高一环，你可以指定的物体的重量上限便增加5磅，而造成的伤害便提高1d8。</t>
  </si>
  <si>
    <t>姿势（S）</t>
  </si>
  <si>
    <t>Chaos Bolt</t>
  </si>
  <si>
    <t>120尺</t>
  </si>
  <si>
    <t>V、S</t>
  </si>
  <si>
    <t>你向着距离内的一个生物掷出一团变化不定、高声尖鸣的混乱能量。对目标进行一次远程法术攻击。击中时，目标受到2d8+1d6点伤害。选择一颗d8投出的数字来决定它的伤害类型，投出的数字与对应的类别见下表。
D8  伤害类别
1    强酸 
2    寒冷
3    火焰
4    力场
5    闪电
6    毒素
7    精神
8    雷鸣
若你的两颗d8投出了相同的数字，混乱能量将从目标跳跃到一个由你选择的、处于它周围30英尺内的其他生物上。对新目标进行一次新的攻击检定，进行新的伤害检定，这次伤害检定也可能令混沌能量跳跃。
一个生物只能被此混乱箭选作目标一次。
升环效果：当你使用2环或更高的法术位施展此法术时，每个生物受到额外伤害，类型与投出的一致。额外伤害等于高于1环的每个等级1d6点。</t>
  </si>
  <si>
    <t>言语（V）姿势（S）</t>
  </si>
  <si>
    <t>Earth Tremor</t>
  </si>
  <si>
    <t>诗人 德鲁伊 术士 法师</t>
  </si>
  <si>
    <t>10尺</t>
  </si>
  <si>
    <t>你在施法距离内引发地面颤动。处于该区域，除你之外的其他生物必须进行一次敏捷豁免检定。若检定失败，该生物受到1d6点钝击伤害并倒地。若区域的地表为松软的土壤或石头，其在被清理之前成为困难地形。每5尺直径的部分都需要至少1分钟来手动清理。
升环效果：当你使用2环或更高的法术位施放该法术时，使用的法术位每高一环，伤害便增加1d6。</t>
  </si>
  <si>
    <t>Ceremony</t>
  </si>
  <si>
    <t>牧师 圣武士</t>
  </si>
  <si>
    <t>1环/防护（仪式）</t>
  </si>
  <si>
    <t>1小时</t>
  </si>
  <si>
    <t>接触</t>
  </si>
  <si>
    <t>V、S、M（价值25金币的银粉，在施法时被消耗）</t>
  </si>
  <si>
    <t>你进行几种宗教典礼之一。当你施展此法术时，选择下述典礼之一，其目标必须在施法过程中处于你周围10英尺内。
赎罪Atonement：
你接触一个阵营发生了改变的自愿生物，而你进行一次DC20的感知（洞察）检定。成功则你令目标恢复其原始阵营。
祝福圣水Bless Water：
你接触一瓶水并将它转变为圣水。
成人礼Coming of Age：
你接触一个年龄足够成年的类人生物。在接下来的24小时内，当目标进行一次属性检定时，它可以投d4并将投出的结果加到属性检定上。一个生物只能从此仪式中获得此好处一次。
献身Dedication：
你接触一个自愿转变为你的宗教的信仰或想要为你信奉的神明服务的类人生物。在接下来的24小时内，当目标进行一次豁免检定时，它可以投d4并将投出的结果加到检定上。一个生物只能从此仪式中获得此好处一次。
葬礼Funeral Rite：
你祝福一具处于你周围5英尺内的尸体。在接下来的7天内，目标不能被任何弱于祈愿术的方式变为不死生物。
婚礼Wedding：
你接触自愿接受婚姻的束缚的成年类人生物。在接下来的7天内，每个目标若处于彼此30英尺范围内，则在AC上获得+2加值。一个生物只有在丧偶时才能再次从这个仪式中受益。</t>
  </si>
  <si>
    <t>防护（仪式）</t>
  </si>
  <si>
    <t>（价值25金币的银粉，在施法时被消耗）</t>
  </si>
  <si>
    <t>Absorb Elements</t>
  </si>
  <si>
    <t>法师 游侠 术士</t>
  </si>
  <si>
    <t>1环/防护</t>
  </si>
  <si>
    <t>1反应，于你受到强酸，寒冷，火焰，电击或雷鸣伤害时进行</t>
  </si>
  <si>
    <t>1轮</t>
  </si>
  <si>
    <t>此法术捕获了部分袭来的能量，减轻它对你的效果，并将之储存起来以用在你的下一次近战攻击中。在你的下个回合的开始之前，你对于触发法术的伤害类型具有抗力。此外，在你的下个回合，第一次以近战攻击命中时，目标额外受到1d6点触发法术的伤害类型的伤害，同时此法术终结。
升环效果：
当你使用2环或更高的法术位施放该法术时，使用的法术位每高一环，额外伤害便增加1d6。</t>
  </si>
  <si>
    <t>防护</t>
  </si>
  <si>
    <t>Cause Fear</t>
  </si>
  <si>
    <t>法师 邪术师</t>
  </si>
  <si>
    <t>1环/死灵</t>
  </si>
  <si>
    <t>你唤醒了一个处于距离内、你能看见的生物内心的凡性。此法术对于构装生物或不死生物无效。目标必须通过一次感知豁免检定，否则在持续时间内变得惊惧。被恐惧的生物可以在它的每个回合结束时重复进行这个豁免检定，若成功将结束法术对自身的效果。
升环效果：当你使用2环或更高的法术位施放该法术时，使用的法术位每高一环，你就可以多指定一个额外生物作为目标。每个被你指定的生物相互之间的距离必须在30尺内。</t>
  </si>
  <si>
    <t>死灵</t>
  </si>
  <si>
    <t>Snare</t>
  </si>
  <si>
    <t>德鲁伊 游侠 法师</t>
  </si>
  <si>
    <t>1分钟</t>
  </si>
  <si>
    <t>S，M（25英尺的线绳，它将被此法术消耗）</t>
  </si>
  <si>
    <t>8小时</t>
  </si>
  <si>
    <t>当你施展此法术时，用线绳在一处处于你触及内的地面或地板上创造一个5英尺半径的圆圈。当你完成施法时，线绳消失，化为一个魔法陷阱。
陷阱几乎是隐形的，要找到它需要一次成功的对抗你的法术豁免DC的智力（调查）检定。
当一个小型Small、中型Medium或大型Large的生物移动进入受到此法术保护的区域时，陷阱就会触发。触发的生物必须通过一次敏捷豁免检定否则摔倒、变成俯卧，并被魔法性地上下颠倒的举到半空中，直到它距离被保护的地面或地板3英尺高。生物被束缚在那里直到法术结束。
被束缚的生物可以在其每个回合的结束时进行一次敏捷豁免检定，成功则结束被束缚。或者，其他能触及被束缚的生物可以进行一次智力（神秘）检定，对抗你的法术豁免DC。成功则束缚的效果也会结束。
在陷阱被触发之后，当没有生物被它束缚时，法术将会结束。</t>
  </si>
  <si>
    <t>姿势（S）材料（M）</t>
  </si>
  <si>
    <t>（25英尺的线绳，它将被此法术消耗）</t>
  </si>
  <si>
    <t>Beast Bond</t>
  </si>
  <si>
    <t>德鲁伊 游侠</t>
  </si>
  <si>
    <t>1环/预言</t>
  </si>
  <si>
    <t>V、S、M（一小块被布包裹的毛皮）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</si>
  <si>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</si>
  <si>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concept}。只要此链接处于活动状态，该野兽在对你周围5英尺，你能看见的任何生物所进行的攻击检定中获得优势。</t>
  </si>
  <si>
    <t>预言</t>
  </si>
  <si>
    <t>（一小块被布包裹的毛皮）</t>
  </si>
  <si>
    <t>Ice Knife</t>
  </si>
  <si>
    <t>德鲁伊 术士 法师</t>
  </si>
  <si>
    <t>1环/咒法</t>
  </si>
  <si>
    <t>S、M（一滴水或一块冰）</t>
  </si>
  <si>
    <t>你制造出一块冰晶裂片，并将它射向距离内的一个生物。你对目标进行一次远程法术攻击。若击中，目标受到1d10点穿刺伤害。无论击中与否，裂片都会在之后爆裂。目标和周围5英尺范围内的每个生物必须通过一次敏捷豁免检定，否则受到2d6点寒冷伤害。
升环效果：当你使用2环或更高的法术位施放该法术时，使用的法术位每高一环，寒冷伤害便增加1d6点。</t>
  </si>
  <si>
    <t>咒法</t>
  </si>
  <si>
    <t>（一滴水或一块冰）</t>
  </si>
  <si>
    <t>Alarm</t>
  </si>
  <si>
    <t>出自：PHB</t>
  </si>
  <si>
    <t>游侠 法师</t>
  </si>
  <si>
    <t>V、S、M（一个小铃铛和一小段银线）</t>
  </si>
  <si>
    <t>你针对不速之客设置一个警报。在施法距离内指定一扇门窗或选择一个边长不大于20 尺的立方区域。在法术持续时间内，任何触碰或进入目标区域的微型或更大体型生物都会触发警报。
施法时，你可以决定哪些生物不会触发警报，还可以选择警报方式为声音警报或是精神警报。
如果你选择精神警报，且警报触发时你距离目标区域不超过1 里，则你的意念里会传来“乒”的警报声。如果你在睡觉，则警报将使你惊醒。
如果你选择声音警报，则警报触发时其60 尺范围内将响起持续10 秒摇铃声。</t>
  </si>
  <si>
    <t>（一个小铃铛和一小段银线）</t>
  </si>
  <si>
    <t>Ensnaring Strike</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</si>
  <si>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 的穿刺伤害。该受束缚生物或其他能触及该目标的生物可用一个动作进行一次对抗法术豁免DC 的力量检定。检定成功则目标解除束缚。
升环施法效应。
使用2 环或更高法术位施展该法术时，你使用的法术位每比1 环高一环，伤害就提高1d6。</t>
  </si>
  <si>
    <t>Hail of Thorns</t>
  </si>
  <si>
    <t>你在法术终止前进行的下一次远程武器攻击命中时会你
的远程武器或弹药中创造出棘刺，并形成一片棘刺雨。除了攻击产生的正常效果外，受攻击的目标及目标身边5 尺范围内的所有生物还必须进行一次敏捷豁免，豁免失败者将受到1d10 点穿刺伤害，豁免成功则伤害减半。
升环施法效应。
使用2 环或更高法术位施展该法术时，你使用的法术位每比1 环高一环，伤害就增加1d10（最大伤害6d10）。</t>
  </si>
  <si>
    <t>Hunter’s Mark</t>
  </si>
  <si>
    <t>90尺</t>
  </si>
  <si>
    <t>专注，至多1小时</t>
  </si>
  <si>
    <t>你指定施法距离内一个你能看见的生物并以魔法标记其作为你的猎物。直至法术终止前，你每次以武器攻击命中该目标时都会额外造成1d6 点伤害，且每当你为寻找目标生物而进行感知（察觉）或感知（生存）检定时都具有优势。如果在法术结束前目标HP 降至0，则你可以在法术结束前的后续某一个回合中用一个附赠动作标记另一个生物。
升环施法效应。
你使用3 环或4 环法术位施展该法术时，该法术的专注可以至多维持8 小时。你使用5 环或更高法术位施展该法术时，该法术的专注可以至多维持24 小时。</t>
  </si>
  <si>
    <t>Armor of Agathys</t>
  </si>
  <si>
    <t>V、S、M（一杯水）</t>
  </si>
  <si>
    <t>１小时</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</si>
  <si>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
使用２环或更高法术位施展该法术时，你使用的法术位每比１环高一环，临时生命和冷冻伤害就各增加５点。</t>
  </si>
  <si>
    <t>（一杯水）</t>
  </si>
  <si>
    <t>Arms of Hadar</t>
  </si>
  <si>
    <t>自身（10尺半径）</t>
  </si>
  <si>
    <t>你祈求“乌黯之饥渴the Dark Hunger”，哈达Hadar 的力量。
黑暗能量构成的触须从你身上蔓延而出并痛击10 尺内的所有生物。范围内的所有生物都必须进行一次力量豁免，豁免失败者将受到2d6 点黯蚀伤害，并其下一回合前都无法执行反应。豁免成功的生物伤害减半，且不受其他效应的影响。
升环施法效应。
使用２环或更高法术位施展该法术时，你使用的法术位每比１环高一环，法术的伤害就增加1d6。</t>
  </si>
  <si>
    <t>Hellish Rebuke</t>
  </si>
  <si>
    <t>1反应，当60尺内一个你能看见的生物对你造成伤害时执行。</t>
  </si>
  <si>
    <t>你伸指一点，伤害你的生物立刻被炼狱的烈焰包围。该生物必须进行一次敏捷豁免，豁免失败则受到2d10 点火焰伤害，豁免成功则伤害减半。
升环施法效应。
使用2 环或更高法术位施展该法术时，你使用的法术位每比1 环高一环，伤害就增加1d10。</t>
  </si>
  <si>
    <t>Hex</t>
  </si>
  <si>
    <t>1环/附魔</t>
  </si>
  <si>
    <t>90英尺</t>
  </si>
  <si>
    <t>V、S、M（一只被石化的蝾螈newt眼睛）</t>
  </si>
  <si>
    <t>你对施法距离内一个你能看见的一个生物施加诅咒。直到法术终止前，你对命中该目标的任意攻击都将额外造成1d6 点黯蚀伤害。此外，你在施展该法术的同时选择一项属性，使该目标进行所选属性的属性检定时具有劣势。
如果目标在法术终止前HP 降至0，则你可以在法术终止前后续的某一回合中使用一个附赠动作诅咒另一个生物。
对受术目标施展法术移除诅咒remove curse 后可以提前终止该法术。
升环施法效应。
使用3 环或4 环法术位施展该法术时，其专注可以维持至多8 小时。使用5 环或更高法术位施展该法术时，其专注可以维持至多24 小时。</t>
  </si>
  <si>
    <t>附魔</t>
  </si>
  <si>
    <t>（一只被石化的蝾螈newt眼睛）</t>
  </si>
  <si>
    <t>Expeditious Retreat</t>
  </si>
  <si>
    <t>术士 邪术师 法师</t>
  </si>
  <si>
    <t>此法术让你以惊人的步速移动。你在施展该法术时可以执行一次“疾走”动作。其后直至法术终止前的每个自己回合，你能以一个附赠动作执行“疾走”动作。</t>
  </si>
  <si>
    <t>Witch Bolt</t>
  </si>
  <si>
    <t>V、S、M（从一棵被闪电击中的树上取来的树枝）</t>
  </si>
  <si>
    <t>一支缠绕着碎裂魔力的蓝色能量长矛射向施法距离内的一个生物，并在你与目标之间生成一道持久的闪电弧。对目标生物进行一次远程法术攻击。若命中，则目标受到1d12 点闪电伤害。
在法术持续时间内，你在每个自己的回合中可以用一个动作直接对目标造成1d12 点闪电伤害。如果你执行动作做其他任何事情，法术将随即终止。此外，如果目标离开法术的施法距离或相对你处于全身掩护状态，法术也将随即终止。
升环施法效应。
使用2 环或更高法术位施展该法术时，你使用的法术位每比1 环高一环，法术的初始伤害就增加1d12。</t>
  </si>
  <si>
    <t>（从一棵被闪电击中的树上取来的树枝）</t>
  </si>
  <si>
    <t>Burning Hands</t>
  </si>
  <si>
    <t>自身（15尺锥状）</t>
  </si>
  <si>
    <t>V，S</t>
  </si>
  <si>
    <t>你双手拇指相对，其他手指张开，一道火焰随即从手指间喷出。处于15 尺锥状区域内的生物必须进行一次敏捷豁免。豁免失败者受到3d6 点火焰伤害，豁免成功则伤害减半。
该法术的火焰会点燃范围内未被着装或携带的可燃物。
升环施法效应。
使用2 环或更高法术位施展该法术时，你使用的法术位每比1 环高一环，法术的伤害就增加1d6。</t>
  </si>
  <si>
    <t>Chromatic Orb</t>
  </si>
  <si>
    <t>V、S、M（一枚至少价值50gp的钻石）</t>
  </si>
  <si>
    <t>你向施法距离内某个你能看见的生物掷出一颗直径4 寸的能量球，并从强酸、冷冻、火焰、闪电、毒素、雷鸣中选择一种类型以对该生物发动一次远程法术攻击。攻击命中时，该生物将受到3d8 点你所选类型的伤害。
升环施法效应。
使用２环或更高法术位施展该法术时，你使用的法术位每比１环高一环，法术的伤害就增加1d8。</t>
  </si>
  <si>
    <t>（一枚至少价值50gp的钻石）</t>
  </si>
  <si>
    <t>Color Spray</t>
  </si>
  <si>
    <t>1环/幻术</t>
  </si>
  <si>
    <t>V、S、M（一撮粉末或沙子，其颜色必须包含红、黄、蓝三色）</t>
  </si>
  <si>
    <t>炫目的彩光从你指间散射而出。掷一次6d10；其结果为受该法术影响生物的生命值总数。在以你为源点的15 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
使用2 环或更高法术位施展该法术时，你使用的法术位每比1 环高一环，法术的掷骰时就增加2d10。</t>
  </si>
  <si>
    <t>幻术</t>
  </si>
  <si>
    <t>（一撮粉末或沙子，其颜色必须包含红、黄、蓝三色）</t>
  </si>
  <si>
    <t>False Life</t>
  </si>
  <si>
    <t>V、S、M（一小瓶酒或蒸馏酒精）</t>
  </si>
  <si>
    <t>你从死灵法术中获得了额外的生命力。在法术持续时间内，你获得1d4+4 的临时生命值。
升环施法效应。
使用2 环或更高法术位施展该法术时，你使用的法术位每比1 环高一环，其给予的临时生命值就增加5。</t>
  </si>
  <si>
    <t>（一小瓶酒或蒸馏酒精）</t>
  </si>
  <si>
    <t>Mage Armor</t>
  </si>
  <si>
    <t>触及</t>
  </si>
  <si>
    <t>V、S、M（一块鞣制过的皮革）</t>
  </si>
  <si>
    <t>你触碰一个未着装护甲的自愿生物，使其受一个保护性魔法力场环绕直至法术终止。目标的基础AC 变为13＋它的敏捷调整值。目标着装护甲或你以一个动作解散该法术后法术随之终止。</t>
  </si>
  <si>
    <t>（一块鞣制过的皮革）</t>
  </si>
  <si>
    <t>Magic Missile</t>
  </si>
  <si>
    <t>你创造三枚由魔法力场形成的闪光飞镖，并让每发飞镖命中施法距离内你能看见的指定生物。每发飞镖对目标造成1d4+1 的力场伤害。所有飞镖同将时命中目标，而你还可以指定它们击中同一个目标或是分别击中几个目标。
升环施法效应。
使用2 环或更高法术位施展该法术时，你使用的法术位每比1 环高一环，该法术就会多制造出一支飞镖。</t>
  </si>
  <si>
    <t>Ray of Sickness</t>
  </si>
  <si>
    <t>一道恶心的浅绿射线朝施法距离内一个生物射去。你对目标进行一次远程法术攻击。若命中，则目标受到2d8 的毒素伤害且必须进行一次体质豁免，豁免失败则目标陷入中毒，该中毒效应持续至你的下一回合结束。
升环施法效应。
使用2 环或更高法术位施展该法术时，你使用的法术位每比1 环高一环，伤害就增加1d8。</t>
  </si>
  <si>
    <t>Shield</t>
  </si>
  <si>
    <t>1反应，当你被攻击命中或被作为魔法飞弹的目标时执行</t>
  </si>
  <si>
    <t>一道看不见的法力护盾浮现在你身边，保护着你。在你的下一回合开始前，你的AC 具有 +5 加值（在触发该法术的攻击之前生效），并且不会受到魔法飞弹的伤害。</t>
  </si>
  <si>
    <t>Illusory Script</t>
  </si>
  <si>
    <t>诗人 邪术师 法师</t>
  </si>
  <si>
    <t>1环/幻术（仪式）</t>
  </si>
  <si>
    <t>S、M（价值至少10gp的铅料墨水，作为法术的耗材）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</si>
  <si>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</si>
  <si>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如果法术被解除，则幻象和原始手稿一同消失不见。拥有真实视觉的生物可以读出其内被隐藏的信息。</t>
  </si>
  <si>
    <t>幻术（仪式）</t>
  </si>
  <si>
    <t>（价值至少10gp的铅料墨水，作为法术的耗材）</t>
  </si>
  <si>
    <t>Unseen Servant</t>
  </si>
  <si>
    <t>1环/咒法（仪式）</t>
  </si>
  <si>
    <t>V、S、M（一根线和一块木头）</t>
  </si>
  <si>
    <t>该法术创造出一个无心智、无实体的隐形力场生物。你可以在法术终止前命令它进行简单的工作。该仆从被创造出来后出现在施法距离内一处未被占据空间的地面上。其AC 为10，生命值为1，力量为2，且不能攻击。若仆从的生命值降至0，则法术终止。
你可以自己每个回合内以一个附赠动作对仆役下达精神命令，使它移动最多15 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 尺的工作，则法术随之终止。</t>
  </si>
  <si>
    <t>咒法（仪式）</t>
  </si>
  <si>
    <t>（一根线和一块木头）</t>
  </si>
  <si>
    <t>Comprehend Languages</t>
  </si>
  <si>
    <t>诗人 术士 邪术师 法师</t>
  </si>
  <si>
    <t>1环/预言（仪式）</t>
  </si>
  <si>
    <t>V、S、M（一撮煤灰和一撮盐）</t>
  </si>
  <si>
    <t>你在法术持续时间内知晓你所听到所有语言的字面意义。你也可以通过触碰书写的文字来读懂其字面意义。以这种方式阅读每页文字需要花费1 分钟的时间。
某些文字或图形的密语（比如一个奥秘符文）由于不属于书写语言一类所以无法用此法术破译。</t>
  </si>
  <si>
    <t>预言（仪式）</t>
  </si>
  <si>
    <t>（一撮煤灰和一撮盐）</t>
  </si>
  <si>
    <t>Disguise Self</t>
  </si>
  <si>
    <t>诗人 术士 法师</t>
  </si>
  <si>
    <t>你改变自身以及随身的衣物、护甲、武器等所有物。该效应在法术终止或你使用动作主动解除时结束。肉眼看来你的身高可以有1 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</si>
  <si>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Feather Fall</t>
  </si>
  <si>
    <t>1反应，你60尺内有生物坠落时可用</t>
  </si>
  <si>
    <t>V、M（一小片羽毛或绒毛）</t>
  </si>
  <si>
    <t>在施法距离内指定至多五个正坠落的生物。受术生物的坠落速度在法术持续时间内降低至每轮60 尺。如果该生物在法术终止前落地，则其不会受到任何坠落伤害，且可以安全的用脚着地。着地后法术对该生物的效应随即终止。</t>
  </si>
  <si>
    <t>言语（V）材料（M）</t>
  </si>
  <si>
    <t>（一小片羽毛或绒毛）</t>
  </si>
  <si>
    <t>Silent Image</t>
  </si>
  <si>
    <t>V、S、M（少量羊毛）</t>
  </si>
  <si>
    <t>你创造一个影像，其形象来自一个大小不超过边长15 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 的智力（调查）检定，以判定是否看穿幻象。
辨出幻象的生物可以看破该影像，在该生物看来会透过影像看到其背后的事物。</t>
  </si>
  <si>
    <t>（少量羊毛）</t>
  </si>
  <si>
    <t>Sleep</t>
  </si>
  <si>
    <t>V、S、M（一把细沙，玫瑰花瓣，或一只蟋蟀）</t>
  </si>
  <si>
    <t>该法术使一些生物陷入魔法造成的沉睡中。掷一次5d8；其结果为受该法术影响生物的生命值总数。你指定施法距离一点，该点周围20 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
使用2 环或更高法术位施展该法术时，使用的法术位每比1 环高一环，法术的掷骰就增加2d8。</t>
  </si>
  <si>
    <t>（一把细沙，玫瑰花瓣，或一只蟋蟀）</t>
  </si>
  <si>
    <t>Heroism</t>
  </si>
  <si>
    <t>诗人 圣武士</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</si>
  <si>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
使用2 环或更高法术位施展该法术时，你使用的法术位每比1 环高一环，就可以额外指定一个目标。</t>
  </si>
  <si>
    <t>Detect Magic</t>
  </si>
  <si>
    <t>诗人 牧师 德鲁伊 圣武士 游侠 术士 法师</t>
  </si>
  <si>
    <t>你在法术持续时间内能感测到30 尺内存在的魔法。感测到魔法的存在后，你可以使用动作，并实现观察任何你能看见的生物或物件周围微弱的灵光，并分辨出其所属的魔法学派。该法术可以穿透大部分障碍，但仍会被1 尺厚石质，或1 寸厚金属质，或一层薄铅质，或3 尺厚木质或泥质材料阻隔。</t>
  </si>
  <si>
    <t>Cure Wounds</t>
  </si>
  <si>
    <t>诗人 牧师 德鲁伊 圣武士 游侠</t>
  </si>
  <si>
    <t>一个你触碰的生物恢复特定数值的生命值，其恢复量等于1d8＋你的施法关键属性调整值。该法术对不死生物和构装生物无效。
升环施法效应。
使用2 环或更高法术位施展该法术时，你使用的法术位每比1 环高一环，恢复量就增加1d8。</t>
  </si>
  <si>
    <t>Healing Word</t>
  </si>
  <si>
    <t>诗人 牧师 德鲁伊</t>
  </si>
  <si>
    <t>你指定施法距离内一个你能看见的生物并恢复期生命值，恢复量等于1d4＋你的施法关键属性调整值。该法术对构装体和不死生物无效。
升环施法效应。
使用2 环或更高法术位施展该法术时，你使用的法术位每比1 环高一环，治疗量就增加1d4 点。</t>
  </si>
  <si>
    <t>Bane</t>
  </si>
  <si>
    <t>诗人 牧师</t>
  </si>
  <si>
    <t>V、S、M（一滴血）</t>
  </si>
  <si>
    <t>指定施法距离内至多三个你能看见的生物，并迫使其进行一次魅力豁免。豁免失败者直至法术终止前，在每当进行攻击检定或豁免检定时，必须从投骰结果中减去一个d4。
升环施法效应。
使用2 环或更高法术位施展该法术时，你使用的法术位每比1 环高一环，就能多指定一个目标。</t>
  </si>
  <si>
    <t>（一滴血）</t>
  </si>
  <si>
    <t>Identify</t>
  </si>
  <si>
    <t>诗人 法师</t>
  </si>
  <si>
    <t>V、S、M（一颗价值至少100gp的珍珠和一根猫头鹰羽毛）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</si>
  <si>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</si>
  <si>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（一颗价值至少100gp的珍珠和一根猫头鹰羽毛）</t>
  </si>
  <si>
    <t>Tasha’s Hideous Laughter</t>
  </si>
  <si>
    <t>V、S、M（一些小甜饼以及一片空中飘荡的羽毛）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</si>
  <si>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 或更低的生物无效。
目标在其每回合结束或受到伤害时，可以再进行一次感知豁免。豁免成功则法术终止。再进行豁免时，如果是因受到伤害所致则该次豁免具有优势。</t>
  </si>
  <si>
    <t>（一些小甜饼以及一片空中飘荡的羽毛）</t>
  </si>
  <si>
    <t>Longstrider</t>
  </si>
  <si>
    <t>诗人 德鲁伊 游侠 法师</t>
  </si>
  <si>
    <t>V、S、M（一撮泥土）</t>
  </si>
  <si>
    <t>你触碰一个生物，该目标速度在法术持续时间内增加10 尺。
升环施法效应。
使用2 环或更高法术位施展该法术时，你使用的法术位每比1 环高一环，你就可以额外指定一个目标。</t>
  </si>
  <si>
    <t>（一撮泥土）</t>
  </si>
  <si>
    <t>Animal Friendship</t>
  </si>
  <si>
    <t>诗人 德鲁伊 游侠</t>
  </si>
  <si>
    <t>V、S、M（一点食物）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</si>
  <si>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</si>
  <si>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
使用２环或更高法术位施展该法术时，你使用的法术位每比１环高一环，就可以多选择一个野兽作为目标。</t>
  </si>
  <si>
    <t>（一点食物）</t>
  </si>
  <si>
    <t>Speak with Animals</t>
  </si>
  <si>
    <t>10分钟</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</si>
  <si>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 来判断。</t>
  </si>
  <si>
    <t>Charm Person</t>
  </si>
  <si>
    <t>诗人 德鲁伊 术士 邪术师 法师</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</si>
  <si>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
此间，被魅惑的生物将视你为友方且熟悉的人。法术终止后，该生物将会发觉曾被你魅惑过。
升环施法效应。
使用2 环或更高法术位施展该法术时，你使用的法术位每比1 环高一环，法术就能多影响一个目标。而各目标之间距离不能超过30 尺。</t>
  </si>
  <si>
    <t>Thunderwave</t>
  </si>
  <si>
    <t>自身（15尺立方）</t>
  </si>
  <si>
    <t>一道雷鸣波从你的身体向外扫去。在以你为源点15 尺立方区域内的每个生物必须进行一次体质豁免。豁免失败者将受到2d8 点雷鸣伤害，并被推离10 尺。豁免成功则伤害减半，且不会被推离。
此外，所有完全位于该区域内且没被固定住的物件都将被自动推离10 尺。而该法术还会发出方圆300 尺内都能听见的雷霆巨响。
升环施法效应。
使用2 环或更高法术位施展该法术时，你使用的法术位每比1 环高一环，法术的伤害就增加1d8。</t>
  </si>
  <si>
    <t>Faerie Fire</t>
  </si>
  <si>
    <t>诗人 德鲁伊</t>
  </si>
  <si>
    <t>指定施法距离内一处20 尺立方区域，其内每个物件都将被蓝色，绿色或紫色的光所包围（颜色由你指定）。区域内敏捷豁免失败的生物也会被光包围。受术物件和生物在法术持续时间内发出10 尺半径的微光。
受术生物或物件无法受益于隐形，且任何能看见他们的攻击者对其发动攻击检定时具有优势。</t>
  </si>
  <si>
    <t>Dissonant Whispers</t>
  </si>
  <si>
    <t>诗人</t>
  </si>
  <si>
    <t>你指定一个施法距离内能够听到你声音的生物，并对其说出只有他能听到的不谐低语，使其受强烈的痛苦折磨。目标必须进行一次感知豁免。豁免失败则受到3d6 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
使用2 环或更高法术位施展该法术，你使用的法术位每比1 环高一环，伤害就提高1d6。</t>
  </si>
  <si>
    <t>Compelled Duel</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</si>
  <si>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 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</si>
  <si>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Divine Favor</t>
  </si>
  <si>
    <t>你的祈祷赋予你神圣的光芒。在法术持续时间结束前，你的武器攻击命中时将造成额外1d4 点光耀伤害。</t>
  </si>
  <si>
    <t>Searing Smite</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</si>
  <si>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 点火焰伤害。豁免成功则法术终止。如果目标或其身边5 尺内的另一个生物用一个动作来扑灭其身上的火焰，或有其他某种效果熄灭了火焰（例如目标跳入水中），则法术终止。
升环施法效应。
使用2 环或更高法术位施展该法术时，你使用的法术位每比1 环高一环，最初一次攻击造成的额外伤害就增加1d6。</t>
  </si>
  <si>
    <t>Thunderous Smite</t>
  </si>
  <si>
    <t>你在法术持续时间内下一次用近战武器攻击命中某个生物时将发出雷霆巨响，并使你周围300 尺都能听见该响声。该攻击对目标造成额外2d6 点雷鸣伤害，如果目标是一个生物，则它必须要进行一次力量豁免，豁免失败则目标往远离你的方向推动10尺并应击倒地。</t>
  </si>
  <si>
    <t>Wrathful Smite</t>
  </si>
  <si>
    <t>你在法术持续时间内，下一次近战武器攻击命中时，对目标造成额外1d6 点心灵伤害。此外，如果目标是一个生物，则其必须进行一次感知豁免。豁免失败则目标生物将在法术终止前持续陷入对你恐慌的状态。该生物可以用一个动作来尝试重拾斗志，并进行一次对抗该法术DC 的感知检定，检定成功则法术即刻终止。</t>
  </si>
  <si>
    <t>Protection from Evil and Good</t>
  </si>
  <si>
    <t>牧师 圣武士 邪术师 法师</t>
  </si>
  <si>
    <t>V、S、M（圣水或者银和铁的粉末，作为该法术的耗材）</t>
  </si>
  <si>
    <t>在法术终止前，你触碰的一个自愿生物获得针对以下某类生物的防护：异怪、天界生物、元素生物、精类生物、邪魔和不死生物。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</si>
  <si>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（圣水或者银和铁的粉末，作为该法术的耗材）</t>
  </si>
  <si>
    <t>Bless</t>
  </si>
  <si>
    <t>V、S、M（一钵圣水）</t>
  </si>
  <si>
    <t>你用言语祝福施法距离内至多三个生物。在法术终止前，每当受术目标进行攻击检定或豁免检定时，可以额外掷一次d4 并加在其结果上。
升环施法效应。
使用2 环或更高法术位施展该法术时，你使用的法术位每比1 环高一环，就可以多指定一个目标。</t>
  </si>
  <si>
    <t>（一钵圣水）</t>
  </si>
  <si>
    <t>Command</t>
  </si>
  <si>
    <t>你对施法距离内一个你能看见的生物说出一个单词的命令。
目标生物必须成功通过一次感知豁免，否则必须在其自己的下一回合服从该命令行事。如果目标为不死生物或目标无法听懂你的语言，又或者你的命令对其直接构成损害，则该法术无效。以下列出一些通常可用的命令单词及其效果。你也可以说出此处没有列明的单词命令，并由DM 决定目标将如何行动。如果目标无法完成你的命令，则法术终止。
过来Approach。
目标以最短最直接的路线向你移动，并在到达距你5 尺时结束其回合。
放下Drop。
目标放下手中持握物并结束其回合。
走开Flee。
目标在其回合内以最快最有效的方式远离你。
趴下Grovel。
目标趴下倒地并结束其回合。
立定Halt。
目标不移动且不作任何动作。飞行生物在原地悬浮（如果它可以这么做）。如果它必须移动才能保持在空中，则其移动最小的距离以保持飞行。
升环施法效应。
使用2 环或更高法术位施展该法术时，你使用的法术位每比1 环高一环，法术就能多影响一个目标。而各目标之间距离不能超过30 尺。</t>
  </si>
  <si>
    <t>Detect Evil and Good</t>
  </si>
  <si>
    <t>你在法术持续时间内能感觉到身边30 尺内出现的任一异怪、天界生物、元素生物、精类生物、邪魔或不死生物的存在，并掌握其具体位置。另外，你也可以知晓30 尺内的物件或地点是否被祝福或亵渎。
该法术可以穿透大多障碍，但仍会被1 尺厚石质或1 寸厚金属质，或一层薄铅质，或3 尺厚木质或泥质材料阻隔。</t>
  </si>
  <si>
    <t>Shield of Faith</t>
  </si>
  <si>
    <t>V、S、M（一小块写有神圣文字的羊皮纸）</t>
  </si>
  <si>
    <t>围绕着施法距离内你指定的一个生物出现一片闪着微光的魔法力场。使目标在法术持续时间内AC 获得 +2 加值。</t>
  </si>
  <si>
    <t>（一小块写有神圣文字的羊皮纸）</t>
  </si>
  <si>
    <t>Detect Poison and Disease</t>
  </si>
  <si>
    <t>牧师 德鲁伊 圣武士 游侠</t>
  </si>
  <si>
    <t>V、S、M（一片红豆杉叶）</t>
  </si>
  <si>
    <t>你在法术持续时间内可以感测并定位30 尺内的毒素、有毒生物以及疾病。你还可以判断所感测毒素、毒物或疾病的具体类别。
该法术可以穿透大部分障碍，但仍会被1 尺厚石质，或1 寸厚金属质，或一层薄铅质，或3 尺厚木质或泥质材料阻隔。</t>
  </si>
  <si>
    <t>（一片红豆杉叶）</t>
  </si>
  <si>
    <t>Purify Food and Drink</t>
  </si>
  <si>
    <t>牧师 德鲁伊 圣武士</t>
  </si>
  <si>
    <t>1环/变化（仪式）</t>
  </si>
  <si>
    <t>你指定施法距离内一点，净化指定点周围半径5 尺球状区域内的非魔法饮食品，并驱除其浸染的所有毒素和疾病。</t>
  </si>
  <si>
    <t>变化（仪式）</t>
  </si>
  <si>
    <t>Create or Destroy Water</t>
  </si>
  <si>
    <t>牧师 德鲁伊</t>
  </si>
  <si>
    <t>V、S、M（造水为一滴水，枯水为一点谷物或沙子）</t>
  </si>
  <si>
    <t>你施法创造水或者使水枯竭。
造水Create Water。
你在施法距离内一个打开的容器里创造10 加仑干净的水。或以降雨的方式在施法距离内一处30 尺的立方区域降下等量水分并浇灭区域内不受遮盖的火苗。
枯水Destory Water。
你使施法距离内一个打开的容器里的10 加仑水分枯竭不见。或者使施法距离内一片30 尺立方区域的浓雾消失不见。
升环施法效应。
使用2 环或更高法术位施展该法术时，你使用的法术位每比1 环高一环，法术就多创造或枯竭10 加仑额外的水分，或者影响的立方区域边长增加5 尺。</t>
  </si>
  <si>
    <t>（造水为一滴水，枯水为一点谷物或沙子）</t>
  </si>
  <si>
    <t>Guiding Bolt</t>
  </si>
  <si>
    <t>一道闪光快速飞向施法距离内你指定的一个生物，并对该目标进行一次远程法术攻击检定。命中时，目标受4d6 的光耀伤害。
由于目标身上闪耀着秘法的微光，在施法者下个回合结束前，对该目标发动的下一次攻击检定具有优势。
升环施法效应。
使用2 环或更高法术位施展该法术时，你使用的法术位每比1 环高一环，伤害就增加1d6。</t>
  </si>
  <si>
    <t>Inflict Wounds</t>
  </si>
  <si>
    <t>你对触及范围内一个生物发动一次近战法术攻击。命中时，目标受到3d10 点黯蚀伤害。
升环施法效应。
使用2 环或更高法术位施展该法术时，你使用的法术位每比1 环高一环，伤害就增加1d10。</t>
  </si>
  <si>
    <t>Sactuary</t>
  </si>
  <si>
    <t>V、S、M（一小块银镜）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</si>
  <si>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</si>
  <si>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（一小块银镜）</t>
  </si>
  <si>
    <t>Find Familiar</t>
  </si>
  <si>
    <t>V、S、M（将价值10gp的木炭、焚香以及香草，放在黄铜盆中烧尽）</t>
  </si>
  <si>
    <t>你获得一只为你服务的魔宠。以下列动物为原型选择魔宠的动物精魂外貌：蝙蝠bat、猫cat、螃蟹crab、青蛙frog（蟾蜍toad）、鹰hawk、蜥蜴lizard、章鱼octopus、猫头鹰owl、毒蛇poisonous snake、鱼fish（食人鱼quipper）、老鼠rat、渡鸦raven、海马sea horse、蜘蛛spider、鼬鼠weasel。魔宠出现在施法距离内一处未被占据的空间，虽然有着所选的生物属性数据，但其种类为天界生物，精类生物或邪魔（由你选择）而不是野兽。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 降为0 时自行消失，且不会留下任何物理残余，而当你重新施展该法术后它会重新出现。
你的魔宠在你身边100 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 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 尺范围内，且其必须可以执行反应来传递法术。如果传递的法术需要进行攻击检定，则该检定将使用你自己的攻击调整值。</t>
  </si>
  <si>
    <t>（将价值10gp的木炭、焚香以及香草，放在黄铜盆中烧尽）</t>
  </si>
  <si>
    <t>Grease</t>
  </si>
  <si>
    <t>V、S、M（一小块猪皮或黄油）</t>
  </si>
  <si>
    <t>你在施法距离内指定一点，光滑的油脂以该点为中心覆盖一处10 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</si>
  <si>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（一小块猪皮或黄油）</t>
  </si>
  <si>
    <t>Tenser’s Floating Disk</t>
  </si>
  <si>
    <t>V、S、M（一滴水银）</t>
  </si>
  <si>
    <t>指定施法距离内一处你能看见的未被占据空间，并在该处创造一个圆盘状的碟型水平力场。浮碟直径3 尺，厚1 寸，悬浮在离地3 尺的半空。其可以在法术持续时间内持续存在，并至多可负载500 磅重量。如果放在浮碟上的物件重量超过500 磅，则该法术立即终止，浮碟上的所有东西也将掉落地面。
浮碟在你20 尺内时静止不动。只要你与其距离超过20 尺，浮碟就会跟随你移动，并保持在你的20 尺范围内。浮碟可以自由通过崎岖地形，上落的阶梯，斜坡面或者诸如此类的地面，但它不能越过高差超过10 尺的地面。例如，浮碟不能越过一个10尺深的坑；如果浮碟造在坑里，则它也无法离开这个深坑。如果你和浮碟间的距离超过100 尺（通常是因为它受障碍所阻无法跟上你），则法术随即终止。</t>
  </si>
  <si>
    <t>（一滴水银）</t>
  </si>
  <si>
    <t>Fog Cloud</t>
  </si>
  <si>
    <t>德鲁伊 游侠 术士 法师</t>
  </si>
  <si>
    <t>你以施法距离内一点为中心创造一片半径20 尺的球状浓雾。浓雾再球形内充斥所有角落，并造成重度遮蔽。浓雾持续至法术持续时间结束，但仍可被和风或更强风势（至少每小时10 里）所吹散。
升环施法效应。
使用2 环或更高法术位施展该法术时，你使用的法术位每比1 环高一环，浓雾的半径就增加20 尺。</t>
  </si>
  <si>
    <t>Jump</t>
  </si>
  <si>
    <t>V、S、M（一只蚱蜢的后腿）</t>
  </si>
  <si>
    <t>你触碰一个生物，并使该生物的跳跃距离在法术持续时间内增至三倍。</t>
  </si>
  <si>
    <t>（一只蚱蜢的后腿）</t>
  </si>
  <si>
    <t>Goodberry</t>
  </si>
  <si>
    <t>V、S、M（一枝槲寄生）</t>
  </si>
  <si>
    <t>至多10 个浆果出现在你手里。果子在法术持续时间内充满魔法，持有浆果的生物可用其动作吃下其中之一并以此恢复1 点生命值，且一枚浆果就可以满足该生物一整天的营养需求。创造的浆果如果在法术施展后的24 小时内没有被吃掉就会失去其效力。</t>
  </si>
  <si>
    <t>（一枝槲寄生）</t>
  </si>
  <si>
    <t>Entangle</t>
  </si>
  <si>
    <t>在施法距离内指定一点，并以其为源点蔓延出20 尺方形区域的杂草和藤蔓。在法术持续时间内，这片被植物覆盖的区域变为困难地形。
在你施展法术时，该区域内的生物必须成功通过一此力量豁免，否则将因为这些缠绕的植物陷入束缚状态，直到法术终止。
一个因此被束缚的生物可以使用其动作进行一次力量检定以对抗该法术的豁免DC，检定成功则摆脱束缚。
法术终止时，所召唤的植物随即枯萎。</t>
  </si>
  <si>
    <t>Catapult E</t>
  </si>
  <si>
    <t>出自：EEPC</t>
  </si>
  <si>
    <t>150尺</t>
  </si>
  <si>
    <t>指定施法距离内一个重量为1到5磅，未被着装或持握的物件。目标向你指定的一个方向以直线轨迹飞行，在落到地面前至多行进90尺，若其在此过程中撞击到了坚固表面则会提前停止运动。若该物件将撞击一个生物，则该生物必须进行一次敏捷豁免。豁免失败时，该物件将击中目标并不再移动。无论如何，物件和生物或固态表面各受3d8的钝击伤害。
升环施法效应。
使用2 环或更高环法术位施展该法术时，你使用的法术位每比2 环高一环，可指定的物件的重量上限便增加5 磅，而造成的伤害则提高1d8。</t>
  </si>
  <si>
    <t>Aganazzar’s Scorcher E</t>
  </si>
  <si>
    <t>Earth Tremor E</t>
  </si>
  <si>
    <t>你在 10 尺半径的区域内引发地面颤动。身处该区域，除你之外的其他生物必须进行一次敏捷豁免。豁免失败者将受1d6 的钝击伤害并应击倒地。若区域地表为松软的土壤或石头，则其在被清理前成为困难地形。
升环施法效应。
使用2 环或更高环法术位施展该法术时，你使用的法术位每比 2 环高一环，伤害便增加 1d6。</t>
  </si>
  <si>
    <t>Ice Knife E</t>
  </si>
  <si>
    <t>你制造出一块冰晶裂片，并将它射向距离内的一个生物。你对目标进行一次远程法术攻击。若击中，则目标受 1d10 的穿刺伤害。无论击中与否，裂片都会在之后爆裂。目标和裂片爆裂处周围 5 尺范围内的每个生物必须成功通过一次敏捷豁免否则受 2d6 的冷冻伤害。
升环施法效应。
使用2 环或更高环法术位施展该法术时，你使用的法术位每比 2 环高一环，冷冻伤害便增加 1d6。</t>
  </si>
  <si>
    <t>1反应，于你受到强酸，冷冻，火焰，闪电或雷鸣伤害时执行</t>
  </si>
  <si>
    <t>此法术捕获了部分袭来的能量，减轻它对你的影响，并将之储存起来以用在你的下一次近战攻击中。在你的下个回合开始之前，你对触发型的伤害具有抗性。此外，你的下个回合，第一次以近战攻击命中时，伤害目标额外受 1d6的伤害，其伤害类型与前述触发型伤害相同，随后该法术终止。
升环施法效应。
使用2 环或更高环法术位施展该法术时， 你使用的法术位每比 1 环高一环，其额外伤害便增加 1d6。</t>
  </si>
  <si>
    <t>你触及一个对你友好或受你魅惑的野兽，并与其建立心灵链接。若该野兽的智力不低于4，则此法术失败。直到法术终止前，只要你和该野兽相互处于彼此的视觉线内，此链接便处于活动状态。通过此链接，该野兽可以理解你以心灵感应传递的信息，而它本身也会以心灵感应向你传递其简单情绪和意愿打算。只要此链接处于活动状态，该野兽对你周围5 尺内你能看见的任何生物发动攻击检定时具有优势。</t>
  </si>
  <si>
    <t>Mind Spike</t>
  </si>
  <si>
    <t>术士 法师 邪术师</t>
  </si>
  <si>
    <t>2环/预言</t>
  </si>
  <si>
    <t>你接触施法距离内一个你可见生物的内心。目标必须进行感知豁免检定，若失败会受到3d8精神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升环效果：当你使用3环或更高的法术位施放该法术时，使用的法术位每高一环，伤害就增加1d6。
*设计师在推特指出升环1d6是印刷错误，正确的数字应该是1d8。</t>
  </si>
  <si>
    <t>Shadow Blade</t>
  </si>
  <si>
    <t>2环/幻术</t>
  </si>
  <si>
    <t>你将幽影交织成手中实化的剑。该魔法剑持续到法术结束。它被视为你具有熟练项的简易近战武器，命中时造成2d8精神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升环效果：当你用3-4环施放该法术时，其伤害增加到3d8。5-6环时增加到4d8。7环或以上则增加到5d8。</t>
  </si>
  <si>
    <t>Dragon's Breath</t>
  </si>
  <si>
    <t>2环/变化</t>
  </si>
  <si>
    <t>V、S、M（一枚辣椒）</t>
  </si>
  <si>
    <t>你触碰一个自愿生物，使它能喷吐出魔法能量，只要它拥有一张嘴。选择强酸、寒冷、火焰、闪电或毒素中的一种。直到法术结束前，生物可以使用一个动作放射出15尺锥形的对应能量。区域内的每个生物必须进行敏捷豁免检定，若失败将受到3d6对应能量类型的伤害，成功则只承受一半。
升环效果：当你使用3环或更高的法术位施放该法术时，使用的法术位每高一环，伤害就增加1d6。</t>
  </si>
  <si>
    <t>（一枚辣椒）</t>
  </si>
  <si>
    <t>Maximilian’s Earthen Grasp</t>
  </si>
  <si>
    <t>V、S、M（一个由陶土雕塑成的手的模型）</t>
  </si>
  <si>
    <t>你选择距离内，你能看见的，地面上的一处5平方英尺，未被占据的空间。一只由坚实的土壤形成的中型手掌出现在那里，并伸向它周围5英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</si>
  <si>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（一个由陶土雕塑成的手的模型）</t>
  </si>
  <si>
    <t>Snilloc’s Snowball Swarm</t>
  </si>
  <si>
    <t>2环/塑能</t>
  </si>
  <si>
    <t>V、S、M（一块冰或一小块白色岩石碎片）</t>
  </si>
  <si>
    <t>你指定施法距离内一点，从中喷涌出大量的魔法雪球。以该点为中心 5 尺半径球状区域内的所有生物必须进行一次敏捷豁免。豁免失败者将受 3d6 的冷冻伤害，成功则伤害减半。
升环施法效应。
使用3 环或更高环法术位施展该法术时，你使用的法术位每比 3 环高一环，伤害便增加 1d6。</t>
  </si>
  <si>
    <t>（一块冰或一小块白色岩石碎片）</t>
  </si>
  <si>
    <t>Pyrotechnics</t>
  </si>
  <si>
    <t>选择距离之内，你能看见的一处占满5立方英尺区域的非魔法火焰。你可以熄灭区域内的火焰，或者你可以制造出焰火或浓烟。
焰火Fireworls：
目标伴随着炫目的彩色光芒爆炸。在目标周围10英尺范围内的生物必须通过一次体质豁免检定，否则在直到你的下个回合结束前的时间里处于目盲状态。
浓烟Smoke：
目标散发出浓重的黑烟，蔓延在20英尺半径的区域内，可绕过角落。烟雾所在的区域处于重度遮蔽状态。浓烟将持续1分钟或直到被强风吹散。</t>
  </si>
  <si>
    <t>Warding Wind</t>
  </si>
  <si>
    <t>一阵强风 strong wind（风速每小时 20 尺）在你周围 10 尺半径内回旋并始终以你为中心随着你移动。这股风将在法 术持续时间内维持存在。
这股风具有如下效应：
它会令你和区域内的其他生物陷入耳聋。
它会令区域内，不大于火炬的未受保护的火焰熄灭。
除你之外的生物将区域内视为困难地形。
若远程武器攻击进入或离开风区，则其攻击检定具有劣势。
风区可以隔离那些能够被强风吹散的蒸汽、气体和云雾。</t>
  </si>
  <si>
    <t>Skywrite</t>
  </si>
  <si>
    <t>诗人 德鲁伊 法师</t>
  </si>
  <si>
    <t>2环/变化（仪式）</t>
  </si>
  <si>
    <t>视野内</t>
  </si>
  <si>
    <t>你令你能看见的一部分天空出现至多十个字。文字以云彩构成的形式出现，并在法术持续时间内留在原位。文字将会在法术终止时消失。一阵强风可吹散云彩令法术提前终止。</t>
  </si>
  <si>
    <t>Healing Spirit</t>
  </si>
  <si>
    <t>2环/咒法</t>
  </si>
  <si>
    <t>你召唤出自然精魂抚慰伤员。这个无形的精魂出现在施法距离内你可以看见的一处5英尺立方空间。精魂看起来像是透明的野兽或是妖精（由你选择）。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
在你的回合中以一个附赠动作，你可以移动精魂30英尺至你可以看见的另一个空间。
升环效果：当你使用3环或更高的法术位施放该法术时，使用的法术位每高一环，治疗值就增加1d6点。</t>
  </si>
  <si>
    <t>Earthbind</t>
  </si>
  <si>
    <t>德鲁伊 术士 法师 邪术师</t>
  </si>
  <si>
    <t>300尺</t>
  </si>
  <si>
    <t>选择距离内你能够看到的一个生物。黄色的魔法能量线缠绕着该生物。该目标必须通过一次力量豁免检定，否则其飞行速度（若有的话）在法术的持续时间内降为0英尺。受到此法术影响的飞行中的生物以每回合60英尺的速度安全降落，直到其撞到地面或法术终结。</t>
  </si>
  <si>
    <t>Dust Devil</t>
  </si>
  <si>
    <t>V、S、M（一捧尘土）</t>
  </si>
  <si>
    <t>选择距离之内，你能看见的一个5英尺立方的，未被占据的空气。一股元素，外观如同尘卷风，出现在那里，并在法术的持续时间内持续存在。
任何在尘卷风周围5英尺范围内结束其回合的生物必须进行一次力量豁免检定。若检定失败，该生物受到1d8点钝击伤害并被推离10英尺。若检定成功，该生物只受到上述伤害的一半，并不会被推离。
以一个附赠动作，你可以让尘卷风向任意方向移动至多30英尺。若尘卷风移动时经过了沙子，尘土，松软的土壤或小砂砾，它将会卷起这些物质，在自身周围形成10英尺半径的残骸云，持续到你下个回合的开始。残骸云重度遮蔽了所在区域。
升环效果：当你使用3环或更高的法术位施放该法术时，使用的法术位每高一环，伤害便增加1d8。</t>
  </si>
  <si>
    <t>（一捧尘土）</t>
  </si>
  <si>
    <t>Cordon of Arrows</t>
  </si>
  <si>
    <t>5尺</t>
  </si>
  <si>
    <t>V、S、M（四支或更多的箭或矢）</t>
  </si>
  <si>
    <t>你将四发非魔法的弹药（箭或者弩矢）插在施法距离内的地面并在其上附加魔法让其防御这片区域。直至法术终止前，箭矢将警戒其周围30 尺的区域，任何生物在一回合内第一次进入该区域或者在该区域结束其回合时，其中一发箭矢将飞起并射向该生物。该生物必须进行一次敏捷豁免，豁免失败者将受到1d6 点穿刺伤害，而射向目标的一发箭矢也将随之被摧毁。当所有箭矢都以该方式摧毁后，法术将随之终止。
施展该法术时，你可以指定任意的生物使法术的警戒效应将其排除在外。
升环施法效应。
使用3 环或更高法术位施展该法术时，你的法术位每比2 环高一环，可生效的弹药数量就增加两发。</t>
  </si>
  <si>
    <t>（四支或更多的箭或矢）</t>
  </si>
  <si>
    <t>Ray of Enfeeblement</t>
  </si>
  <si>
    <t>邪术师 法师</t>
  </si>
  <si>
    <t>2环/死灵</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</si>
  <si>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</si>
  <si>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Scorching Ray</t>
  </si>
  <si>
    <t>你创造出三道火焰的射线，随即将其射向施法距离内的目标。
你可以把全部射线对准同一个目标，也可以瞄准不同目标。每道射线需要你分别进行一次远程法术攻击。若命中，则目标受到2d6 点火焰伤害。
升环施法效应。
使用3 环或更高法术位施展该法术时，使用的法术位每比2 环高一环，你就能多创造出一道射线。</t>
  </si>
  <si>
    <t>Darkness</t>
  </si>
  <si>
    <t>V、M（蝙蝠毛发，以及一滴沥青或一小块煤）</t>
  </si>
  <si>
    <t>你在施法距离内指定一点，并在法术持续时间内使魔法的黑暗充斥该点半径15 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 环或更低环阶法术创造的光源，则这些造光的法术将被解除。</t>
  </si>
  <si>
    <t>（蝙蝠毛发，以及一滴沥青或一小块煤）</t>
  </si>
  <si>
    <t>Mirror Image</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</si>
  <si>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 决定该次攻击击中的是否其中一个分身。
如果你有三个分身，则你必须掷出6 或更高数值才能使目标的攻击命中分身。如果你有两个分身，则你必须掷出8 或更高数值。如果你有一个分身，则你必须掷出11 或更高数值。
分身的AC 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</si>
  <si>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Misty Step</t>
  </si>
  <si>
    <t>你短暂地被银白的雾气所笼罩，传送到至多30 尺内一个你能看见且未被占据的位置。</t>
  </si>
  <si>
    <t>Spider Climb</t>
  </si>
  <si>
    <t>V、S、M（一滴沥青和一只蜘蛛）</t>
  </si>
  <si>
    <t>你触碰一个自愿的生物，并使其在法术终止前能够在垂直表面上下或横向移动，其甚至可以在天花板上倒挂着移动而不需要用到双手。另外，目标获得与步行速度相等的攀爬速度。</t>
  </si>
  <si>
    <t>（一滴沥青和一只蜘蛛）</t>
  </si>
  <si>
    <t>Alter Self</t>
  </si>
  <si>
    <t>专注、至多1小时</t>
  </si>
  <si>
    <t>你变换了自身形态。施法时，从以下选项中选择其一生效，并维持至其持续时间结束。你还可以在持续时间内以一个动作在选项间切换。
水生适应Aquaatic Adaptation。
你长出鳃和蹼以适应水中行动。你可以在水下呼吸，并且获得等同于步行速度的游泳速度。
改变外貌Change Appearance。
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天生武器Natural Weapons。
你长出尖牙锐爪、棘刺长角，或是其他类型的一种自选的天生武器。所选的天生武器可以使你的徒手打击造成1d6 的钝击、挥砍或穿刺伤害，且你视为具有徒手打击的熟练项。另外，该天生武器视为魔法武器，且你在使用它进行的攻击检定和伤害掷骰均具有+1 加值。</t>
  </si>
  <si>
    <t>Blur</t>
  </si>
  <si>
    <t>你的身影变得模糊，并在别人眼里闪烁不定。在法术持续时间内，任何生物对你发动的攻击检定具有劣势。不依赖视觉（例如盲视）或可以看穿幻象（例如真实视觉）的攻击者免疫此效应。</t>
  </si>
  <si>
    <t>Enlarge/Reduce</t>
  </si>
  <si>
    <t>V、S、M（一撮铁粉）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</si>
  <si>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
随后任何从该生物身上脱离的物品都会恢复其正常大小。
变巨Enlarge。
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 的伤害。
缩小Reduce。
目标身形尺寸变为一半，重量变为八分之一。
其体型也因此降低一级，比如中型变为小型。在法术终止前，目标进行力量检定和力量豁免时具有劣势。目标的武器也会随之变小，而使用这变小的武器攻击时，将减少1d4 的伤害（不会使伤害值低于1）。</t>
  </si>
  <si>
    <t>（一撮铁粉）</t>
  </si>
  <si>
    <t>Levitate</t>
  </si>
  <si>
    <t>V、S、M（一个小皮圈，或者一段弯成长柄杯状的金线）</t>
  </si>
  <si>
    <t>指定施法距离内你能看见的一个生物或物件，使其垂直上升至多20 尺，并在该处维持悬浮直至持续时间结束。该法术可悬浮一个重量至多500 磅的目标。一个非自愿的生物可以对法术进行一次体质检定以避免受其影响。
目标只能通过推或拉一个固定的物件或平面（例如一面墙或者天花板）来进行移动，这种移动方式视为等同于攀爬。你可以在自己回合里将目标的悬浮高度向上或向下改变至多20 尺：如果你自身就是该法术的目标，则你可以进行上升和下降并将其作为你移动的一部分；如果你不是该法术的目标，则你可以使用动
作来移动目标，但目标必须始终处于你的施法距离内。
法术终止时，仍处于空中的目标会缓缓飘落到地面。</t>
  </si>
  <si>
    <t>（一个小皮圈，或者一段弯成长柄杯状的金线）</t>
  </si>
  <si>
    <t>Web</t>
  </si>
  <si>
    <t>V、S、M（少量蜘蛛网）</t>
  </si>
  <si>
    <t>专注，至多一小时</t>
  </si>
  <si>
    <t>你在施法距离内指定一点，并召唤出一大片粘厚的网状物。
蛛网覆盖以该点为源点的20 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 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 的力量检定，检定成功则不再被束缚。
这些蛛网都是可燃物。每5 尺立方的蛛网触及明火时将在1轮内被烧尽。而任何在燃烧区域内开始其回合的生物将因此受2d4 点火焰伤害。</t>
  </si>
  <si>
    <t>（少量蜘蛛网）</t>
  </si>
  <si>
    <t>Enthrall</t>
  </si>
  <si>
    <t>诗人 邪术师</t>
  </si>
  <si>
    <t>2环/附魔</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</si>
  <si>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</si>
  <si>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Cloud of Daggers</t>
  </si>
  <si>
    <t>V、S、M（一小片玻璃）</t>
  </si>
  <si>
    <t>你在施法距离内指定一点，并以该点为中心，将一个边长5尺的立方区域充满魔法创造的旋转匕首。生物在区域内开始其回合，或者在一个回合内第一次进入该区域时将受到4d4 的挥砍伤害。
升环施法效应。
使用3 环或更高法术位施展该法术时，你使用的法术位每比2 环高一环，法术的伤害就增加2d4。</t>
  </si>
  <si>
    <t>（一小片玻璃）</t>
  </si>
  <si>
    <t>Crown of Madness</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</si>
  <si>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</si>
  <si>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Invisibility</t>
  </si>
  <si>
    <t>V、S、M（一根包裹在阿拉伯胶中的睫毛）</t>
  </si>
  <si>
    <t>你触碰的一个生物变为隐形并维持至法术终止。目标的穿着物和携带物只要保持在其身上也随之保持隐形状态。如果目标发动攻击或施展法术，则该法术终止。
升环施法效应。
使用3 环或更高的法术位施展该法术时，你使用的法术位每比2 环高一环就可以额外指定一个目标。</t>
  </si>
  <si>
    <t>（一根包裹在阿拉伯胶中的睫毛）</t>
  </si>
  <si>
    <t>Shatter</t>
  </si>
  <si>
    <t>V、S、M（一片云母）</t>
  </si>
  <si>
    <t>你指定施法距离内一点，并在其上忽然爆发一阵震耳欲聋的噪音。以该点为中心半径10 尺球状区域内的所有生物必须要进行一次体质豁免。豁免失败者将受到3d8 点雷鸣伤害；豁免成功则伤害减半。以无机物质（如石头，水晶或金属）构成的生物进行该豁免时具有劣势。
如果法术的范围内有一个不被任何生物着装携带的非魔法物件，则它也要受到该伤害。
升环施法效应。
使用3 环或更高法术位施展该法术时，使用的法术位每比2 环高一环，法术伤害就增加1d8。</t>
  </si>
  <si>
    <t>（一片云母）</t>
  </si>
  <si>
    <t>Suggestion</t>
  </si>
  <si>
    <t>V、M（一条蛇舌，加上一小块蜂巢或一滴甜油）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</si>
  <si>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</si>
  <si>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</si>
  <si>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（一条蛇舌，加上一小块蜂巢或一滴甜油）</t>
  </si>
  <si>
    <t>V、S、M（一块铜片）</t>
  </si>
  <si>
    <t>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t>
  </si>
  <si>
    <t>（一块铜片）</t>
  </si>
  <si>
    <t>Knock</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</si>
  <si>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锁住，则该秘法锁被压制10 分钟，这段时间内目标可被正常开启和关闭。
施展该法术时，受术目标会发出一声响亮的敲击声，其声响最远300 尺内都能听见。</t>
  </si>
  <si>
    <t>Phantasmal Force</t>
  </si>
  <si>
    <t>V、S、M（一点羊毛）</t>
  </si>
  <si>
    <t>你指定施法距离内一个你能够看见的生物，并创造一个根植于其意识的幻像。该目标必须进行一次智力豁免。豁免失败时，你创造出一个不大于10 尺立方且只能被目标感知到的幻影物件，生物或其他你指定的可见现象。该创造将持续存在直至法术终止。且该法术对不死生物和构装生物无效。
该幻像包括声音、温度和其他反应因素，同样只对目标显现。目标可以用其动作进行一次对抗该法术豁免DC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 尺攻击范围内，则幻象可以对目标造成1d6 点心灵伤害。而此时目标则会感觉该伤害与幻像所显现的类型相符。</t>
  </si>
  <si>
    <t>（一点羊毛）</t>
  </si>
  <si>
    <t>See Invisibility</t>
  </si>
  <si>
    <t>V、S、M（一撮滑石粉和少量银粉）</t>
  </si>
  <si>
    <t>你能在法术持续时间内看见任何隐形的生物和物件，如同其处于正常可见状态一样。你还能够看见以太位面，而以太位面的生物和物件在你眼中会以幽灵般的半透明状出现。</t>
  </si>
  <si>
    <t>（一撮滑石粉和少量银粉）</t>
  </si>
  <si>
    <t>Silence</t>
  </si>
  <si>
    <t>诗人 牧师 游侠</t>
  </si>
  <si>
    <t>2环/幻术（仪式）</t>
  </si>
  <si>
    <t>你指定施法距离内一点，以该点为中心半径20 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</si>
  <si>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Blindness/Deafness</t>
  </si>
  <si>
    <t>诗人 牧师 术士 法师</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</si>
  <si>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
使用3 环或更高法术位施展该法术时，你使用的法术位每比2 环高一环，就可以多指定一个目标。</t>
  </si>
  <si>
    <t>Zone of Truth</t>
  </si>
  <si>
    <t>诗人 牧师 圣武士</t>
  </si>
  <si>
    <t>你创造一个抵御谎言的魔法区域，该区域以施法距离内一点为中心，覆盖该点周边15 尺半径的球状区域。在法术终止前，生物在其回合内第一次进入该区域，或在该区域内开始其回合时，必须进行一次魅力豁免。豁免失败者在该区域内不能故意说谎。
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</si>
  <si>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Hold Person</t>
  </si>
  <si>
    <t>诗人 牧师 德鲁伊 术士 邪术师 法师</t>
  </si>
  <si>
    <t>V、S、M（一片直的小铁片）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</si>
  <si>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
使用3 环或更高法术位施展该法术时，你使用的法术位每比2 环高一环，你就可以额外指定一个类人生物。指定目标时，每个目标生物必须身处其他目标30 尺范围内。</t>
  </si>
  <si>
    <t>（一片直的小铁片）</t>
  </si>
  <si>
    <t>Enhance Ability</t>
  </si>
  <si>
    <t>诗人 牧师 德鲁伊 术士</t>
  </si>
  <si>
    <t>V、S、M（野兽的毛皮或羽毛）</t>
  </si>
  <si>
    <t>你触碰一个生物，并为其附上魔力强化。选择下列效应之一生效，而目标将在法术终止前维持该法术效应。
熊之坚韧Bear’s Endurance。
目标进行体质检定时具有优势。
目标同时获得2d6 的临时生命值，并维持至法术终止。
公牛之力Bull’s Strength。
目标进行力量检定时具有优势，且其负重翻倍。
猫之优雅Cat’s Grace。
目标进行敏捷检定时具有优势。另外，目标在非失能状态下不会因20 尺以内的坠落而伤害。
鹰之威仪Eagle’s Splendor。
目标进行魅力检定时具优势。
狐之狡黠Fox’s Cunning。
目标进行智力检定时具有优势。
枭之睿智Owl’s Wisdom。
目标进行感知检定时具有优势。
升环施法效应。
使用3 环或更高法术位施展该法术时，你使用的法术位每比2 环高一环，就可以多指定一个目标。</t>
  </si>
  <si>
    <t>（野兽的毛皮或羽毛）</t>
  </si>
  <si>
    <t>Locate Object</t>
  </si>
  <si>
    <t>诗人 牧师 德鲁伊 圣武士 游侠 法师</t>
  </si>
  <si>
    <t>V、S、M（一根分叉的树枝）</t>
  </si>
  <si>
    <t>你点名或描述一个你熟悉的物件。只要该物件与你相距不超过1000 尺，你就会感测到该物件的方位。如果该物件正在移动，则你也将知晓其移动的方向。
该法术可定位一个你认识的特定物件，不过你需要在30 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</si>
  <si>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（一根分叉的树枝）</t>
  </si>
  <si>
    <t>Lesser Restoration</t>
  </si>
  <si>
    <t>2环/防护</t>
  </si>
  <si>
    <t>你触碰一个生物，并终止正影响它的一项疾病或一种状态。该状态可以是目盲，耳聋，麻痹或中毒其一。</t>
  </si>
  <si>
    <t>Calm Emotions</t>
  </si>
  <si>
    <t>你试图抑制一群人的强烈情感。指定施法距离内一点，并迫使该点周边半径20 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或者，你也可以选择使目标改变对某个你所指定生物的态度，由敌对变为冷漠。如果目标被攻击，或者被有害法术影响，又或者发现其盟友受到损害，则此效应终止。法术终止时，除非DM另行裁决，否则目标的态度恢复敌对。</t>
  </si>
  <si>
    <t>Magic Mouth</t>
  </si>
  <si>
    <t>V、S、M（一小块蜂窝和至少价值10gp的翡翠粉作为法术的耗材）</t>
  </si>
  <si>
    <t>直至解除</t>
  </si>
  <si>
    <t>你将一段信息植入施法距离内的一个物件中，其信息会在满足预设条件时说出。指定一个你能看见且未被另一生物穿着或携带的物件。然后，你可以使用至多10 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
施展该法术时，你可以让法术在传达过信息后随即终止，或者也可以让法术一直持续并在每次被预设条件触发时进行复述。
你所决定的触发条件可以很概括也可以很具体，不过你只能根据目标物件30 尺内的视觉或听觉状况来设定条件。例如，你可以命令魔嘴在任何生物移动至物件30 尺内时说出信息，或者当其30 尺内有银铃响起时说出信息。</t>
  </si>
  <si>
    <t>（一小块蜂窝和至少价值10gp的翡翠粉作为法术的耗材）</t>
  </si>
  <si>
    <t>Animal Messenger</t>
  </si>
  <si>
    <t>2环/附魔（仪式）</t>
  </si>
  <si>
    <t>该法术令你可以利用动物传递信息。在施法距离内指定一只你能看见的微型野兽（比如松鼠squirrel，蓝松鸦blue jay，或是蝙蝠bat）。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 小时内可移动50 里，不会飞的信使只能移动25 里。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
使用3 环或更高法术位施展该法术时，你使用的法术位每比2 环高一环，其法术持续时间就增加48 小时。</t>
  </si>
  <si>
    <t>附魔（仪式）</t>
  </si>
  <si>
    <t>Locate Animals or Plants</t>
  </si>
  <si>
    <t>2环/预言（仪式）</t>
  </si>
  <si>
    <t>V、S、M（一块寻血猎犬的皮毛）</t>
  </si>
  <si>
    <t>你点名或描述一种兽类或植物，并专注于附近的自然之音。如果5 里内存在该类生物，你将知晓其中最接近个体与你的相对方位和距离。</t>
  </si>
  <si>
    <t>（一块寻血猎犬的皮毛）</t>
  </si>
  <si>
    <t>Heat Metal</t>
  </si>
  <si>
    <t>V、S、M（一片铁片和一团火焰）</t>
  </si>
  <si>
    <t>指定施法距离内一件你能看见的人造金属物件（例如一把金属武器，或者一套金属质的重甲或中甲），并使该物件变得炽热。
施展该法术时，任何与该物件有物理接触的生物均受到2d8 的火焰伤害。直到法术终止前，施法在随后的每个回合中，你都可以使用一个附赠动作再次造成该伤害。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
使用3 环或更高法术位施展该法术时，你使用的法术位每比2 环高一环，伤害就增加1d8。</t>
  </si>
  <si>
    <t>（一片铁片和一团火焰）</t>
  </si>
  <si>
    <t>Magic Weapon</t>
  </si>
  <si>
    <t>圣武士 法师</t>
  </si>
  <si>
    <t>你触碰一件非魔法武器，并使其在法术持续时间内成为魔法武器。该武器进行攻击检定和伤害掷骰时具有+1 加值。
升环施法效应。
使用4 环或更高法术位施展该法术时，加值增加至+2。使用6 环或更高法术位施展该法术时，加值增加至+3。</t>
  </si>
  <si>
    <t>Branding Smite</t>
  </si>
  <si>
    <t>你在法术终止前的下一次武器攻击命中某生物时武器闪烁如明星，并对目标额外造成2d6 点光耀伤害。如果目标处于隐形状态，则该斩击将使其可见，且因其身上散发出５尺半径的微光而无法隐形，直至该法术终止。
升环施法效应。
使用３环或更高法术位施展该法术时，你使用的法术位每比２环高一环，法术的伤害就增加1d6。</t>
  </si>
  <si>
    <t>Find Steed</t>
  </si>
  <si>
    <t>你召唤一只拥有超凡智力、力量和忠诚的灵体作为坐骑，同时与其立长期的契约。坐骑显现在施法距离内未被占据的空间，其外形由你从以下形态中选择：战马、矮种马、骆驼、麋鹿、獒犬（DM 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 时消失不见，且不留下任何物质残余。你也可以随时用一个动作解散该坐骑使其消失。此后，每当你重新施展该法术时，将满生命值的召唤同一匹坐骑显现。
坐骑在你身边1 里内时，你可以与其以心灵感应的方式进行交流。
你不能用该法术同时拥有一匹以上的坐骑，你可以随时用一个动作将坐骑从契约中解放，并使其消失不见。</t>
  </si>
  <si>
    <t>Aid</t>
  </si>
  <si>
    <t>V、S、M（一小片白布）</t>
  </si>
  <si>
    <t>你的法术增强了盟友的韧性和毅力。在施法距离内指定至多三个生物。每个目标的生命值上限和当前生命值在法术持续时间内提高5 点。
升环施法效应。
使用3 环或更高法术位施展该法术时，你使用的法术位每比2 环高一环，每个目标的生命值上限和当前生命值就额外提高5 点。</t>
  </si>
  <si>
    <t>（一小片白布）</t>
  </si>
  <si>
    <t>Continual Flame</t>
  </si>
  <si>
    <t>牧师 法师</t>
  </si>
  <si>
    <t>V、S、M（价值50gp的红宝石粉末，作为该法术的耗材）</t>
  </si>
  <si>
    <t>直至被解除</t>
  </si>
  <si>
    <t>你在所触碰物件上制造如火把一样亮的火焰，使其看上去与一般火焰无异，不过其并不会发热，也不需要燃烧氧气。你可以掩盖或隐藏它，但无法将之闷熄或扑灭。</t>
  </si>
  <si>
    <t>（价值50gp的红宝石粉末，作为该法术的耗材）</t>
  </si>
  <si>
    <t>Gentle Repose</t>
  </si>
  <si>
    <t>2环/死灵（仪式）</t>
  </si>
  <si>
    <t>V、S、M（一撮盐，以及尸体每只眼睛上必须放置的铜币，铜币必须在法术持续时间内一直保留在眼睛上）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</si>
  <si>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该法术同样可以有效的延长复活目标的时间限制，因为受该法术影响下度过的时间不计入法术如死者复活raise dead 的时间限制内。</t>
  </si>
  <si>
    <t>死灵（仪式）</t>
  </si>
  <si>
    <t>（一撮盐，以及尸体每只眼睛上必须放置的铜币，铜币必须在法术持续时间内一直保留在眼睛上）</t>
  </si>
  <si>
    <t>Find Traps</t>
  </si>
  <si>
    <t>牧师 德鲁伊 游侠</t>
  </si>
  <si>
    <t>你在施法距离内进行感测，并发现视野内的任何陷阱。该法术的目标“陷阱”包括任何可能引发的，对你有害或对你构成妨碍的突发性意外效应，而其性质也正是其创作者的意图。因此，该法术可以感测警报术alarm 和守卫刻文glyph of war-ding 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</si>
  <si>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Protection from Poison</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</si>
  <si>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</si>
  <si>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Augury</t>
  </si>
  <si>
    <t>V、S、M（一套绘有标记的短棒，骨头，或类似的象征物，价值至少25金币）</t>
  </si>
  <si>
    <t>借由镶嵌宝石的小短棒，龙骨，卡牌或是其他占卜器具，你从异界存在处获得对某件你计划在接下来的30 分钟内做的事的预示。DM 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若你在两次长休之间使用两次或更多次的卜筮术，则法术有概率会给出随机的结果。此概率从第二次施展起每次累计25％。
具体结果由DM 暗骰决定。</t>
  </si>
  <si>
    <t>（一套绘有标记的短棒，骨头，或类似的象征物，价值至少25金币）</t>
  </si>
  <si>
    <t>Prayer of Healing</t>
  </si>
  <si>
    <t>你指定施法距离内至多六个你能看见的生物，并使其每人恢复2d8＋你施法关键属性调整值的生命值。该法术对不死生物和构装体不产生任何效应。
升环施法效应。
当你使用3 环或更高法术位施展该法术时，你使用的法术位每比2 环高一环，治疗量就增加1d8。</t>
  </si>
  <si>
    <t>Spiritual Weapon</t>
  </si>
  <si>
    <t>你在施法距离内的一点创造出一把浮空的虚幻武器，并使其持续到法术持续时间结束或你再次施展该法术为止。施展该法术时，你可以对该武器周围5 尺内的一个生物发动一次近战法术攻击。若命中，则目标受到1d8＋你的施法关键属性调整值的力场伤害。
你可以在自己回合内以一个附赠动作让该武器移动至多20尺，并再对它周围5 尺内的一个生物发动一次同样的攻击。
该武器的外形由你决定。而如果施法的牧师侍奉的是一位和特定武器有关的神祇（例如圣库斯伯特St.Cuthbert 的钉头锤、托尔Thor 的锤子），则该法术创造出武器的外形与该武器类似。
升环施法效应。
使用3 环或更高法术位施展该法术时，你使用的法术位每比2 环高两环，法术的伤害就增加1d8。</t>
  </si>
  <si>
    <t>Warding Bond</t>
  </si>
  <si>
    <t>V、S、M（一对单个价值至少50gp的铂金戒指，并由你和目标在法术持续时间内一直佩戴）</t>
  </si>
  <si>
    <t>你触碰一个自愿的生物，并让该法术的魔力保护它。该法术在你和目标之间建立一种神秘的连接，并一直持续至法术终止。
目标位于你身边60 尺内时，其AC 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</si>
  <si>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（一对单个价值至少50gp的铂金戒指，并由你和目标在法术持续时间内一直佩戴）</t>
  </si>
  <si>
    <t>Arcane Lock</t>
  </si>
  <si>
    <t>V、S、M（至少价值25gp的金粉作为法术耗材）</t>
  </si>
  <si>
    <t>直到被解除</t>
  </si>
  <si>
    <t>你触碰关上的一扇门，一扇窗，一个箱子或其他出入口，并使目标在法术持续时间内保持锁闭状态。施法时，你还可以设定允许你和其他若干生物正常打开该物件。你还可以设置一条密语，在该锁闭物件5 尺内念出密语时，秘法锁将被压制1 分钟。该物件只有在法术被压制、被解除，或物件本身遭破坏时才能打开。
对物件施放敲击术 将使其秘法锁 法术在10 分钟内受压制。
受该法术影响的物件更难被撬开或破坏。对其进行破坏或撬锁时，其相应DC 增加10。</t>
  </si>
  <si>
    <t>（至少价值25gp的金粉作为法术耗材）</t>
  </si>
  <si>
    <t>Flaming Sphere</t>
  </si>
  <si>
    <t>V、S、M（一小块兽脂、一小撮硫磺石和少量铁粉）</t>
  </si>
  <si>
    <t>一个直径5 尺的球状火焰显现在施法距离内你指定的一处未被占据空间，并在法术持续时间内维持存在。任何生物在火球周围5 尺内结束其回合时必须进行一次敏捷豁免。豁免失败者将受到2d6 点火焰伤害，豁免成功则伤害减半。
你可以用一个附赠动作将火球移动30 尺。如果你将火球推向某生物，则该生物必须进行抵抗火球伤害的豁免，而火球在该回合内停止移动。
移动火球时，你可以指引它越过不高于5 尺的障碍，或者越过不宽过10 尺的陷坑。火球将点燃任何未被着装或携带的可燃物件，并向其周围散发出半径20 尺的明亮光照，以及该范围外20 尺的微光光照。
升环施法效应。
使用3 环或更高法术位施展该法术时，你使用的法术位每比2 环高一环，其伤害就增加1d6。</t>
  </si>
  <si>
    <t>（一小块兽脂、一小撮硫磺石和少量铁粉）</t>
  </si>
  <si>
    <t>Melf’s Acid Arrow</t>
  </si>
  <si>
    <t>V、S、M（磨碎的大黄叶和一只蝰蛇的胃囊）</t>
  </si>
  <si>
    <t>一支闪烁的绿色箭矢疾速的飞向一个施法距离内的目标，并爆散成强酸水雾。法术对目标发动一次远程法术攻击。若命中，则目标立即受到4d4 点强酸伤害，并在其下一回合结束时再受到2d4 点强酸伤害。若未命中，则酸液箭矢溅射到了目标，造成初始伤害一半的伤害，并且不会在下一回合结束时造成伤害。
升环施法效应。
使用3 环或更高法术位施展该法术时，你使用的法术位每比2 环高一环，其初始伤害和后续伤害就各增加1d4。</t>
  </si>
  <si>
    <t>（磨碎的大黄叶和一只蝰蛇的胃囊）</t>
  </si>
  <si>
    <t>Nystul’s Magic Aura</t>
  </si>
  <si>
    <t>V、S、M（一小块方形丝绸）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</si>
  <si>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 天，幻术就会一直存在直到被解除。
虚假灵光False Aura。
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伪装Mask。
针对目标生物类别的侦测法术和魔法效应（例如圣武士的“神圣感知”，或法术徽记术的触发条件）将显示不同的信息。你选择一种生物类别，其他法术和魔法效应将会认为目标生物属于该类别或者属于该类别所属阵营。</t>
  </si>
  <si>
    <t>（一小块方形丝绸）</t>
  </si>
  <si>
    <t>Rope Trick</t>
  </si>
  <si>
    <t>V、S、M（玉米粉和一卷羊皮纸绞成得纸圈）</t>
  </si>
  <si>
    <t>你触碰一段长度不超过60 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 尺大小的窗口一样。
法术终止时，异次元空间内的一切东西都会掉出来。</t>
  </si>
  <si>
    <t>（玉米粉和一卷羊皮纸绞成得纸圈）</t>
  </si>
  <si>
    <t>Darkvision</t>
  </si>
  <si>
    <t>V、S、M（一点胡萝卜干或一个玛瑙）</t>
  </si>
  <si>
    <t>你触碰一个自愿的生物，并给予其在黑暗中视物的能力。在法术持续时间内，该生物将拥有60 尺的黑暗视觉。</t>
  </si>
  <si>
    <t>（一点胡萝卜干或一个玛瑙）</t>
  </si>
  <si>
    <t>Barkskin</t>
  </si>
  <si>
    <t>V、S、M（一把橡树皮）</t>
  </si>
  <si>
    <t>你触碰一个自愿生物，并使目标的皮肤在法术终止前呈现粗糙的树皮状外观。期间目标无论着装何种护甲，其AC 将不会降至16 以下。</t>
  </si>
  <si>
    <t>（一把橡树皮）</t>
  </si>
  <si>
    <t>Beast Sense</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</si>
  <si>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</si>
  <si>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Pass without Trace</t>
  </si>
  <si>
    <t>V、S、M（一片槲寄生叶子烧成的灰和一小枝云杉）</t>
  </si>
  <si>
    <t>阴影和沉默的幕障从你身上辐射而出，并隔绝任何对你和你的同伴进行的探测。你指定自身30 尺内的若干生物（包括你自己）。在法术持续时间内，目标生物进行敏捷（隐匿）检定时具有+10 加值，且不能被魔法手段以外的方式追踪。拥有该加值的生物走过某处时不会留下足印或其他踪迹。</t>
  </si>
  <si>
    <t>（一片槲寄生叶子烧成的灰和一小枝云杉）</t>
  </si>
  <si>
    <t>Spike Growth</t>
  </si>
  <si>
    <t>V、S、M（七根棘刺或七根嫩枝，每根都要削尖）</t>
  </si>
  <si>
    <t>以施法距离内一点为中心周围20 尺的地面扭曲变形，大片坚硬的棘刺破土而出。该区域在法术持续时间内视为困难地形。而生物进入该区域或在其中移动时，其每移动5 尺就要受到2d4点穿刺伤害。
法术导致的地面变形经过刻意的掩饰，使其看起来并无异样。
如果生物在你施展该法术时不能看见该区域，则它必须进行一次感知（察觉）检定，检定成功则能发现该区域隐藏的危险。</t>
  </si>
  <si>
    <t>（七根棘刺或七根嫩枝，每根都要削尖）</t>
  </si>
  <si>
    <t>Gust of Wind</t>
  </si>
  <si>
    <t>自身（60尺线状）</t>
  </si>
  <si>
    <t>V、S、M（一粒豆科植物的种子）</t>
  </si>
  <si>
    <t>在法术持续时间内，一道长60 尺，宽10 尺的线状强风从你吹向你指定的方向。每个在线状区域内开始其回合的生物必须进行一次力量豁免，豁免失败则沿着风向被推开15 尺。
任何生物在线状区域内向你移动时，其每移动1 尺必须花费2 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</si>
  <si>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（一粒豆科植物的种子）</t>
  </si>
  <si>
    <t>Flame Blade</t>
  </si>
  <si>
    <t>V、S、M（漆树的叶子）</t>
  </si>
  <si>
    <t>你在一只空闲的手上召唤出一把炽热的刀刃。该到刀刃的尺
寸和形状近似于一把弯刀并在法术持续时间内维持存在。当你放
下刀刃时其将消失不见，但你可以用一个附赠动作重新将其唤出。
你可以用你的动作以该热刃发动一次近战法术攻击。若命中，
则目标受到3d6 点火焰伤害。
烈焰刀向周围提供半径10 尺的明亮光照，以及该范围外10
尺的微光光照。
升环施法效应。使用3 环或更高法术位施展该法术时，你使
用的法术位每比2 环高两环，其伤害就增加1d6。</t>
  </si>
  <si>
    <t>（漆树的叶子）</t>
  </si>
  <si>
    <t>Moonbeam</t>
  </si>
  <si>
    <t>V、S、M（几粒月籽藤种子和一块乳白色的长石）</t>
  </si>
  <si>
    <t>指定施法距离内一点，以该点为中心半径5 尺、高40 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 的光耀伤害，豁免成功则伤害减半。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 尺。
升环施法效应。
使用3 环或更高法术位施展该法术时，你使用的法术位每比2 环高一环，其伤害就增加1d10。</t>
  </si>
  <si>
    <t>（几粒月籽藤种子和一块乳白色的长石）</t>
  </si>
  <si>
    <t>Maximilian’s Earthen Grasp E</t>
  </si>
  <si>
    <t>V、S、M（一个由陶土雕塑成的模型手）</t>
  </si>
  <si>
    <t>你指定施法距离内一处你能看见的 5 平方尺，未被占据地面空间。一只由坚实的土壤形成的中型手掌出现在该出，并伸向其周围 5 尺内一个你能看见的生物。该目标必须进行一次力量豁免。若豁免失败则该生物受 2d6 的钝击伤害并在法术持续时间内被束缚。
你可以用一个动作令手掌挤压该被束缚生物，其必须进行一次力量豁免。豁免失败则其受 2d6 的钝击伤害，成功则伤害减半。被束缚的生物可以进行一次对抗你法术豁免 DC 的力量检定以打破束缚。成功则该生物得逃脱而不再被手掌束缚。
你可以用一个动作令手掌伸向另一个生物，或移动到施法距离内一处未被占据的其他空间。该指令还会让手掌放开被它束缚的生物。</t>
  </si>
  <si>
    <t>（一个由陶土雕塑成的模型手）</t>
  </si>
  <si>
    <t>Snilloc’s Snowball Swarm E</t>
  </si>
  <si>
    <t>Pyrotechnics E</t>
  </si>
  <si>
    <t>指定施法距离内一处你能看见的 5 立方尺明火区域。你可以熄灭区域内的火焰，或者你可以制造出焰火或浓烟。
焰火 Fireworks。
目标伴随着炫目的彩光而爆炸。在目标周围 10 尺范围内的生物必须成功通过一次体质豁免否则在直到你的下个回合结束前的时间里陷入目盲。
浓烟 Smoke。
目标散发出浓重的黑烟，蔓延在 20 尺半径的区域内，并充满区域的角落。烟雾所在区域处于重度遮蔽。浓烟将持续 1 分钟或直到被强风 strong wind 吹散。</t>
  </si>
  <si>
    <t>Skywrite E</t>
  </si>
  <si>
    <t>Warding Wind E</t>
  </si>
  <si>
    <t>诗人 德鲁伊 术士</t>
  </si>
  <si>
    <t>指定施法距离内你能够看到的一个生物。黄色的魔法能量线缠绕着该生物。该目标必须成功通过一次力量豁免否则其飞行速度（若有）在法术持续时间内降为 0 尺。受此法术影响的飞行中生物将每回合坠落 60 尺，直到其撞到地面或法术终止。</t>
  </si>
  <si>
    <t>Dust Devil E</t>
  </si>
  <si>
    <t>V、S、M（一撮尘土）</t>
  </si>
  <si>
    <t>指定施法距离内你能看见的一个5 尺立方未被占据空间。一股元素力量以尘卷风的外观凝聚出现在该处，并在法术持续时间内维持存在。
任何在尘卷风周围 5 尺范围内结束其回合的生物必须进行一次力量豁免。豁免失败者将受 1d8 的钝击伤害并被推离10 尺。豁免成功者伤害减半且不会被推离。
你可以用一个附赠动作让尘卷风向任意方向移动至多 30 尺。若尘卷风移动时经过沙子、尘土、松软土壤或小砂砾，则它将会卷起这些物质，在其自身周围形成 10 尺半径的残骸云，一直持续到你的下个回合开始。残骸云重度遮蔽了所在区域。
升环施法效应。
使用3 环或更高环法术位施展该法术时，你使用的法术位每比 3 环高一环，伤害便增加1d8。</t>
  </si>
  <si>
    <t>（一撮尘土）</t>
  </si>
  <si>
    <t>Thunder Step</t>
  </si>
  <si>
    <t>3环/咒法</t>
  </si>
  <si>
    <t>你传送到施法距离内一处未被占据的可见空间。在你消失的瞬间，雷鸣般的爆发声响起。在你离开的空间周围10英尺内的每个生物必须进行体质豁免检定，失败将受到3d10雷鸣伤害，成功则只承受一半。这道法术会发出方圆300英尺内都能听见的雷霆巨响。
你可以带走物体只要它们没有超过你能承载的重量。你也可以传送一个与你体型相仿或是比你更小的自愿生物，而它所携带的装备也不能超过他的负重。这个生物必须在你施展法术时处于5英尺内，并且在你的目的地周围5英尺必须要有一个未被占据的空间以让它到达；否则这个生物将被留下。
升环效果：当你使用4环或更高的法术位施放该法术时，使用的法术位每高一环，伤害就会增加1d10。</t>
  </si>
  <si>
    <t>Melf’s Minute Meteors</t>
  </si>
  <si>
    <t>3环/塑能</t>
  </si>
  <si>
    <t>V、S、M（由松木盛装的硝石和硫磺，外形为小珠子）</t>
  </si>
  <si>
    <t>你在自己身处空间内制造出六颗微型流星。它们会悬浮在空气中，并在法术持续时间内以你为中心绕转。你在施展此法术时（以及在你随后的每个回合中使用一个附赠动作时），可以释放一到两颗流星，让它们攻击你周围 120 尺范围内你能看到的一点。流星一旦到达目的地或是撞击到了坚固表面便会发生爆炸。在流星爆炸点周围 5 尺的生物均必须进行一次敏捷豁免。豁免失败者将受 2d6 的火焰伤害，豁免成功则伤害减半。
升环施法效应。
使用4 环或更高环法术位施展该法术时，你使用的法术位每比 4 环高一环，创造出流星的数量就增加两颗。</t>
  </si>
  <si>
    <t>（由松木盛装的硝石和硫磺，外形为小珠子）</t>
  </si>
  <si>
    <t>Enemies Abound</t>
  </si>
  <si>
    <t>诗人 术士 法师 邪术师</t>
  </si>
  <si>
    <t>3环/附魔</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</si>
  <si>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</si>
  <si>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Catnap</t>
  </si>
  <si>
    <t>S、M（一撮沙子）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</si>
  <si>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息的好处，但是在完成一次长休息之前将不能再受到这个法术的影响。
升环效果：当你使用4环或更高的法术位施放该法术时，使用的法术位每高一环，你就可以多指定一个额外的自愿生物作为目标。</t>
  </si>
  <si>
    <t>（一撮沙子）</t>
  </si>
  <si>
    <t>Life Transference</t>
  </si>
  <si>
    <t>3环/死灵</t>
  </si>
  <si>
    <t>你牺牲自己的部分健康来修复其他生物的伤口。你受到4d8暗蚀伤害，同时施法距离内一个由你选择的可见生物恢复生命值，数值等于你承受的暗蚀伤害的两倍。
升环效果：当你使用4环或更高的法术位施放该法术时，使用的法术位每高一环，暗蚀伤害就增加1d8。</t>
  </si>
  <si>
    <t>Summon Lesser Demon</t>
  </si>
  <si>
    <t>V、S、M（来自一个于24小时之内被杀的类人生物身上的一剂血液）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</si>
  <si>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升环效果：当你使用6环或7环的法术位施放该法术时，被召唤的恶魔数量变为两倍。当你使用8环或9环的法术位施放该法术时，被召唤的恶魔数量变为三倍。</t>
  </si>
  <si>
    <t>（来自一个于24小时之内被杀的类人生物身上的一剂血液）</t>
  </si>
  <si>
    <t>Tiny Servant</t>
  </si>
  <si>
    <t>3环/变化</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</si>
  <si>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英尺范围内（如果你通过这个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升环效果：当你使用4环或更高的法术位施放该法术时，使用的法术位每高一环，你可以额外活化两个物体。
迷你仆役Tiny Servant
微型构装体，无阵营
————————————————————
AC   15（天生护甲）
HP   10（4d4）
速度 30英尺，攀爬30英尺
————————————————————
力量4（-3）  敏捷16（+3）  体质10（+0）  智力2（-4）  感知10（+0）  魅力1（-5）
————————————————————
伤害免疫：毒素，精神
状态免疫：目盲，魅惑，耳聋，力竭，恐慌，麻痹，石化，中毒
感官：盲视60英尺（对超过半径的区域目盲），被动觉察10
语言：-
————————————————————
动作
挥击。近战武器攻击：命中+5，触及5英尺，单一目标。伤害：5（1d4+3）钝击伤害</t>
  </si>
  <si>
    <t>Wall of Sand</t>
  </si>
  <si>
    <t>V、S、M（一捧沙）</t>
  </si>
  <si>
    <t>你在距离内你能看到的地表的一点上召唤出由舞动的沙子构成的墙体。你可以制造出的墙体长度至多为30英尺，高度至多为10英尺，厚度至多为10英尺。其将在法术终结时消失。它能阻挡视觉线，但无法阻挡移动。处于墙体所在的空间内的生物目盲，在其中移动时，每移动1英尺需要消耗3英尺的移动力。</t>
  </si>
  <si>
    <t>（一捧沙）</t>
  </si>
  <si>
    <t>Flame Arrows</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</si>
  <si>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升环效果：当你使用4环或更高的法术位施放该法术时，使用的法术位每高一环，你能以此法术影响的弹药的数量便增加2发。</t>
  </si>
  <si>
    <t>Erupting Earth</t>
  </si>
  <si>
    <t>V、S、M（一块黑曜石）</t>
  </si>
  <si>
    <t>选择距离内你能看见的，位于地面上的一点。以该点为中心，20英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英尺的空间，若用手来清理至少需要1分钟时间。
升环效果：当你使用4环或更高的法术位施放该法术时，使用的法术位每高一环，伤害便增加1d12。</t>
  </si>
  <si>
    <t>（一块黑曜石）</t>
  </si>
  <si>
    <t>Tidal Wave</t>
  </si>
  <si>
    <t>V、S、M（一滴水）</t>
  </si>
  <si>
    <t>你召唤出浪潮拍打距离之内的区域。区域的长度至多为30英尺，宽度至多为10英尺，高度至多为10英尺。在区域内的每个生物均必须进行一次敏捷豁免检定。若检定失败，该生物受到4d8点钝击伤害并摔倒。检定成功则只受到上述伤害的一半，且不会摔倒。水之后会沿着地表向四周流去，熄灭区域内和周围30英尺内所有有未受保护的火焰，而后消失不见。</t>
  </si>
  <si>
    <t>（一滴水）</t>
  </si>
  <si>
    <t>Wall of Water</t>
  </si>
  <si>
    <t>你在距离内你能看到的地表的一点上召唤出由流水构成的墙体。你可以制造出的墙体长度至多为30英尺，高度至多为10英尺，厚度至多为1英尺。或者你也可以制造出直径至多为20英尺的环形墙体，高度至多为20英尺，厚度至多为1英尺。该墙体将在法术终结时消失。该墙体所在的区域是困难地形。
任何进入墙体所在空间的远程武器攻击在攻击检定中具有劣势，而穿过墙体到达其目标的火焰效果所造成的火焰伤害将减半。造成寒冷伤害的法术若穿过墙体会令穿过的部分被冻结（至少5平方英尺的空间被冻结）。每个被冻结的5平方英尺的方格具有AC5和15点生命值。令一块被冻结的区域生命值降为0将摧毁它。当一个部分被摧毁时，墙体的水不会填补其位置。</t>
  </si>
  <si>
    <t>Conjure Barrage</t>
  </si>
  <si>
    <t>自身（60尺锥状）</t>
  </si>
  <si>
    <t>V、S、M（一发弹药或一把投掷武器）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</si>
  <si>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 点伤害，豁免成功则伤害减半。法术所造成伤害的类型与用作法术成分材料的弹药或武器相同。</t>
  </si>
  <si>
    <t>（一发弹药或一把投掷武器）</t>
  </si>
  <si>
    <t>Lightning Arrow</t>
  </si>
  <si>
    <t>你在法术持续时间内下一次进行的远程武器攻击时，该武器的弹药或该武器本身（如果该武器是投掷武器）变为一束闪电。
以正常方式进行攻击检定，若该攻击命中则目标受到4d8 点闪电伤害，若未命中则伤害减半。即以该闪电伤害代替武器正常伤害。
无论你的攻击是否命中，目标周围10 尺范围内的每个生物都必须进行一次敏捷豁免，豁免失败则受到2d8 点闪电伤害，豁免成功则伤害减半。
在此之后，该弹药或武器变回其正常形态。
升环施法效应。
使用4 环或更高法术位施展该法术时，你使用的法术位每比3 环高一环，上述两种闪电伤害就各增加1d8。</t>
  </si>
  <si>
    <t>Vampiric Touch</t>
  </si>
  <si>
    <t>你的手上环绕着阴影，只要触碰一下就可以吸取他人的生命力来为自己疗伤。对你触及范围内的一个生物进行一次近战法术攻击。若命中，则目标受到3d6 点黯蚀伤害，而你则回复数值等于所造成黯蚀伤害一半的生命值。你可以在该法术终止前的每个回合内以一个动作完成一次这样的攻击。
升环施法效应。
使用4 环或更高法术位施展该法术时，你使用的法术位每比3 环高一环，法术的伤害就增加1d6。</t>
  </si>
  <si>
    <t>Hunger of Hadar</t>
  </si>
  <si>
    <t>V、S、M（一条酸洗过的章鱼触须）</t>
  </si>
  <si>
    <t>你打开一个通道，并连接到群星间黑暗处某个遍布未知恐怖之物的领域。以施法距离内一点为中心，一个半径20 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 点冷冻伤害。任何在区域内结束其回合的生物必须进行一次敏捷豁免，豁免失败者将因异界软体触手的触碰而受到2d6 点强酸伤害。</t>
  </si>
  <si>
    <t>（一条酸洗过的章鱼触须）</t>
  </si>
  <si>
    <t>Counterspell</t>
  </si>
  <si>
    <t>3环/防护</t>
  </si>
  <si>
    <t>1反应，当你看见身边60尺范围内一个生物施展法术时执行</t>
  </si>
  <si>
    <t>即时</t>
  </si>
  <si>
    <t>你试图打断一个生物正在施展的一个法术。如果该生物正在施展3 环或更低环阶法术，则其法术失败且不产生任何效应。如果该生物正在施展4 环或更高环阶法术，则你以施法关键属性进行一次属性检定，其检定DC 等于10＋目标法术的环阶。检定成功则目标法术失败且不产生任何效应。
升环施法效应。
使用4 环或更高法术位施展该法术时，如果被打断法术的环阶不高于你所用的法术位环阶，则该目标法术直接被打断。</t>
  </si>
  <si>
    <t>Fly</t>
  </si>
  <si>
    <t>V、S、M（任意鸟类翅膀上的羽毛）</t>
  </si>
  <si>
    <t>你触碰一个自愿生物，并使该目标在法术持续时间内获得60尺的飞行速度。法术终止时，如果目标仍在空中则随即坠落。
升环施法效应。
使用4 环或更高法术位施展该法术时，你使用的法术位每比3 环高一环，就可以额外再指定一个生物作为法术目标。</t>
  </si>
  <si>
    <t>（任意鸟类翅膀上的羽毛）</t>
  </si>
  <si>
    <t>Gaseous Form</t>
  </si>
  <si>
    <t>V、S、M（一小片薄纱和一缕清烟）</t>
  </si>
  <si>
    <t>在法术持续时间内，你将触碰到的一个自愿生物连同其穿着携带物一起转化为一团云雾。如果生物的生命值降至0 则法术终止。非实体的生物不受该效应影响。
在该形态下，目标唯一的移动方式即是10 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</si>
  <si>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（一小片薄纱和一缕清烟）</t>
  </si>
  <si>
    <t>Blink</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</si>
  <si>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 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</si>
  <si>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Fireball</t>
  </si>
  <si>
    <t>V、S、M（一小球蝙蝠粪及硫磺）</t>
  </si>
  <si>
    <t>明亮的闪光从你的指间飞驰向施法距离内你指定的一点，并随着一声低吼迸成一片烈焰。目标点周围半径20 尺球状区域内的每个生物必须进行一次敏捷豁免。豁免失败者将受到8d6 点火焰伤害，豁免成功则伤害减半。
迸发的火焰将绕过拐角扩散。并点燃区域内所有未被着装或携带的可燃物件。
升环施法效应。
使用4 环或更高法术位施展该法术时，你使用的法术位每比3 环高一环，其伤害就增加1d6。</t>
  </si>
  <si>
    <t>（一小球蝙蝠粪及硫磺）</t>
  </si>
  <si>
    <t>Haste</t>
  </si>
  <si>
    <t>V、S、M（一片甘草根切片）</t>
  </si>
  <si>
    <t>指定施法距离内一个你能看见的自愿生物。直至法术终止前，你使目标速度翻倍；其AC 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</si>
  <si>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（一片甘草根切片）</t>
  </si>
  <si>
    <t>Lightning Bolt</t>
  </si>
  <si>
    <t>自身（100尺线状）</t>
  </si>
  <si>
    <t>V、S、M（一些毛皮和琥珀质、水晶质或玻璃质的一根棒子）</t>
  </si>
  <si>
    <t>一束100 尺长，5 尺宽的的线状闪电从你的位置向你指定的任意方向爆发迸出。在线状区域内的每个生物必须进行一次敏捷豁免，豁免失败者将受到8d6 的闪电伤害，豁免成功则伤害减半。
闪电会将区域内未被着装或携带的可燃物件点燃。
升环施法效应。
使用4 环或更高法术位施展该法术时，你使用的法术位每比3 环高一环，伤害就增加1d6。</t>
  </si>
  <si>
    <t>（一些毛皮和琥珀质、水晶质或玻璃质的一根棒子）</t>
  </si>
  <si>
    <t>Slow</t>
  </si>
  <si>
    <t>V、S、M（一滴糖浆）</t>
  </si>
  <si>
    <t>你在施法距离内一处40 尺立方区域内指定至多六个生物并扭曲其周围的时间流。每个目标都要进行一次感知豁免，豁免失败则受到该法术影响直至法术终止。
受术生物的速度减半，而其AC 和敏捷豁免都具有－2 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 动作的法术，则需掷一次d20。如果结果是11 或更高，则该生物的法术直至其下一回合才会生效，且该生物必须在此时再使用一个动作来完成法术。
如果它做不到则它的法术就此浪费掉。
受术生物在其回合结束时要可以再进行一次感知豁免，豁免成功则其身上该法术的效应终止。</t>
  </si>
  <si>
    <t>（一滴糖浆）</t>
  </si>
  <si>
    <t>Nondetection</t>
  </si>
  <si>
    <t>诗人 游侠 法师</t>
  </si>
  <si>
    <t>V、S、M（一撮价值至少25gp的钻石粉末，撒在目标身上作为该法术的耗材）</t>
  </si>
  <si>
    <t>在法术持续时间内，你触碰一个目标并使其躲开来自预言魔法的侦测。目标可以是一个自愿生物，一处地点或一个在各个方向上不超过10 尺的物件。目标在持续时间内不能成为预言魔法的目标，也不能通过魔法探知传感器被感测到。</t>
  </si>
  <si>
    <t>（一撮价值至少25gp的钻石粉末，撒在目标身上作为该法术的耗材）</t>
  </si>
  <si>
    <t>Fear</t>
  </si>
  <si>
    <t>3环/幻术</t>
  </si>
  <si>
    <t>自身（30尺锥状）</t>
  </si>
  <si>
    <t>V、S、M（一片白羽毛或一颗母鸡心）</t>
  </si>
  <si>
    <t>你制造一个目标最惧怕的幻象，并迫使30 尺锥状区域内的所有生物进行一次感知豁免，豁免失败者将丢弃其所有持握物，并在法术持续时间内陷入恐慌。
被法术恐慌的生物必须在其回合内执行疾走Dash 动作，并以此寻找最安全的路线远离施法者，直至其无路可走为止。如果该生物在施法者视野外结束其回合，则其可以再进行一次感知豁免，豁免成功则法术对该生物的效应终止。</t>
  </si>
  <si>
    <t>（一片白羽毛或一颗母鸡心）</t>
  </si>
  <si>
    <t>Hypnotic Pattern</t>
  </si>
  <si>
    <t>S、M（一根点燃的熏香或一个装有磷光材料的水晶小瓶）</t>
  </si>
  <si>
    <t>你在施法距离内一处边长30 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</si>
  <si>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（一根点燃的熏香或一个装有磷光材料的水晶小瓶）</t>
  </si>
  <si>
    <t>Major Image</t>
  </si>
  <si>
    <t>V、S、M（一小块羊毛）</t>
  </si>
  <si>
    <t>你创造一个影像，其形象来自一个大小不超过边长20 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
使用6 环或更高法术位施展该法术时，法术会持续至解除且不需要你保持专注。</t>
  </si>
  <si>
    <t>（一小块羊毛）</t>
  </si>
  <si>
    <t>Stinking Cloud</t>
  </si>
  <si>
    <t>V、S、M（一个臭鸡蛋或几根臭菘草）</t>
  </si>
  <si>
    <t>你以施法距离内一点为中心创造出一团半径20 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 里）吹袭4 轮后消散。而强风（风速至少每小时20 英里）只需1 轮就能将其吹散。</t>
  </si>
  <si>
    <t>（一个臭鸡蛋或几根臭菘草）</t>
  </si>
  <si>
    <t>Tongues</t>
  </si>
  <si>
    <t>诗人 牧师 术士 邪术师 法师</t>
  </si>
  <si>
    <t>3环/预言</t>
  </si>
  <si>
    <t>V、M（一个陶制阶梯金字塔小模型）</t>
  </si>
  <si>
    <t>该法术赋予你所触碰生物听懂任何语言的能力。此外，当目标生物说话时，任何能听见其话语且掌握至少一门语言的生物都能听懂它的话。</t>
  </si>
  <si>
    <t>（一个陶制阶梯金字塔小模型）</t>
  </si>
  <si>
    <t>Clairvoyance</t>
  </si>
  <si>
    <t>1里</t>
  </si>
  <si>
    <t>V、S、M（价值至少100gp的法器，选择聆听时用一个以珠宝装饰的号角，选择观察时用一颗玻璃眼珠）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</si>
  <si>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可以看见传感器的生物（比如生物具有增益如看破隐形seeinvisibility 或真实视觉时）会看到检测点是一个拳头大小发着微光的半透球体。</t>
  </si>
  <si>
    <t>（价值至少100gp的法器，选择聆听时用一个以珠宝装饰的号角，选择观察时用一颗玻璃眼珠）</t>
  </si>
  <si>
    <t>Bestow Curse</t>
  </si>
  <si>
    <t>诗人 牧师 法师</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</si>
  <si>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 的黯蚀伤害。
法术移除诅咒可终止此法术的效应。DM 也可以让你选择其他诅咒，但它们不该比上表更强大。诅咒效应最终由DM 裁定。
升环施法效应。
使用4 环或更高法术位施展该法术时，法术的持续时间变为：专注，至多10 分钟。使用5 环或更高法术位时，变为8 小时。使用7 环或更高法术位时，变为24 小时。使用9 环法术位时，法术将持续到被解除。使用5 环或更高法术位
施展此法术时无需在其持续时间内维持专注。</t>
  </si>
  <si>
    <t>Glyph of Warding</t>
  </si>
  <si>
    <t>V、S、M（熏香和至少价值200gp的钻石粉，作为法术的耗材）</t>
  </si>
  <si>
    <t>直到被解除或触发</t>
  </si>
  <si>
    <t>施展该法术时，你在某个表面（诸如桌面、地板、墙等）或某个能被关闭以隐藏符纹的物件里（诸如书本、卷轴、宝箱等）刻画一个伤害其他生物的符纹。如果你指定某个表面，则此符纹可以覆盖周边不超过10 尺直径的区域。如果你指定某个物件，则该物件必须待在其所在位置；如果该物件从被施法位置被移开超过10 尺，则其符纹被破坏且法术不被触发即高终止。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爆炸符文Explosive Runes。
符文被触发时将在半径20 尺球状区域内将爆发魔法能量，并绕过角落扩散。区域内的每个生物必须进行一次敏捷豁免。豁免失败者将受到5d8 的强酸，寒冷，火焰，闪电，或雷鸣伤害（你在制造符纹时指定），豁免成功则伤害减半。
法术符纹Spell Glyph。
你可以施展一个准备好的3 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
使用4 环或更高法术位施展该法术时，你使用的法术位每比3 环高一环，一个爆炸符文的伤害就增加1d8。如果你创造一个法术符纹，则其储备法术的环阶可以与你施放守卫刻文时使用的法术位相同。</t>
  </si>
  <si>
    <t>（熏香和至少价值200gp的钻石粉，作为法术的耗材）</t>
  </si>
  <si>
    <t>Sending</t>
  </si>
  <si>
    <t>无限</t>
  </si>
  <si>
    <t>V、S、M（一小段细铜线）</t>
  </si>
  <si>
    <t>你向你所熟识的一个生物发送一小段二十五个单词以内的信息。该生物将在心中听到你的信息，他可以认出你是发讯人（如果他认识你），还可以用同样的方式立即回复一讯息。对方的智力值必须至少为1 才能理解你的信息。
你的传讯可以跨越任意长的距离，甚至能跨越位面。但如果目标和你不在同一个存在位面，则短讯术有5%的概率无法到达。</t>
  </si>
  <si>
    <t>（一小段细铜线）</t>
  </si>
  <si>
    <t>Dispel Magic</t>
  </si>
  <si>
    <t>诗人 牧师 德鲁伊 圣武士 术士 邪术师 法师</t>
  </si>
  <si>
    <t>在施法距离内指定一个生物、一个物件或一处魔法效应，并终止所有影响该目标的3 环或更低环阶法术。每个影响目标的4环或更高环阶法术都需要以你的施法关键属性进行一次属性检定，其DC等于10＋目标法术的环阶，检定成功时目标法术终止。
升环施法效应。
使用4 环或更高法术位施展该法术时，你直接终止目标身上小于等于该施法环阶的法术效应。</t>
  </si>
  <si>
    <t>Feign Death</t>
  </si>
  <si>
    <t>诗人 牧师 德鲁伊 法师</t>
  </si>
  <si>
    <t>3环/死灵（仪式）</t>
  </si>
  <si>
    <t>V、S、M（1把坟土）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</si>
  <si>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</si>
  <si>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（1把坟土）</t>
  </si>
  <si>
    <t>Speak with Dead</t>
  </si>
  <si>
    <t>V、S、M（燃烧的香）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</si>
  <si>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</si>
  <si>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（燃烧的香）</t>
  </si>
  <si>
    <t>Leomund’s Tiny Hut</t>
  </si>
  <si>
    <t>3环/塑能（仪式）</t>
  </si>
  <si>
    <t>自身（10尺半径半球状）</t>
  </si>
  <si>
    <t>V、S、M（一个小水晶珠子）</t>
  </si>
  <si>
    <t>一个半径10 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
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</si>
  <si>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塑能（仪式）</t>
  </si>
  <si>
    <t>（一个小水晶珠子）</t>
  </si>
  <si>
    <t>Plant Growth</t>
  </si>
  <si>
    <t>1动作或8小时</t>
  </si>
  <si>
    <t>该法术将活力引导给特定区域中的植物。该法术有两种用法，其一可产生即时增益，另一种则产生长期的增益。
用1 动作施展该法术时，你指定施法距离内一点，该点周边半径100 尺内的普通植物将变的粗壮和茂盛。一个穿过该区域的生物每移动1 尺必须花费4 尺的移动力。
你可以在该法术范围内空出一块或多块任意大小的区域，使其排除在法术效应影响之外。
用8 小时施展该法术时，你可以使这片土地肥沃。你指定施法距离内一点，该点周边半径半里的的植物将在1 年内变的茂盛。这些植物收获时将产出两倍于正常产量的作物。</t>
  </si>
  <si>
    <t>Speak with Plants</t>
  </si>
  <si>
    <t>自身（半径30尺）</t>
  </si>
  <si>
    <t>你给周围30 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 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该法术能让纠缠术entangle 创造出来的植物放开一个被束缚的生物。</t>
  </si>
  <si>
    <t>Aura of Vitality</t>
  </si>
  <si>
    <t>自身（30尺半径）</t>
  </si>
  <si>
    <t>你身上发出的治愈能量形成半径30 尺的灵光。法术持续时间内灵光将以你为中心随你移动。你可以用一个附赠动作为灵光范围内的一名生物（包括你自己）恢复2d6 的生命值。</t>
  </si>
  <si>
    <t>Blinding Smite</t>
  </si>
  <si>
    <t>你在法术终止前的下一次武器攻击命中某生物时将爆发出强光，并对目标额外造成3d8 点光耀伤害。此外，目标必须进行一次体质豁免，豁免失败则陷入目盲直至法术终止。
受法术目盲效应影响的生物在其每个回合结束时可以再进行一次体质豁免，豁免成功则其目盲状态终止。</t>
  </si>
  <si>
    <t>Crusader’s Mantle</t>
  </si>
  <si>
    <t>神圣的能量自你身上发出并形成30 尺半径的灵光，并为友方生物激励勇气。在法术持续时间内，灵光将以你为中心随你移动。灵光范围内的非敌对生物（包括你自己）的武器攻击命中时将额外造成1d4 的光耀伤害。</t>
  </si>
  <si>
    <t>Elemental Weapon</t>
  </si>
  <si>
    <t>你触碰的一把非魔法武器并使其变成魔法武器。选择以下伤害类型其中之一：强酸、冷冻、火焰、闪电、雷鸣。在法术持续时间内，该武器进行攻击检定时将获得+1 加值，且在命中时额外造成1d4 点所选类型的伤害。
升环施法效应。
使用5 环或6 环法术位施展该法术时，攻击检定的加值变为+2，额外伤害变为2d4。使用7 环或更高法术位施展该法术时，攻击检定的加值变为+3，额外伤害变为3d4。</t>
  </si>
  <si>
    <t>Magic Circle</t>
  </si>
  <si>
    <t>V、S、M（总价值至少100gp的圣水或银、铁粉，作为该法术的耗材）</t>
  </si>
  <si>
    <t>指定施法距离内地面上你能看见的一点，并在该处创造了一个10 尺半径、20 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柱状区域内的目标不受该类生物所魅惑，恐慌或附身。施展该法术时，你可以选择让魔法作用于相反的方向来阻止特定种类的生物离开柱状区域内，以保护区域外的目标。
升环施法效应。
使用4 环或更高法术位施展该法术时，你使用的法术位每比3 环高一环，法术持续时间就增加1 小时。</t>
  </si>
  <si>
    <t>（总价值至少100gp的圣水或银、铁粉，作为该法术的耗材）</t>
  </si>
  <si>
    <t>Remove Curse</t>
  </si>
  <si>
    <t>１动作</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</si>
  <si>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</si>
  <si>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Create Food and Water</t>
  </si>
  <si>
    <t>你在施法距离内的地面或容器上创造45 磅的食物和30 加仑的水，其总量可以满足十五个类人生物或者五匹坐骑24 小时的补给需求。食物非常清淡但营养丰富，并且如果24 小时内不食用即会变坏。创造的水清洁可饮用且不会以该方式变质。</t>
  </si>
  <si>
    <t>Revivify</t>
  </si>
  <si>
    <t>V、S、M（消耗总价值至少300gp的钻石）</t>
  </si>
  <si>
    <t>你触碰一个在前一分钟内刚刚死去的生物，使该生物以1 点生命值重生。该法术不能复活老死的生物，也不能恢复失去的身体部位。</t>
  </si>
  <si>
    <t>（消耗总价值至少300gp的钻石）</t>
  </si>
  <si>
    <t>Animate Dead</t>
  </si>
  <si>
    <t>V、S、M（一滴血，一块肉，以及一点骨灰）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</si>
  <si>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 掌控。
在你的任一回合内，你可以使用一个附赠动作并以精神命令操纵60 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 小时内服从你的命令。如果你在当前的24 小时时间段终止前再施展该法术，则你对这些生物的操纵时间再延长24 小时。法术的此种用法只能延长你对至多四个你使用此法术所创造生物的控制时间，而不会创造新的生物。升环施法效应。使用4 环或更高法术位施展该法术时，你使用的法术位每比3 环高一环，就会多唤起两只不死生物，或是多延长对两只不死生物的控制。你无法用同一具骸骨或遗体唤起多个不死生物。</t>
  </si>
  <si>
    <t>（一滴血，一块肉，以及一点骨灰）</t>
  </si>
  <si>
    <t>Protection from Energy</t>
  </si>
  <si>
    <t>牧师 德鲁伊 游侠 术士 法师</t>
  </si>
  <si>
    <t>受你触碰的一个自愿生物在法术持续时间内对下列你指定的一种伤害类型具有抗性：强酸、冷冻、火焰、闪电、雷鸣。</t>
  </si>
  <si>
    <t>Water Walk</t>
  </si>
  <si>
    <t>牧师 德鲁伊 游侠 术士</t>
  </si>
  <si>
    <t>3环/变化（仪式）</t>
  </si>
  <si>
    <t>V、S、M（一个软木塞）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</si>
  <si>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 尺的速度上升，直至浮上液面。</t>
  </si>
  <si>
    <t>（一个软木塞）</t>
  </si>
  <si>
    <t>Daylight</t>
  </si>
  <si>
    <t>牧师 德鲁伊 圣武士 游侠 术士</t>
  </si>
  <si>
    <t>你在施法距离内指定一点，并从中释放光亮蔓延至半径60尺的球状区域。法术产生的光亮为区域内提供明亮光照并向其外提供60 尺的微光光照。
如果你将作为法术目标的点设置于你正持握或未被穿着携带的物件，则光亮将从物件周围漫出并跟随物件移动。将该物件完全掩盖时（比如用碗或头盔盖住），也会将其漫出的光亮隔绝。
如果法术区域内有任何3 环或更低环阶法术创造的黑暗，则这些造暗的法术将被解除。</t>
  </si>
  <si>
    <t>Meld into Stone</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</si>
  <si>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 的钝击伤害。石头完全损毁（或材质改变）时，也会将你从石中排挤出并对你造成50 点钝击伤害。被排挤出石头时，你将被摔至距离第一次进入石头处最近一处未被占据的空间位置，并陷入倒地状态。</t>
  </si>
  <si>
    <t>Beacon of Hope</t>
  </si>
  <si>
    <t>该法术带来活力与希望。在施法距离内指定任意数量的生物，并使其在法术持续时间内进行的感知豁免和死亡豁免具有优势。此外，其获得治疗时均以骰子最大值来决定其恢复的生命值。</t>
  </si>
  <si>
    <t>Mass Healing Word</t>
  </si>
  <si>
    <t>你高声诵出复原的真言，并指定施法距离内至多六个你能看见的生物，使其各自恢复一定的生命值，其数值等于1d4＋你的施法关键属性调整值。该法术对不死生物和构装生物无效。
升环施法效应。
使用4 环或更高法术位施展该法术时，你使用的法术位每比3 环高一环，其治疗量就增加1d4。</t>
  </si>
  <si>
    <t>Spirit Guardians</t>
  </si>
  <si>
    <t>自身（半径15尺）</t>
  </si>
  <si>
    <t>V、S、M（一面圣徽）</t>
  </si>
  <si>
    <t>你唤来灵体作你的守卫，并使其在法术持续时间内在你周围15 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 点光耀伤害（如果你属于善良或中立）或3d8 点黯蚀伤害（如果你属于邪恶），豁免成功则伤害减半。
升环施法效应。
使用4 环或更高法术位施展该法术时，你使用的法术位每比3 环高一环，法术的伤害就增加1d8。</t>
  </si>
  <si>
    <t>（一面圣徽）</t>
  </si>
  <si>
    <t>Phantom Steed</t>
  </si>
  <si>
    <t>3环/幻术（仪式）</t>
  </si>
  <si>
    <t>你指定施法距离内一处未被占据空间，并从中显现一只似幻似真的马形生物。该生物的外形由你决定，但它必须装备着鞍座和辔具。而这些随法术创造的装备一旦离开战驹10 尺即化作一阵烟消失不见。
在法术持续时间内，你或者一个你指定的生物可以骑乘此战驹。战驹使用骑乘用马的属性数据，不过其具有速度100 尺，其每小时路程普通时可达10 里，以快速步调行进时可达13 里。法术终止时，战驹会慢慢消失，让骑手有1 分钟的时间下马结束骑乘。你用一个动作解散战驹，或是当战驹受到伤害时，法术也将随即终止。</t>
  </si>
  <si>
    <t>Water Breathing</t>
  </si>
  <si>
    <t>V、S、M（一根芦苇或稻草）</t>
  </si>
  <si>
    <t>在法术终止前，该法术让施法距离内你能看见的至多十个自愿生物获得在水下呼吸的能力。此外，受术者依然保有正常的呼吸能力。</t>
  </si>
  <si>
    <t>（一根芦苇或稻草）</t>
  </si>
  <si>
    <t>Conjure Animals</t>
  </si>
  <si>
    <t>你召唤以野兽形态存在的精魂，并使其显现在施法范围内一处你能看见但未被占据的空间。选择以下选项之一作为显现的生物：
一只挑战等级2 或者更低的野兽
两只挑战等级1 或者更低的野兽
四只挑战等级1/2 或更低的野兽
八只挑战等级1/4 或更低的野兽
每只野兽同时视为精类生物，并且在生命值降至0 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使用更高法术位施展该法术时，选择上文所述召唤选项之一，并显现更多生物：5 环法术位显现两倍生物，7 环法术位显现三倍生物，9 环法术位显现四倍生物。</t>
  </si>
  <si>
    <t>Wind Wall</t>
  </si>
  <si>
    <t>V、S、M（一把小扇和一根稀有生物的羽毛）</t>
  </si>
  <si>
    <t>指定施法距离内地面上一点并从中升起了一道烈风形成的墙壁。你可以造出长度至多50 尺、高度至多15 尺、厚度至多1尺的风墙。你可以自由塑造该墙的形状，不过它必须沿着地面形成一条连续的轨道。风墙持续存在至法术终止。
风墙出现时，所有位于风墙区域内的生物必须进行一次力量豁免。豁免失败者，将受到3d8 点钝击伤害，豁免成功则伤害减半。
烈风可以阻隔浓雾、烟尘和其他气体。体型为小型或更小的飞行生物或物件无法飞过风墙。重量轻的物质带进风墙中时将被向上吹飞。对墙后目标射出的箭、矢和其他普通飞行物会被朝上吹走而直接判为未命中（巨人或攻城器械投出的巨石和类似的飞行物不受影响）。处于气化形态的生物无法穿过风墙。</t>
  </si>
  <si>
    <t>（一把小扇和一根稀有生物的羽毛）</t>
  </si>
  <si>
    <t>Sleet Storm</t>
  </si>
  <si>
    <t>V、S、M（一撮灰尘和几滴水）</t>
  </si>
  <si>
    <t>你指定施法距离内一点,并使以该点为中心，半径40 尺、高20 尺的区域内降下寒冷刺骨的冻雨和冰雹直至法术终止。该区域将造成重度遮蔽，且该区域内的一切开放的明火都将被浇熄。
该区域的地面上覆着一层光滑的冰，使地面变成困难地形。
生物在一个回合内第一次进入该区域或在区域内开始其回合时，必须进行一次敏捷豁免，豁免失败则失足倒地。
如果法术区域内有一个生物正进行专注，则该生物必须进行一次对抗你法术豁免DC 的体质豁免，豁免失败则其专注被打断。</t>
  </si>
  <si>
    <t>（一撮灰尘和几滴水）</t>
  </si>
  <si>
    <t>Call Lightning</t>
  </si>
  <si>
    <t>你在头顶100 尺高的上空指定一个能看见的点，并在该处生成一片高10 尺、半径60 尺的柱状雷云区域。如果你无法看到空中雷云可能形成的位置，则法术失败（例如，当你身处一间不够高大的房间内时）。
施法时，指定施法距离内一处你能看见的点。再令一束闪电从云端射向该点。在该点5 尺内的生物必须进行一次敏捷豁免。
豁免失败者将受到3d10 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
使用4 环或更高法术位施展该法术时，你使用的法术位每比3 环高一环，法术的伤害就增加1d10。</t>
  </si>
  <si>
    <t>Erupting Earth E</t>
  </si>
  <si>
    <t>指定施法距离内你能看见的地面上一点。以该点为中心的 20 尺立方区域内，一道翻滚的泥土和岩石流喷发而出。在该区域中的每个生物必须进行一次敏捷豁免。豁免失败者将受 3d12 的钝击伤害，豁免成功则上述伤害减半。此外，该区域的地面成为困难地形直到被清理。该区域内每 5 平方尺地面，徒手清理时至少需要花费 1 分钟时间。
升环施法效应。
使用3 环或更高环法术位施展该法术时，你使用的法术位每比 3 环高一环，伤害便增加 1d12。</t>
  </si>
  <si>
    <t>Tidal Wave E</t>
  </si>
  <si>
    <t>你召唤出浪潮拍打施法距离内的区域。区域的长度至多为 30 尺，宽度至多为 10 尺，高度至多为 10 尺。在区域内的每个生物都必须进行一次敏捷豁免。豁免失败者将受 4d8 的钝击伤害并应击倒地，豁免成功则伤害减半，且不会应击倒地。潮水之后会沿着地表向四周流去，熄灭区域内和及外围 30 尺内所有有未受保护的火焰。</t>
  </si>
  <si>
    <t>Wall of Water E</t>
  </si>
  <si>
    <t>你在施法距离内你能看到的地面一点上召唤出由流水构 成的墙体。你可制造出的墙体长度至多为 30 尺，高度至多为 10 尺，厚度至多为 1 尺。或者你也可以制造出半径至多为 20尺的环形墙体，其高度至多为 20 尺，厚度至多为 1 尺。该墙体将在法术终止时消失。该墙体所在的区域成为困难地形。
任何进入墙体所在空间的远程武器攻击其攻击检定具有劣势，穿过墙体到达其目标的火焰效应所造成的火焰伤害其数值减半。造成冷冻伤害的法术若穿过墙体会令穿过的部分 冻结（至少 5 平方尺区域被冻结）。每个被冻结的 5 平方尺格子具有 AC 5 和 15 点生命值。令一块被冻结区域生命值降为0 即将其摧毁。部分被摧毁时，墙体的水不会填补其位置。</t>
  </si>
  <si>
    <t>你接触一个装有弓箭或弩矢的箭袋。以箭袋中弹药用远程武器攻击击中目标时，该目标额外受 1d6 的火焰伤害。弹药上法术的魔力将在其击中或未击中目标时消失，而法术将在箭袋取出十二发弹药后终止。
升环施法效应。
使用4 环或更高环法术位施展该法术时，你使用的法术位每比 4 环高一环，能以此法术影响的弹药数量便增加两发。</t>
  </si>
  <si>
    <t>你在施法距离内你能看到的地面一点上召唤出由舞动沙子构成的墙体。你可制造出的墙体长度至多为 30 尺，高度至多为 10 尺，厚度至多为 10 尺。墙体将在法术终止时消失。
它能阻挡视觉线，但无法阻挡移动。处于墙体所在空间内的生物陷入目盲，在其中移动时，每移动 1 尺需要消耗 3 尺的移动力。</t>
  </si>
  <si>
    <t>Shadow of Moil</t>
  </si>
  <si>
    <t>4环/死灵</t>
  </si>
  <si>
    <t>V、S、M（镶嵌在宝石里的不死生物的眼睛，价值至少150GP）</t>
  </si>
  <si>
    <t>如同火焰般的暗影完全笼罩住你的身体，使你对于其他人处于重度遮蔽，直到法术结束。
暗影将你周围10尺内的微光照明转变为黑暗，或者把同样区域的明亮照明转变为微光。直到法术结束之前，你得到对光耀伤害的抗力。此外，不论何时在你周围10英尺内的生物用攻击命中你时，暗影会猛击那个生物，对他造成2d8点暗蚀伤害。</t>
  </si>
  <si>
    <t>（镶嵌在宝石里的不死生物的眼睛，价值至少150GP）</t>
  </si>
  <si>
    <t>Sickening Radiance</t>
  </si>
  <si>
    <t>4环/塑能</t>
  </si>
  <si>
    <t>淡绿色的光线以你选择的距离内一点为中心扩散成半径30英尺的球体。光线会蔓延过拐角，并一直持续到法术结束。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这个法术所产生的任何等级的力竭在法术结束时消失。</t>
  </si>
  <si>
    <t>Storm Sphere</t>
  </si>
  <si>
    <t>在距离内，由你指定的一点为中心，出现了一个由强风构成的20英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再你的每个回合使用一个附赠动作，令球体中心射出一发闪电，攻击距中心不超过60英尺范围内的生物。进行一次远程法术攻击，如果攻击目标在球体内，这次攻击检定具有优势。若击中，目标受到4d6点闪电伤害。
在球体周围30英尺内的生物在用于聆听的感知（观察）检定中具有劣势。
升环效果：当你使用5环或更高的法术位施放该法术时，使用的法术位每高一环，所有效应产生的伤害便各增加1d6。</t>
  </si>
  <si>
    <t>Vitriolic Sphere</t>
  </si>
  <si>
    <t>V、S、M（一滴巨型蜗牛的胆汁）</t>
  </si>
  <si>
    <t>你指定距离之内的一点，一颗发光的1英尺直径的强酸球飞向那里爆炸，酸液飞溅到20英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升环效果：当你使用5环或更高的法术位施放该法术时，使用的法术位每高一环，初始伤害便增加2d4。</t>
  </si>
  <si>
    <t>（一滴巨型蜗牛的胆汁）</t>
  </si>
  <si>
    <t>Charm Monster</t>
  </si>
  <si>
    <t>诗人 德鲁伊 术士 法师 邪术师</t>
  </si>
  <si>
    <t>4环/附魔</t>
  </si>
  <si>
    <t>你尝试魅惑法术距离内你可见的某一生物。它立即进行感知豁免，如果你或者你的同伴正在与它战斗，它在这次豁免上具有优势。如果它豁免失败，它将被你魅惑直到法术结束，或者直到你或你的同伴做了任何有害它的事情。被魅惑的生物将对你友好。在法术结束时，生物会知道它曾被你魅惑。
升环效果：当你使用5环或更高的法术位施放该法术时，使用的法术位每高一环，你就可以多指定一个额外生物作为目标。每个被你指定的生物相互之间的距离必须在30尺内。</t>
  </si>
  <si>
    <t>Find Greater Steed</t>
  </si>
  <si>
    <t>4环/咒法</t>
  </si>
  <si>
    <t>你召唤一个圣魂并呈现出忠诚的、雄伟的坐骑外观。坐骑出现在施法范围内未被占据的空间内，坐骑的外形由你从以下形态中选择：狮鹫Griffon、飞马Pegasus、鹿鹰兽Peryton、恐狼Dire Wolf、犀牛Rhinoceros或者剑齿虎Saber-toothed Tiger。坐骑拥有你选择的形态数据如同怪物手册，但它实际上是天界、精类或炼狱生物（由你选择）而不是通常类型。另外，如果你的坐骑智力为5或以下，它的智力变为6，同时能听懂一种你所说的语言。
你在战斗中控制坐骑。当坐骑在你周围1英里内，你可以通过心灵感应和它沟通。当骑乘在你的魔法坐骑上时，所有你施展的只以你为目标法术同时也影响你的魔法坐骑。
当魔法坐骑的hp降为0时，它会暂时消失。你也可以以一个动作解散你的魔法坐骑使得它消失。再次施放这个法术可以重新召唤绑定的坐骑，此时它的生命值全部恢复，并且任何状态都被移除。
你不能通过这个法术或获得坐骑法术同时拥有与1个以上的魔法坐骑的联系，以一个动作，你可以在任何时候将你的坐骑从你们的联系中解放，使得它消失。
每当坐骑消失，它会留下所有它穿戴或者携带的物品。</t>
  </si>
  <si>
    <t>Summon Greater Demon</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</si>
  <si>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为他投掷先攻。当你在召唤它以及在之后你的每一个回合，你都可以向它发布口头命令（无需你的动作），告诉它在下个回合它必须做什么。如果你没有发布命令，它会花费自己的回合用来攻击任何在触及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这个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升环效果：当你使用5环或更高的法术位施放该法术时，使用的法术位每高一环，允许召唤的恶魔挑战等级就+1。</t>
  </si>
  <si>
    <t>Guardian of Nature</t>
  </si>
  <si>
    <t>4环/变化</t>
  </si>
  <si>
    <t>自然之魂回应你的呼唤并将你转变为一个强大的守卫。转变持续到法术结束。你选择以下形态之一取得：原始猛兽或战争巨树。
原始猛兽Primal Beast：
如野兽般的皮毛覆盖你的身体，你的面部特征变得野性，并且你得到以下增益：
  你的步行速度增加10英尺。
  你得到120英尺的黑暗视觉。
  你基于力量的攻击检定得到优势。
  你的近战武器攻击在击中时会造成额外1d6力场伤害。
战争巨树Great Tree：
你的皮肤出现树纹，枝叶从你的头发上萌芽，并且你得到以下增益：
  你得到10点临时生命。
  你的体质豁免检定得到优势。
  你基于敏捷或基于感知的攻击检定得到优势。
  当你在地面上时，你周围15英尺的地面对于你的敌人而言是困难地形。</t>
  </si>
  <si>
    <t>Watery Sphere</t>
  </si>
  <si>
    <t>你在距离之内，你能看见的一点上召唤出一个半径5英尺的水球。水球可以悬浮于空气中，但其离地高度不能超过10英尺。水球将在法术的持续时间内持续存在。
处于水球空间内的任何生物必须进行一次力量豁免检定。若豁免成功，该生物将被排出到水球周围最近的未被占据的空间中。巨型Huge或更大的生物将自动于此豁免检定中成功，并且一个大型Large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水球可以容纳至多4个中型（或更小的）生物，或是1个大型生物。若水球束缚了一个超过上限的生物，一个已经被束缚的随机生物将被排除，在水球周围5英尺范围内摔倒。
以一个动作，你可以在直线方向上移动水球，至多移动30英尺。若其移动时经过了一个坑，悬崖或类似地形，它会安全的落下，直到悬浮在地表10英尺为止。水球束缚的所有生物也会随之移动。你可以用水球撞击生物来迫使其进行豁免检定。
当此法术终结时，水球会掉落在地，熄灭其周围30英尺内的所有普通火焰。任何被水球束缚的生物会在摔落点成为摔倒状态。随后水流会消失。</t>
  </si>
  <si>
    <t>Elemental Bane</t>
  </si>
  <si>
    <t>德鲁伊 法师 邪术师</t>
  </si>
  <si>
    <t>选择距离之内，你能看见的一个生物，并选择下述伤害类型之一：强酸，寒冷，火焰，闪电或雷鸣。目标必须通过一次体质豁免检定，否则便在此法术的持续时间内受其影响。每回合受到影响的生物第一次受到选定类型的伤害时，目标额外受到2d6点对应类型的伤害。此外，直到法术终结，该目标失去对该伤害的任何抗力。
升环效果：当你使用5环或更高的法术位施放该法术时，使用的法术位每高一环，你便可以额外指定一个生物作为目标。当选定生物时，每个生物间的距离不得超过30英尺。</t>
  </si>
  <si>
    <t>Dimension Door</t>
  </si>
  <si>
    <t>500尺</t>
  </si>
  <si>
    <t>你将自己从当前位置传送至施法距离内的任意地点，并准确到达该目的地。法术的目的地可以是你能看见的、可想象的地点，也可以是通过距离和方向说明的地点，比如“径直向下200 尺”，“西北向上45 度300 尺”。
进行传送时，你的随身物件不能超过你的负重。你还可以带上一个自愿的生物，且其体型不能比你大，而他的随身物件也不能超过其负重。该生物在你施法时必须在你5 尺内。如果你的目的地已经被生物或物件占据，则你以及任何与你一起传送的生物都将受到4d6 点力场伤害，且法术传送失败。</t>
  </si>
  <si>
    <t>Great Invisibility</t>
  </si>
  <si>
    <t>4环/幻术</t>
  </si>
  <si>
    <t>你或一个你触碰的生物变为隐形，直至法术终止。任何保持在目标身上的着装物和携带物也可以维持隐形状态。</t>
  </si>
  <si>
    <t>Freedom of Movement</t>
  </si>
  <si>
    <t>诗人 牧师 德鲁伊 游侠</t>
  </si>
  <si>
    <t>4环/防护</t>
  </si>
  <si>
    <t>V、S、M（一条绑在手臂或其他肢体上的皮带）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</si>
  <si>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 尺移动力直接从非魔法的束缚中挣脱（诸如镣铐或生物的擒抱等）。此外，目标在水下进行移动和攻击时不再受减益规则的限制。</t>
  </si>
  <si>
    <t>（一条绑在手臂或其他肢体上的皮带）</t>
  </si>
  <si>
    <t>Locate Creature</t>
  </si>
  <si>
    <t>4环/预言</t>
  </si>
  <si>
    <t>你点名或描述一个你熟悉的生物。只要该生物与你相距不超过1000 尺，你就会感测到该生物的方位。如果该生物正在移动，则你也将知晓其移动的方向。
该法术可以定位一个你认识的特定生物；或者它也可以定位特定的一类生物（例如人类或独角兽）中距你最近个体，不过你需要在30 尺的近距离内看到过该类生物至少一次。如果被点名或描述的生物并不处于其原本的形态（例如正被一个变形术polymorph 的法术效应影响时），则该法术无法定位该生物。
如果至少10 尺宽的流水横亘于你和被定位生物之间阻挡了二者间的通路，则该生物也无法被该法术所定位。</t>
  </si>
  <si>
    <t>Hallucinatory Terrain</t>
  </si>
  <si>
    <t>诗人 德鲁伊 邪术师 法师</t>
  </si>
  <si>
    <t>V、S、M（一块石头、一枝嫩枝和一小片绿色植物）</t>
  </si>
  <si>
    <t>你使施法距离内一处150 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 的智力（调查）检定以揭穿幻象。
对于一个识破了幻象本体的生物，幻象看起来就像是一层模糊的图像叠加在真实地形上。</t>
  </si>
  <si>
    <t>（一块石头、一枝嫩枝和一小片绿色植物）</t>
  </si>
  <si>
    <t>Confusion</t>
  </si>
  <si>
    <t>V、S、M（三颗坚果壳）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</si>
  <si>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 以决定该生物本回合的行为。
d10 行为
1   该生物使用其所有移动力向一个随机方向移动。你可以掷一次d8 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9-10 该生物本回合内可以正常的移动和行动。受术生物在其每回合结束时可以在进行一次感知豁免。如果该豁免成功，则该目标身上该法术的效应终止
升环施法效应。
使用5 环或更高法术位施展该法术时，你使用的法术位每比4 环高一环，球状区域半径就增加5 尺。</t>
  </si>
  <si>
    <t>（三颗坚果壳）</t>
  </si>
  <si>
    <t>Polymorph</t>
  </si>
  <si>
    <t>V、S、M（一个毛虫虫茧）</t>
  </si>
  <si>
    <t>该法术将一个施法距离内你能看见的生物变化为一个新的形态。一个非自愿的生物必须进行一次感知豁免来避免此效应。
该法术无法对变形生物或生命值为0 的生物生效。
法术产生的变化在法术持续时间内得以维持，或直至目标的生命值降为0 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 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该生物可作出的动作因其新形态而有所限制。它不能说话，不能施法，也不能作出其他需要用手和需要说话的动作。目标的装备融入新形态中，但其不能启动，使用，挥舞或以其他方式从其装备上获得增益。</t>
  </si>
  <si>
    <t>（一个毛虫虫茧）</t>
  </si>
  <si>
    <t>Compulsion</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</si>
  <si>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</si>
  <si>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Aura of Life</t>
  </si>
  <si>
    <t>护佑的能量自你身上发出并形成30 尺半径的灵光，在法术持续时间内，灵光将以你为中心随你移动。灵光范围内的非敌对生物（包括你自己）获得对黯蚀伤害的抗性，其生命值上限也无法被降低。另外，生命值为0 的非敌对活体生物，在灵光范围内开始其回合时会恢复1 点生命值。</t>
  </si>
  <si>
    <t>Aura of Purity</t>
  </si>
  <si>
    <t>净化的能量自你身上发出并形成30 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</si>
  <si>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Staggering Smite</t>
  </si>
  <si>
    <t>你在法术持续时间内下一次用近战武器攻击命中某个生物时你的武器将同时贯穿对方的身体与心智。该攻击对目标造成额外4d6 的心灵伤害。该目标必须进行一次感知豁免，豁免失败则目标进行攻击检定和属性检定时具有劣势，且不能执行反应直至其下一回合结束。</t>
  </si>
  <si>
    <t>Banishment</t>
  </si>
  <si>
    <t>牧师 圣武士 术士 邪术师 法师</t>
  </si>
  <si>
    <t>V、S、M（一件令目标厌恶的物品）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</si>
  <si>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 分钟过去之前终止，则目标将在他被放逐前的空间重新出现。如果该空间被占据，则他在最近的未被占据空间出现。如果法术在持续1 分钟后终止，则目标不会回到原地。
升环施法效应。
使用5 环或更高法术位施展该法术时，你使用的法术位每比4 环高一环，就能多指定一个目标。</t>
  </si>
  <si>
    <t>（一件令目标厌恶的物品）</t>
  </si>
  <si>
    <t>Death Ward</t>
  </si>
  <si>
    <t>你触碰一个生物，并给予其对死亡的防护。目标第一次生命值因承受伤害而降至0 时，改为生命值降至1，并终止本法术效应。
法术生效时，如果目标受到不造成伤害但直接致死效应影响时，改为该致死效应被取消，并终止本法术效应。</t>
  </si>
  <si>
    <t>Control Water</t>
  </si>
  <si>
    <t>牧师 德鲁伊 法师</t>
  </si>
  <si>
    <t>V、S、M（一滴水和一撮土）</t>
  </si>
  <si>
    <t>你在法术终止前控制任一片独立的水体，控制范围为你指定的一处边长100 尺的立方区域。施展该法术时，你可以从以下效应中选择其一生效。在你之后的每个自己回合中，你可以用一个动作重复生效同一效应，或是选择实现另一效应。
上涨Flood。
你使控制区域内水位上涨至多20 尺。如果该区域包含有滨岸，则水体漫过涨水覆盖的干土。如果你指定的区域是一片大水体中的一部分，则你改为制造一片20 尺高的波浪，并从区域的一边扑向另一边再拍下水面。波浪中任何巨型或更小的载具都会被带到水浪行进的另一边。且所有巨型或更小的载具都有25%的几率被倾覆。直至法术终止或你选择另一个效应前，水位的上涨情况将保持不变。如果该效应用以产生波浪，则波浪在你下一回合开始时再次进行翻打。
分水Part Water。
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转向Redirect Flow。
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漩涡Whirlpool。
该效应需要水体至少为50 尺的方形区域并且至少有25 尺深。你在区域中央形成一个漩涡。其形态为底部宽5 尺顶部宽50 尺，且25 尺高。水中任何在漩涡25 尺范围内的生物或物件将被漩涡向自身拉动10 尺。受影响的生物可以进行一次力量（运动）检定来对抗你的法术DC，以通过游泳脱离漩涡控制。
任何生物在一个回合内第一次进入漩涡或者在漩涡内开始其回合时，必须进行一次力量豁免。豁免失败者将受到2d8 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 点钝击伤害；如果物件保持在漩涡内，该伤害就会在每轮持续发生。</t>
  </si>
  <si>
    <t>（一滴水和一撮土）</t>
  </si>
  <si>
    <t>Stone Shape</t>
  </si>
  <si>
    <t>V、S、M（软粘土，必须捏成你想塑造的大致形状）</t>
  </si>
  <si>
    <t>你触碰一个体积为中型或更小的石质物件或某块岩石长宽高都不超过5 尺的一部分，并将其塑造成你想要的任意形状。比如你可以将一块大石头变成一件武器、一尊塑像、一具棺材，也可以在石墙上开出一条小通道，前提是墙的厚度不能超过5 尺。
你也可以使一扇石门或石质门框变形来将门封死。你创造的物件最多可以有两条铰链和一道闩，除此之外不能以该法术能塑造出更复杂的机械结构。</t>
  </si>
  <si>
    <t>（软粘土，必须捏成你想塑造的大致形状）</t>
  </si>
  <si>
    <t>Divination</t>
  </si>
  <si>
    <t>4环/预言（仪式）</t>
  </si>
  <si>
    <t>V、S、M（适合你宗教信仰的熏香和祭品，总共价值至少25金币，作为该法术的耗材）</t>
  </si>
  <si>
    <t>你的魔法和贡品让你得以与一名神祇或神仆取得联络。你可以就某个特定的目标、事件或活动提问一个与其7 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 暗骰决定。</t>
  </si>
  <si>
    <t>（适合你宗教信仰的熏香和祭品，总共价值至少25金币，作为该法术的耗材）</t>
  </si>
  <si>
    <t>Guardian of Faith</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</si>
  <si>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 点光耀伤害，豁免成功则伤害减半。守护者在造成总共60 点伤害后随即消失。</t>
  </si>
  <si>
    <t>Arcane Eye</t>
  </si>
  <si>
    <t>V、S、M（一点蝙蝠毛皮）</t>
  </si>
  <si>
    <t>你在施法距离内创造出一个漂浮在空中的隐形魔法眼。
秘法眼拥有30 尺普通视觉和黑暗视觉且可以观察任何方向。
你通过精神连接接收秘法眼传来的视觉信息。
你可以使用一个动作让秘法眼向任意方向移动30 尺。秘法眼远离你的距离没有限制，但它无法进入另一个位面。固体障碍物会阻挡秘法眼的移动，但它可以穿过任何直径大于1 尺的缝隙。</t>
  </si>
  <si>
    <t>（一点蝙蝠毛皮）</t>
  </si>
  <si>
    <t>Evard’s Black Tentacles</t>
  </si>
  <si>
    <t>V、S、M（巨章鱼或巨鱿鱼的一条触须）</t>
  </si>
  <si>
    <t>专注，最长1分钟</t>
  </si>
  <si>
    <t>你指定一处施法距离内你能看见的20 尺方形区域，使其内布满蠕动的乌黑触须，进而使该区域成为困难地形。
任何生物在一个回合内第一次进入该区域，或者在区域内开始其回合时，必须进行一次敏捷豁免。豁免失败者将受到3d6 点钝击伤害，并且被触须束缚直至法术终止。生物在区域内开始其回合时，如果已受触须束缚则受到3d6 点钝击伤害。
受触须束缚的生物可以使用动作进行一次对抗法术豁免DC的力量检定或敏捷检定（自选其一），检定成功则挣脱束缚。</t>
  </si>
  <si>
    <t>（巨章鱼或巨鱿鱼的一条触须）</t>
  </si>
  <si>
    <t>Fabricate</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</si>
  <si>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 尺立方区域或八个相邻的5 尺立方区域）。如果你的目标材料是金属、石料或者其他矿石材料，那么背制造的物件不能大于中型（至多占据5 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</si>
  <si>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Fire Shield</t>
  </si>
  <si>
    <t>V、S、M（一小块磷或者一只萤火虫）</t>
  </si>
  <si>
    <t>微薄的烈焰在法术持续时间内环绕你的身体，散发出10 尺半径的明亮光照，以及该范围外10 尺的微光光照。你可以提前以一个动作解散该效应并终止该法术。
你选择该烈焰生成一副温暖护盾或冻寒护盾。温暖护盾将为你提供冷冻伤害抗性，冻寒护盾则提供火焰伤害抗性。
此外，任何生物在你周围5 尺范围内对你发动近战攻击时，护盾将对其迸出烈焰，温暖护盾将对攻击者造成2d8 点火焰伤害，而冻寒护盾则对其造成2d8 点冷冻伤害。</t>
  </si>
  <si>
    <t>（一小块磷或者一只萤火虫）</t>
  </si>
  <si>
    <t>Leomund’s Secret Chest</t>
  </si>
  <si>
    <t>V、S、M（一个3尺×2尺×2尺，由稀有材料制成的精致箱子至少价值5,000gp；以及由同样材料制成的一个箱子的微缩模型至少价值50gp）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</si>
  <si>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 立方尺的非活体物质（3 尺×2 尺×2 尺）。
箱子处于以太位面时，你可以用一个动作并触碰箱子的模型来召回箱子。箱子出现在你5 尺内一个未被占据空间的地面。随后，你可以使用一个动作并同时触碰箱子与复制品来把箱子送回以太位面。
60 日之后，法术的效应会每日累计5%的概率自动结束。如果你再次施展该法术或箱子的模型被摧毁，又或者以一个动作终止该法术时，该法术的效应将随之终止。如果法术终止时箱子处于灵界，则其将不可挽回地丢失。</t>
  </si>
  <si>
    <t>（一个3尺×2尺×2尺，由稀有材料制成的精致箱子至少价值5,000gp；以及由同样材料制成的一个箱子的微缩模型至少价值50gp）</t>
  </si>
  <si>
    <t>Mordenkainen’s Faithful Hound</t>
  </si>
  <si>
    <t>V、S、M（一只微型银质哨子、一块骨头和一根线）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</si>
  <si>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 尺外。
除你之外的所有生物视守护犬处于隐形状态，且无法对其造成伤害。当一个小型或更大的生物进入守护犬30 尺内时，如果该生物无法说出你在施法时设定的口令，守护犬则会开始大声吠叫。守护犬能看见隐形生物，也可以观察到以太位面，并且无视幻术的影响。
在你的每回合开始时，守护犬会尝试啮咬其5 尺范围内一个与你敌对的生物。它的攻击加值等于你施法关键属性调整值＋你的熟练加值。若命中，则造成4d8 点穿刺伤害。</t>
  </si>
  <si>
    <t>（一只微型银质哨子、一块骨头和一根线）</t>
  </si>
  <si>
    <t>Mordenkainen’s Private Sanctum</t>
  </si>
  <si>
    <t>V、S、M（一片薄铅片、一块不透明的玻璃、一小块棉花或布料和贵橄榄石粉末）</t>
  </si>
  <si>
    <t>你对施法距离内一片区域施以魔法防护。该区域为一立方区域，其边长至小5 尺，大至100 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
使用5 环或更高法术位施展此法术时，你使用的法术位每比4 环高一环，你就可以将被保护的立方区域边长增加100 尺。比如使用5 环法术位时，你就能保护边长至多200尺的立方区域。</t>
  </si>
  <si>
    <t>（一片薄铅片、一块不透明的玻璃、一小块棉花或布料和贵橄榄石粉末）</t>
  </si>
  <si>
    <t>Otiluke’s Resilient Sphere</t>
  </si>
  <si>
    <t>V、S、M（一块透明的半球形水晶和一块与之形状相配的半球形阿拉伯胶）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</si>
  <si>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
被封住的生物可以使用其动作推动球壁并以该生物速度的一半滚动球体。另外，球体也可以被其他生物拿起或移动。
对球体施展解离术disintegrate 后可以摧毁球体而不伤害球内的任何事物。</t>
  </si>
  <si>
    <t>（一块透明的半球形水晶和一块与之形状相配的半球形阿拉伯胶）</t>
  </si>
  <si>
    <t>Phantasmal Killer</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</si>
  <si>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 的心灵伤害。豁免成功则法术终止。
升环施法效应。
使用5 环或更高的法术位施展该法术时，你使用的法术位每比4 环高一环，伤害就增加1d10。</t>
  </si>
  <si>
    <t>Stoneskin</t>
  </si>
  <si>
    <t>V、S、M（价值100gp的钻石粉尘作为该法术的耗材）</t>
  </si>
  <si>
    <t>该法术使你触碰的一个自愿生物皮肤变得硬如岩石。目标在法术终止前对非魔法的钝击、穿刺和挥砍伤害具有抗性。</t>
  </si>
  <si>
    <t>（价值100gp的钻石粉尘作为该法术的耗材）</t>
  </si>
  <si>
    <t>Conjure Woodland Beings</t>
  </si>
  <si>
    <t>V、S、M（每个被召唤生物一枚冬青浆果）</t>
  </si>
  <si>
    <t>你召唤精类生物并使其显现在施法范围内一处你能看见但未被占据的空间。选择以下选项之一作为显现的生物：
一个挑战等级2 或更低的精类生物
两个挑战等级1 或更低的精类生物
四个挑战等级1/2 或更低的精类生物
八个挑战等级1/4 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使用更高法术位施展该法术时，选择上文所述召唤选项之一，并显现更多生物：6 环法术位显现两倍生物，8 环法术位显现三倍生物。</t>
  </si>
  <si>
    <t>（每个被召唤生物一枚冬青浆果）</t>
  </si>
  <si>
    <t>Grasping Vine</t>
  </si>
  <si>
    <t>你指定施法距离内一个你能够看见的未被占据空间，并召唤一条藤蔓使其从该空间的地面上破土而出。施展该法术时，你可以指使该藤蔓抽拉其30 尺范围内一个你能看见的生物。该生物必须进行一次敏捷豁免，豁免失败则被往藤蔓所在方向拉近20尺。
直至该法术终止前，你可以在你的回合里用一个附赠动作指使藤蔓抽拉同一生物或者转向抽拉另一个生物。</t>
  </si>
  <si>
    <t>Blight</t>
  </si>
  <si>
    <t>德鲁伊 术士 邪术师 法师</t>
  </si>
  <si>
    <t>死灵魔法的能量袭向一个施法距离内你能看见的生物，并榨取他的水分和活力。目标必须进行一次体质豁免，豁免失败者将受到8d8 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
使用5 环或更高法术位施展该法术时，你使用的法术位每比4 环高一环，法术的伤害就增加1d8。</t>
  </si>
  <si>
    <t>Ice Storm</t>
  </si>
  <si>
    <t>V、S、M（一撮尘土和几滴水）</t>
  </si>
  <si>
    <t>以施法距离内一点为中心的一处半径20 尺，高40 尺的柱状区域内，岩石般坚硬的冰雹重重地砸向地面。每个处在范围内的生物都必须进行一次敏捷豁免，豁免失败者将受到2d8 的钝击伤害和4d6 点冷冻伤害，豁免成功则伤害减半。
冰雹使风暴影响的区域变为困难地形，直至你的下一回合结束。
升环施法效应。
使用5 环或更高法术位施展该法术时，你使用的法术位每比4 环高一环，钝击伤害就增加1d8。</t>
  </si>
  <si>
    <t>（一撮尘土和几滴水）</t>
  </si>
  <si>
    <t>Wall of Fire</t>
  </si>
  <si>
    <t>V、S、M（一小块磷）</t>
  </si>
  <si>
    <t>你在施法距离内一块实体地面上创造出一面火墙。你可以选择创造长不过60 尺、高不过20 尺、厚不过1 尺的直线型火墙；或是直径不过20 尺、高不过20 尺、厚不过1 尺的环形火墙。火墙不透明，且将持续存在至法术终止。
火墙出现时，所有位于火墙区域内的生物必须进行一次敏捷豁免。豁免失败者将受到5d8 点火焰伤害。豁免成功则伤害减半。
施展该法术时，你要必须选择火墙的哪一侧会造成伤害。生物在火墙伤害侧10 尺内或在火墙区域内结束其回合时，将受到5d8 点火焰伤害。生物在一个回合内第一次进入火墙或在火墙内结束其回合时也会受到同样的伤害。火墙的另一侧则不造成任何伤害。
升环施法效应。
使用5 环或更高法术位施展该法术时，你使用的法术位每比4 环高一环，法术的伤害就增加1d8。</t>
  </si>
  <si>
    <t>（一小块磷）</t>
  </si>
  <si>
    <t>Dominate Beast</t>
  </si>
  <si>
    <t>德鲁伊 术士</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</si>
  <si>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
成功则法术终止。
升环施法效应。
使用5 环法术位施展该法术时，持续时间变为：专注，至多10 分钟。使用6 环法术位施展该法术时，持续时间变为：专注，至多1 小时。使用7 环或更高法术位施展该法术时，持续时间变为：专注，至多8 小时。</t>
  </si>
  <si>
    <t>Conjure Minor Elementals</t>
  </si>
  <si>
    <t>德鲁伊 法师</t>
  </si>
  <si>
    <t>你召唤元素生物并使其显现在施法范围内一处你能看见但未被占据的空间。选择以下选项之一作为显现的生物：
一个挑战等级2 或更低的元素生物
两个挑战等级1 或更低的元素生物
四个挑战等级1/2 或更低的元素生物
八个挑战等级1/4 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使用更高法术位施展该法术时，选择上文所述召唤选项之一，并显现更多生物：6 环法术位显现两倍生物，8 环法术位显现三倍生物。</t>
  </si>
  <si>
    <t>Giant Insect</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</si>
  <si>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 掌控。
在法术持续时间内，目标生物将维持其巨大的体型，直到其生命值降至0 或你用一个动作解除其身上的效应为止。
DM 可能会允许你指定不同的生物作为法术目标。例如，如果你转化一只蜜蜂，则其巨大版本可能会使用与巨黄蜂一样的属性数据。</t>
  </si>
  <si>
    <t>Storm Sphere E</t>
  </si>
  <si>
    <t>你指定施法距离内一点，以该点为中心出现一个由强风构成的 20 尺半径球体。球体将在法术持续时间内维持存在。在球体出现时身处其中的生物，或是在球体内结束其回合的生物均必须成功通过一次力量豁免否则受 2d6 的钝击伤害。球体所在的空间成为困难地形。
直到法术终止，你可以在每个自己的回合使用一个附赠动作，令球体中心射出一发闪电，攻击距中心不超过 60 尺范围内的生物。进行一次远程法术攻击。若命中，则目标受 4d6 的闪电伤害。
在球体周围 30 尺内的生物为聆听而作的感知（察觉）检定具有劣势。
升环施法效应。
使用5 环或更高环法术位施展该法术时，你使用的法术位每比 5 环高一环，所有效应产生的伤害便各增加 1d6。</t>
  </si>
  <si>
    <t>Vitriolic Sphere E</t>
  </si>
  <si>
    <t>V、S、M（一滴巨蜗牛的胆汁）</t>
  </si>
  <si>
    <t>你指定施法距离内一点，一颗直径 1 尺的发光强酸球飞向那里爆炸，并将酸液飞溅到 20 尺半径内的区域。该区域中的每个生物必须进行一次敏捷豁免。豁免失败者将受到 10d4 的强酸伤害，并在其下个回合结束时再受 5d4 的强酸伤害。豁免成功者只受半数初始伤害且其下个回合结束时不在受相应伤害。
升环施法效应。
使用5 环或更高环法术位施展该法术时，你使用的法术位每比 5 环高一环，初始伤害便增加 2d4。</t>
  </si>
  <si>
    <t>（一滴巨蜗牛的胆汁）</t>
  </si>
  <si>
    <t>Watery Sphere E</t>
  </si>
  <si>
    <t>你在施法距离内你能看见的一点上召唤出一个半径 10 尺的水球。水球可以悬浮于空气中，但其离地高度不能超过10 尺。水球将在法术持续时间内维持存在。
身处水球空间内的任何生物必须进行一次力量豁免。豁免成功者将被排出到水球周围最近的未被占据的空间中。巨 型或更大体型生物进行此豁免时直接判为成功。豁免失败者将被水球束缚，被水淹没。在每个其自己回合结束时，被束缚的生物可以再次进行此豁免。
水球可容纳至多四个中型生物，或是一个大型生物。若水球再束缚了一个超过其上限的生物，则一个已被束缚的随机生物将被排除，其将出现在水球周边 5 尺范围内并失足倒地。你可以用一个动作在直线方向上移动水球，至多移动 30 尺。若其移动时经过了一个坑、悬崖或类似地形，则它会安全的落下，直到悬浮在地表 10 尺为止。水球束缚的所有生物也会随之移动。你可以用水球撞击生物来迫使其进行豁免，但每回合不得超过 1 次。
当此法术终止时，水球会散落地面并熄灭其周围 30 尺内的所有普通火焰。所有被水球束缚的生物会在该处摔下倒地。</t>
  </si>
  <si>
    <t>Elemental Bane E</t>
  </si>
  <si>
    <t>指定施法距离内你能看见的一个生物，并选择下述伤害 类型之一：强酸，冷冻，火焰，闪电或雷鸣。目标必须成功通过一次体质豁免否则便在此法术持续时间内受其影响。受影响生物每回合第一次选定类型伤害影响时，目标额外受 2d6 的对应类型伤害。此外，在法术终止前该目标将失去对应伤害的所有抗性。
升环施法效应。
使用5 环或更高环法术位施展该法术时， 你使用的法术位每比 5 环高一环，便可以额外指定一个生物作为目标。指定生物时，每个生物间的距离不得超过 30 尺。</t>
  </si>
  <si>
    <t>Steel Wind Strike</t>
  </si>
  <si>
    <t>5环/咒法</t>
  </si>
  <si>
    <t>S、M（一把价值至少1SP的近战武器）</t>
  </si>
  <si>
    <t>你舞动用于施法的武器，随后忽然消失并发起袭击，恰如同一阵钢铁的疾风。选择施法距离内最多5个可见生物。进行一次近战法术攻击检定对抗每个生物。若击中，目标承受6d10力场伤害。
在这之后，你可以传送到一个你击中或未击中的生物周围5尺内，你可以看见的未被占据的空间。</t>
  </si>
  <si>
    <t>（一把价值至少1姿势（S）P的近战武器）</t>
  </si>
  <si>
    <t>Enervation</t>
  </si>
  <si>
    <t>5环/死灵</t>
  </si>
  <si>
    <t>墨色的黑暗触须从你身上延伸，触碰法术距离内你可见的一个生物并汲取它的生命。目标必须进行敏捷豁免检定。若豁免成功，目标将受到2d8暗蚀伤害，随后法术结束。若豁免失败，目标受到4d8暗蚀伤害，并且直到法术结束之前，你在每个自己的回合都可以用你的动作对目标自动造成4d8暗蚀伤害。如果你使用你的动作来做其他任何事情，则法术即刻结束。此外，如果目标位于法术射程外或对你有全掩蔽，法术同样会结束。
每次法术对目标造成伤害，你都可以恢复目标受到的暗蚀伤害量的一半生命值。
升环效果：当你使用6环或更高的法术位施放该法术时，使用的法术位每高一环，伤害便增加1d8。</t>
  </si>
  <si>
    <t>Far Step</t>
  </si>
  <si>
    <t>你传送至60尺内一处你可见且未被占据的空间。在法术结束之前你的每个回合，你都可以用附赠动作再次通过这个方法传送。</t>
  </si>
  <si>
    <t>Wall of Light</t>
  </si>
  <si>
    <t>5环/塑能</t>
  </si>
  <si>
    <t>V、S、M（一面手镜）</t>
  </si>
  <si>
    <t>明亮的、闪光的墙壁在施法距离内你选择的一点出现。这面光墙的方向由你决定：你可以使墙成为水平或垂直的结界，亦可以使它成一定倾角。它可以浮在空中，也可以立于坚实的表面上。墙壁的长度至多60英尺，高度至多10英尺，厚度至多5英尺。墙会阻挡视觉线，但是生物和物体可以穿过它。它发出120英尺的明亮照明和额外120英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英尺内的一个你可以看见的生物。进行一次远程法术攻击检定。若击中，目标承受4d8光耀伤害。无论击中或失手，墙壁的长度都会被减少10英尺。如果墙壁的长度被降低至0英尺，法术结束。
升环效果：当你使用6环或更高的法术位施放该法术时，使用的法术位每高一环，伤害便增加1d8。</t>
  </si>
  <si>
    <t>（一面手镜）</t>
  </si>
  <si>
    <t>Immolation</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</si>
  <si>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英尺半径的区域，并在外围30英尺范围内产生微弱的亮光。在其每个回合的结束，目标重复进行豁免检定。检定失败则受到4d6点火焰伤害。而豁免成功则刺法术终结。这些魔法火焰无法被非魔法的方式熄灭。
若此法术造成的伤害杀死了目标，目标化为灰烬。</t>
  </si>
  <si>
    <t>Synaptic Static</t>
  </si>
  <si>
    <t>5环/附魔</t>
  </si>
  <si>
    <t>你选择距离内的一点，并在那里引发心灵能量的爆炸。以那一点为圆形，20英尺半径球形范围内的每个生物必须进行一次智力豁免检定。智力值为2或更低的生物不受这个法术的影响。豁免失败的生物受到8d6精神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</si>
  <si>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Skill Empowerment</t>
  </si>
  <si>
    <t>5环/变化</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</si>
  <si>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</si>
  <si>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Holy Weapon</t>
  </si>
  <si>
    <t>你为你触碰的武器注入神圣的力量。直到法术结束之前，武器都会发散出30英尺半径的明亮照明和额外30英尺的微亮照明。此外，用这把武器击中时会造成额外2d8光耀伤害。武器在持续期间转变为魔法武器如果原本它并非。
在你自己的回合中以一个附赠动作，你可以解散这个法术并使武器爆发出强光。在你周围30英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</si>
  <si>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Dawn</t>
  </si>
  <si>
    <t>V、S、M（价值至少100GP的旭日坠饰）</t>
  </si>
  <si>
    <t>拂晓之光落在施法距离内你指定的地点，形成一道30英尺半径、40英尺高度的明亮光柱。这个光芒被视为阳光。
当光柱出现时，每个处于其中的生物都必须进行体质豁免，失败将受到4d10光耀伤害，成功则只承受一半。在光柱中结束回合的生物也必须再次进行这个豁免。
如果你在光柱60英尺内，你可以在你的回合以一个附赠动作将它移动60英尺</t>
  </si>
  <si>
    <t>（价值至少100GP的旭日坠饰）</t>
  </si>
  <si>
    <t>Danse Macabre</t>
  </si>
  <si>
    <t>黑暗力量的线从你的指尖延伸，刺穿了法术距离内最多5具你可见的小型Small或中型Medium的尸体。每具尸体都立即站起变为亡灵。你自由决定它是僵尸或者骷髅（僵尸和骷髅的数据参考怪物手册），并且它们在攻击和伤害检定中得到等同你的施法属性调整值的加值。
你可以用你的附赠动作精神性地指挥你用这个法术创造的生物，并对它们发出同样的命令。生物必须在你60英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升环效果：当你使用6环或更高的法术位施放该法术时，使用的法术位每高一环，你就可以活化额外的两具尸体。</t>
  </si>
  <si>
    <t>Infernal Calling</t>
  </si>
  <si>
    <t>V、S、M（一块至少价值999GP的红宝石）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</si>
  <si>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说服）检定对抗它的感知（洞察）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升环效果：当你使用6环或更高的法术位施放该法术时，使用的法术位每高一环，允许召唤的魔鬼挑战等级就+1。</t>
  </si>
  <si>
    <t>（一块至少价值999GP的红宝石）</t>
  </si>
  <si>
    <t>Negative Energy Flood</t>
  </si>
  <si>
    <t>V、M（一块破碎的骨头和一块方形的黑色丝绸）</t>
  </si>
  <si>
    <t>你向距离内一个可见生物发出丝带状的负能量。如果目标不是不死生物，他必须进行一次体质豁免检定，并在豁免失败时受到5d12点暗蚀伤害，若豁免成功则只承受一半。被这个伤害杀死的目标将在你的下回合开始被唤起为一只僵尸。僵尸会追杀距离他最近的、他可以看见的任何生物。僵尸的数据参考怪物图鉴。
如果你以不死生物作为目标使用这个法术，目标不需要进行豁免检定，取而代之的是目标得到5d12的一半作为临时生命。</t>
  </si>
  <si>
    <t>（一块破碎的骨头和一块方形的黑色丝绸）</t>
  </si>
  <si>
    <t>Wrath of Nature</t>
  </si>
  <si>
    <t>你唤醒自然界的精魂对抗你的敌人。选择施法距离内你可见的一点，精魂令那一点为中心60英尺立方区域内的树木、岩石和草丛被活化，直到法术结束。
草丛和灌木Grasses and Undergrowth：
立方区域内被草丛或灌木覆盖的地面对你的敌人而言是困难地形。
树木Trees：
在你的每个回合开始，在立方区域内的任何树木周围10英尺范围内的每个你的敌人都必须成功进行敏捷豁免检定，否则会因为树枝的挥打受到4d6挥砍伤害。
根与藤Roots and Vines：
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
在你的回合中以一个附赠动作，你可以使一块立方区域中的松动岩石投掷向同样在区域里的一个你可见的生物。若击中，目标受到3d8非魔法钝击伤害，并且必须成功进行力量豁免检定否则被击倒。</t>
  </si>
  <si>
    <t>Control Wind</t>
  </si>
  <si>
    <t>你获得对距离内，你可以看见的，100立方英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
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英尺需要额外消耗1英尺的移动力。
下沉气流Downdraft：
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
你操控的空气产生了向上的气流，从空间的底部开始上升。在该空间内结束摔落的生物只会因为该摔落受到一半的伤害。处于该空间内的生物垂直跳跃时，其能比正常情况下跳跃的高度高出10英尺。</t>
  </si>
  <si>
    <t>Transmute Rock</t>
  </si>
  <si>
    <t>V、S、M（陶土和水）</t>
  </si>
  <si>
    <t>你选定距离内，你能看到的，不超过40立方英尺区域内的岩石或泥土，并选择下述效果之一。
化石为泥Transmute Rock to Mud：
该区域内任何种类的非魔法石块在法术的持续时间内变成等量的稀薄、可流动的泥浆。
若你将法术施放在一处区域或地表，其将变得足够瘫软，足以令生物陷入其中。生物穿过泥浆的每英尺均消耗4英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
在法术的持续时间内，区域内不超过10英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精神伤害。</t>
  </si>
  <si>
    <t>（陶土和水）</t>
  </si>
  <si>
    <t>Maelstrom</t>
  </si>
  <si>
    <t>V、S、M（漏斗形状的纸张或叶片）</t>
  </si>
  <si>
    <t>大量的水出现在距离之内，你能看到的一点处，形成了5英尺深、30英尺半径的大漩涡。该点必须处于地面或者水体表面。直到法术终结，该区域成为困难地形，所有在该区域开始其回合的生物必须通过一次力量豁免检定，否则收到6d6点钝击伤害并被拉向中心10英尺。</t>
  </si>
  <si>
    <t>（漏斗形状的纸张或叶片）</t>
  </si>
  <si>
    <t>Conjure Volley</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</si>
  <si>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 尺，高20 尺的柱状区域，其内的每个生物都必须进行一次敏捷豁免，豁免失败者将受到8d8 点伤害，豁免成功则伤害减半。法术所造成伤害的类型与用作法术成分材料的弹药或武器相同。</t>
  </si>
  <si>
    <t>Swift Quiver</t>
  </si>
  <si>
    <t>V、S、M（一个箭袋，其内至少要有一发弹药）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</si>
  <si>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
你每次完成这种攻击时，箭袋上的魔法便会自动创造出一发同样的非魔法弹药作为补充。法术终止时，该法术创造出来的所有弹药都将自行分解消失。当你不再持有该箭袋时，该法术也即刻终止。</t>
  </si>
  <si>
    <t>（一个箭袋，其内至少要有一发弹药）</t>
  </si>
  <si>
    <t>Contact Other Plane</t>
  </si>
  <si>
    <t>5环/预言（仪式）</t>
  </si>
  <si>
    <t>你与一名半神，或者一个古老的贤者亡魂，又或是其他异位面的神秘实体建立了精神的连接。与这些跨位面亚种生物进行的知性接触可能会增加你的精神负担，甚至导致精神崩溃。当你施展此法术时，进行一个DC15 的智力豁免。豁免失败时，你受到6d6 点心灵伤害并因此而变得错乱，直至完成一个长休以结束该状态。处于错乱状态时，你不能执行动作，不能理解其他生物说的话也无法阅读，你说出口的也都是一些含糊不清的语句。对你施放法术高等复原术greater restora-tion 可以直接终止该效应。
豁免成功时，你可以询问该实体五个问题。你必须在法术结束前提出你的问题。而你所提出的每条问题DM 都可以用一个单词作回答，比如“是”“不是”“可能”“不可能”“没关系”或是“不清楚”（如果该实体不知道该问题答案时）。如果一个单词的答案可能导致误导，DM 可能会用一句短语来作为问题的答案。</t>
  </si>
  <si>
    <t>Creation</t>
  </si>
  <si>
    <t>5环/幻术</t>
  </si>
  <si>
    <t>V、S、M（所创造物品的一小部分）</t>
  </si>
  <si>
    <t>你从堕影冥界取来一些暗影物质，并在施法距离内创造一个非活体的物件。你可以创造一个植物质（类似纺织品、绳索、木质等）的物件。也可以创造一个矿物质（类似石质、水晶、金属等）的物件。创造出来的物件大小必需在5 尺立方内，且其形态与材质你必需曾经见过。
法术的持续时间由所创造物件的材质决定。如果所创造物件由多种材质组合而成，则其存在时间取其中最短者。
材质                         持续时间
植物质vegetable matter       1 日
石质stone 或水晶crystal      12 小时
贵金属precious metals        1 小时
宝石gems                     10 分钟
精金adamantine 或秘银mithral 1 分钟
施展其他法术时，如果以这些创造物作为其材料成分将会使该法术施法失败。
升环施法效应。
使用6 环或更高法术位施展该法术时，你使用的法术位每比5 环高一环，创造物尺寸的立方边长就加大5 尺。</t>
  </si>
  <si>
    <t>（所创造物品的一小部分）</t>
  </si>
  <si>
    <t>Cloudkill</t>
  </si>
  <si>
    <t>你在施法距离内指定一点，并以该点为中心创造一片20 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 尺。雾气比空气重，因此会沉落低洼地面甚至渗进地隙中。
升环施法效应。
使用6 环或更高法术位施展该法术时，你使用的法术位每比5 环高一环，法术的伤害就增加1d8。</t>
  </si>
  <si>
    <t>Cone of Cold</t>
  </si>
  <si>
    <t>V、S、M（一个小水晶或玻璃锥）</t>
  </si>
  <si>
    <t>一片冷空气从你手上迸发而出。在60 尺锥状区域内的每个生物必须进行一次体质豁免。豁免失败者将受到8d8 点冷冻伤害，豁免成功则伤害减半。
被该法术杀死的生物将成为一尊冰冻塑像并持续至被解冻。
升环施法效应。
使用6 环或更高法术位施展该法术时，你使用的法术位每比5 环高一环，法术伤害就增加1d8。</t>
  </si>
  <si>
    <t>（一个小水晶或玻璃锥）</t>
  </si>
  <si>
    <t>Telekinesis</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</si>
  <si>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生物Creature。
你可以尝试移动一个巨型或更小的生物。以你的施法关键属性进行一次属性检定，并与目标生物的力量检定进行对抗。如果你在对抗中胜出，则你可以使该生物朝任何方向（包括竖直向上）移动30 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物件Object。
你可以尝试移动一个重量不超过1000 磅的物件。如果该物品没有被任何生物所着装或携带，则你可以自动使它朝任何方向移动30 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 尺（但不能让它离开施法距离）。
你可以使用心灵遥控来对物体进行精密操作，例如操纵一件简单的工具，打开一扇门或一个容器，把东西放进或拿出一个打开的容器中，或是把一个小瓶子里的东西倒出来。</t>
  </si>
  <si>
    <t>Dream</t>
  </si>
  <si>
    <t>V、S、M（一把沙子，一点墨水，和一支从沉睡的鸟儿身上拔下的可书写羽毛）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</si>
  <si>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 点心灵伤害。
如果你拥有目标身体的部分，比如头发，指甲或类似的东西。则目标进行该豁免时具有劣势。</t>
  </si>
  <si>
    <t>（一把沙子，一点墨水，和一支从沉睡的鸟儿身上拔下的可书写羽毛）</t>
  </si>
  <si>
    <t>Hold Monster</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</si>
  <si>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
使用6 环或更高法术位施展该法术时，你使用的法术位每比5 环高一环，你就可以额外指定一个生物。指定目标时，每个目标生物必须身处其他目标30 尺范围内。</t>
  </si>
  <si>
    <t>Animate Objects</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</si>
  <si>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你可以使用一个附赠动作并以精神命令操纵500 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活化物件属性资料Animated Object Statistics
体型 HP AC 攻击             力量 敏捷
微型 20 18 命中+8，伤害1d4+4  4   18
小型 25 16 命中+6，伤害1d8+2  6   14
中型 40 13 命中+5，伤害2d6+1  10  12
大型 50 10 命中+6，伤害2d10+2 14  10
巨型 80 10 命中+8，伤害2d12+4 18   6
被活化物件的AC、HP、攻击，以及力量和敏捷值由其体型决定。其体质为10，智力和感知为3，魅力为1。其速度为30尺，如果它没有腿或者类似的构造，则改为30 尺的飞行速度并且可以悬浮。如果该物件被牢牢固定在某个表面或更大的物件上（例如被铁链拴在墙上），则其速度为0。其拥有30 尺盲视感官，该感官范围之外则视为目盲状态。被活化物件的生命值降至0 时，即变回普通的物件，且以物件形态承受所有溢出的伤害。如果你命令活化物件发动攻击，则它可以对其5 尺内的一个生物发动一次近战攻击。它将发动一记猛击并造成钝击伤害，相应的攻击加值和伤害由其体型决定。此外，DM 还可以认定某些物件可以造成挥砍或穿刺伤害。
升环施法效应。
使用6 环或更高法术位施展该法术时，你使用的法术位每比5 环高一环，就多唤起两个物件。</t>
  </si>
  <si>
    <t>Dominate Person</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</si>
  <si>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
使用6 环法术位施展该法术时，持续时间变为：专注，至多10 分钟。使用7 环法术位施展该法术时，持续时间变为：专注，至多1 小时。使用8 环或更高法术位施展该法术时，持续时间变为：专注，至多8 小时。</t>
  </si>
  <si>
    <t>Seeming</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</si>
  <si>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 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 的智力（调查）检定以。检定成功则观察者将一时到目标进行了伪装。</t>
  </si>
  <si>
    <t>Teleportation Circle</t>
  </si>
  <si>
    <t>V、M（稀有粉笔和浸有价值50gp珍稀宝石的墨水，作为该法术的耗材）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</si>
  <si>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 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 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</si>
  <si>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（稀有粉笔和浸有价值50gp珍稀宝石的墨水，作为该法术的耗材）</t>
  </si>
  <si>
    <t>Raise Dead</t>
  </si>
  <si>
    <t>V、S、M（一颗至少价值500gp的钻石，作为该法术的耗材）</t>
  </si>
  <si>
    <t>你触碰一个已死的生物，使其复活。该生物的死亡时间必须不超过10 日。如果该生物的灵魂愿意并且能够回到其身体中，则它将以1 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 减值。该目标每完成一次长休，其减值就减少1，依次叠加直至减值完全消失。</t>
  </si>
  <si>
    <t>（一颗至少价值500gp的钻石，作为该法术的耗材）</t>
  </si>
  <si>
    <t>Legend Lore</t>
  </si>
  <si>
    <t>5环/预言</t>
  </si>
  <si>
    <t>V、S、M（价值至少250gp的熏香，作为法术的耗材。以及每块价值至少50gp的四块象牙板）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</si>
  <si>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 时才能将其唤醒。”</t>
  </si>
  <si>
    <t>（价值至少250gp的熏香，作为法术的耗材。以及每块价值至少50gp的四块象牙板）</t>
  </si>
  <si>
    <t>Scrying</t>
  </si>
  <si>
    <t>诗人 牧师 德鲁伊 邪术师 法师</t>
  </si>
  <si>
    <t>V、S、M（一个至少价值1,000gp的聚焦镜，例如水晶球、银镜、圣水盆）</t>
  </si>
  <si>
    <t>专注，最多10分钟</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</si>
  <si>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 小时内你不能尝试探知同一个目标。
如果对方豁免失败，则你在目标身边10 尺内创造出一个隐形的传感器。通过传感器，你可以身临其境地看见和听见周围的环境。传感器会跟随目标移动，并在法术持续时间内始终保持在目标10 尺之内。在能够看破隐形的生物眼中，你的探传感器是一个拳头大小的光球。
除生物之外，你也可以选择一个你以前见过的地点作为该法术的目标。这时，传感器会出现在目标地点且不会移动。</t>
  </si>
  <si>
    <t>（一个至少价值1,000gp的聚焦镜，例如水晶球、银镜、圣水盆）</t>
  </si>
  <si>
    <t>Geas</t>
  </si>
  <si>
    <t>诗人 牧师 德鲁伊 圣武士 法师</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</si>
  <si>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</si>
  <si>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 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你可以用一个动作解除命令并终止法术。法术如移除诅咒remove curse，高等复原术greater restoration 或祈愿术wish 同样可以终止该法术。
升环施法效应。
使用7 环或8 环法术位施展该法术时，持续时间变为1 年。使用9 环法术位施展该法术时，法术将一直持续至被上文提及的法术所终止。</t>
  </si>
  <si>
    <t>Planar Binding</t>
  </si>
  <si>
    <t>5环/防护</t>
  </si>
  <si>
    <t>V、S、M（一枚价值至少1000gp的宝石，作为该法术的耗材）</t>
  </si>
  <si>
    <t>24 小你尝试以该法术与一个生物建立誓约使其为你服务，该生物可以是天界生物、元素生物、精类生物、邪魔等生物种类之一。该生物在整个施法过程中必须在法术的施法距离内。典型的情况下，在施展该法术前，生物会先被召唤到一个反向作用的防护法阵magic circle 中困住。施法完成后，目标必须进行一次魅力豁免。豁免失败则目标在法术持续时间内与你建立誓约并服务于你。
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
使用6 环法术位施展该法术时，法术持续时间增为10 日，7 环则增为30 日，8 环为180 日，9 环为一年零一日。</t>
  </si>
  <si>
    <t>（一枚价值至少1000gp的宝石，作为该法术的耗材）</t>
  </si>
  <si>
    <t>Great Restoration</t>
  </si>
  <si>
    <t>V、S、M（价值至少100gp的钻石粉，作为该法术的耗材）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</si>
  <si>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</si>
  <si>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（价值至少100gp的钻石粉，作为该法术的耗材）</t>
  </si>
  <si>
    <t>Mass Cure Wounds</t>
  </si>
  <si>
    <t>一波治愈的能量从施法距离内你指定的一点奔涌而出。你在该点周边30 尺半径的球状区域内指定至多六个生物，并使每个目标生物回复一定的生命值，其数值等于3d8＋你的施法关键属性调整值。该法术对不死生物和构装生物无效。
升环施法效应。
使用6 环或更高法术位施展该法术时，你使用的法术位每比5 环高一环，其治疗量就增加1d8。</t>
  </si>
  <si>
    <t>Mislead</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</si>
  <si>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</si>
  <si>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Modify Memory</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</si>
  <si>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 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 也可以判定某段修改过的记忆太过荒谬，而无法影响生物的关键行为。
对目标施展法术移除诅咒remove curse 或高等复原术greater restoration 后即可使目标恢复真实的记忆。
升环施法效应。
使用6 环或更高法术位施展该法术时，你可以改变目标关于过去7 日内（6 环）、30 日内（7 环）、1 年内（8环）或者在过去任意时刻（9 环）所发生事件的记忆。</t>
  </si>
  <si>
    <t>Awaken</t>
  </si>
  <si>
    <t>V、S、M（一块价值至少1,000gp的玛瑙，作为该法术的耗材。）</t>
  </si>
  <si>
    <t>利用施法的8 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 为启蒙植物决定属性数据，例子可参考怪物图鉴的启蒙灌木和启蒙树。
被启蒙的植物或野兽在30 日内处于被你魅惑的状态，或是直到你或你的盟友做出任何伤害它的举动。魅惑终止后，启蒙生物将根据你对待他的方式决定是否对你保持友善。</t>
  </si>
  <si>
    <t>（一块价值至少1,000gp的玛瑙，作为该法术的耗材。）</t>
  </si>
  <si>
    <t>Banishing Smite</t>
  </si>
  <si>
    <t>你在法术终止前的下一次武器攻击命中某生物时将从武器中爆发巨力，使该次攻击对目标额外造成5d10 点力场伤害。此外，如果本攻击将目标的生命值降低至50 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</si>
  <si>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Circle of Power</t>
  </si>
  <si>
    <t>你身上发出神圣能量并以扭曲散溢的魔法能量构成一个半径30 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</si>
  <si>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Destructive Wave</t>
  </si>
  <si>
    <t>你击打地面，并从身上爆发出一阵神圣能量。30 尺范围内每个你所指定的生物都必须进行一次体质豁免。豁免失败者将受到5d6 点雷鸣伤害以及5d6 点光耀或黯蚀伤害（由你选择）并应击倒地，豁免成功则伤害减半且不会应击倒地。</t>
  </si>
  <si>
    <t>Dispel Evil and Good</t>
  </si>
  <si>
    <t>V、S、M（圣水或银铁粉末）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</si>
  <si>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破除附魔Break Enchantment。
你使用动作触碰一个触及范围内的生物。如果该生物受天界生物、元素生物、精类生物、邪魔或不死生物影响而陷入魅惑、恐慌，或是被附身状态，则生物的这些状态即时结束。
驱逐Dismissal。
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</si>
  <si>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（圣水或银铁粉末）</t>
  </si>
  <si>
    <t>Insect Plague</t>
  </si>
  <si>
    <t>牧师 德鲁伊 术士</t>
  </si>
  <si>
    <t>V、S、M（少许糖，一些脱壳的谷粒和一抹油脂）</t>
  </si>
  <si>
    <t>你指定施法距离内一点，并以该点为中心使半径20 尺的球状区域内堆满成群的噬人蝗虫。虫群会绕过拐角扩散并使整个区域成为困难地形，且处于轻度遮蔽。虫群在法术终止前都会持续存在。
当虫群显现时，其区域内的每个生物都必须进行一次体质豁免，豁免失败则受到4d10 的穿刺伤害，豁免成功则伤害减半。
生物在一个回合内第一次进入该区域内，或者在区域内结束其回合时，也必须进行该豁免。
升环施法效应。
使用6 环或更高法术位施展该法术时，你使用的法术位每比6 环高一环，伤害就增加1d10。</t>
  </si>
  <si>
    <t>（少许糖，一些脱壳的谷粒和一抹油脂）</t>
  </si>
  <si>
    <t>Contagion</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</si>
  <si>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</si>
  <si>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失明症Blinding Sickness。
痛苦缠绕着患病者的意志，并使其眼睛变成奶白色。患病生物进行感知检定和感知豁免时具有劣势，并且承受目盲状态。
腐热症Filth Fever。
患者身体发起严重的高烧。患病生物进行力量检定和力量豁免时，以及发动基于力量的攻击检定时具有劣势。
烂肉症Flesh Rot。
患者的肌肤逐渐腐朽。患病生物进行魅力检定时具有劣势，并且具有所有伤害类型的伤害易受。
脑热症Mindfire。
患者头脑发热。患病生物进行智力检定和智力豁免时具有劣势，并且其在战斗中视为受到困惑术confusion效应影响。
癫痫症Seizure。
患者全身颤抖不止。患病生物进行敏捷检定和敏捷豁免时，以及发动基于敏捷的攻击检定时具劣势。
恶心症Slimy Doom。
患者开始不受控地流血。患病生物进行体质检定和体质豁免时具有劣势。另外每当该生物受到伤害时都会陷入震慑状态，直至其下一回合结束。</t>
  </si>
  <si>
    <t>Commune</t>
  </si>
  <si>
    <t>V、S、M（焚香和一小瓶圣水或邪水）</t>
  </si>
  <si>
    <t>你与所信奉神祇或其代理人进行联系，并询问至多三个能以“是”或“否”回答的问题。你必须在法术终止前完成提问，并在随后分别获得每个问题的答案。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
其具体结果由DM 暗骰决定。</t>
  </si>
  <si>
    <t>（焚香和一小瓶圣水或邪水）</t>
  </si>
  <si>
    <t>Flame Strike</t>
  </si>
  <si>
    <t>V、S、M（一小撮硫磺）</t>
  </si>
  <si>
    <t>一支圣火立柱从天堂带着呼啸降落在你指定的一处地点。圣火以施法距离内指定点为源点形成一处半径10 尺、高40 尺柱状区域，其内的每个生物必须进行一次敏捷豁免。豁免失败者将受到4d6 点火焰伤害和4d6 点光耀伤害，豁免成功则伤害减半。
升环施法效应。
使用6 环或更高法术位施展该法术时，你使用的法术位每比5 环高一环，其火焰伤害或光耀伤害（自选其一）就增加1d6。</t>
  </si>
  <si>
    <t>（一小撮硫磺）</t>
  </si>
  <si>
    <t>Hallow</t>
  </si>
  <si>
    <t>V、S、M（价值至少1,000gp的草药、油与熏香，作为该法术的耗材）</t>
  </si>
  <si>
    <t>你触碰一点并将神圣（或邪秽）的力量注入该点周围。区域半径至多60 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 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勇气Couage。
区域内的受影响生物不受恐慌。
黑暗Darkness。
区域内处于黑暗环境，普通光源以及比本法术施展法术位更低环阶法术所创造的光源均无法照亮该区域。
昼明Daylight。
区域内处于明亮光照，比本法术施展法术位更环节法术所创造的黑暗无法掩盖亮光。
能量防护Energy Protection。
区域内受影响生物对一种由你指定的伤害类型具有抗性，所选类型不包括钝击、穿刺和挥砍。
能量易伤Energy Vulnerability。
区域内的受影响生物对一种由你指定的伤害类型具有易伤，所选类型不包括钝击、穿刺和挥砍。
永恒安息Everlasting Rest。
区域内埋葬的尸体不能被转化成不死生物。
次元干涉Extradimensional Interference。
受影响生物不能通过传送，也不能通过异次元或跨位面途径作移动和旅行。
恐惧Fear。
区域内的受影响生物陷入恐慌。
沉默Silence。
声音无法从区域内发出，区域外的声音也不能传到区域内。
巧言Tongues。
受影响生物与区域内的任何其他生物即使语言不通也可以随意交流。</t>
  </si>
  <si>
    <t>（价值至少1,000gp的草药、油与熏香，作为该法术的耗材）</t>
  </si>
  <si>
    <t>Bigby’s Hand</t>
  </si>
  <si>
    <t>V、S、M（一块蛋壳和一只蛇皮手套）</t>
  </si>
  <si>
    <t>你在施法距离内指定一处你能看见且未被占据的空间，并在该处创造出一只闪烁着微光的巨手。巨手在法术持续时间内维持存在，并听从你的命令模仿你手掌移动的方式进行移动。巨手视为一个物件，其AC 为20，生命值等于你的生命值上限。如果它的生命值降至0 则法术提前终止。其力量为26（+8），敏捷为10（+0）。巨手并不占据其所在的空间。
施展此法术时，你可以令巨手移动至多60 尺远并造成下列效应之一。你也可以在自己随后的回合里以一个附赠动作完成该效应。
金刚拳Clenched Fist。
巨手对自身5 尺内的一个生物或物件发动打击。用你自身的游戏资料发动一次近战法术攻击，并在命中时造成4d8 点力场伤害。
飞击掌Forceful Hand。
巨手尝试对自身5 尺内的一个生物进行推挤。用巨手的力量检定与目标的力量（运动）检定作对抗。如果目标为中型或更小的生物则你的检定具有优势。你胜出对抗时，目标将被推开数尺，其具体尺数等于5 加上你施法关键属性调整值得五倍。巨手随着目标一起移动，并与之保持5 尺的距离。
擒拿掌Grasping Hand。
巨手尝试对自身5 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的钝击伤害。
护身掌Interposing Hand。
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
使用6 环或更高法术位施展该法术时，你使用的法术位每比5 环高一环，则金刚拳的伤害提高2d8，擒拿掌的伤害提高2d6。</t>
  </si>
  <si>
    <t>（一块蛋壳和一只蛇皮手套）</t>
  </si>
  <si>
    <t>Passwall</t>
  </si>
  <si>
    <t>V、S、M（一撮芝麻）</t>
  </si>
  <si>
    <t>你指定施法距离内你能看见的表面上一点，并使该处在法术终止前持续显现一条通道。所选表面必须属于木质，灰质或石质（比如墙，屋顶或地面）。而开口的大小则由你指定：其尺寸至多5 尺宽，8 尺高，20 尺深。另外，该通道并不会使其周围结构产生不稳定。
开口消失时，任何还留在该通道中的生物或物件都会被安全的弹至距受术表面最近的未占据空间。</t>
  </si>
  <si>
    <t>（一撮芝麻）</t>
  </si>
  <si>
    <t>Rary’s Telepathic Bond</t>
  </si>
  <si>
    <t>V、S、M（两种不同生物的蛋壳碎片）</t>
  </si>
  <si>
    <t>你与施法距离内至多八个自愿生物建立心灵连线。在法术持续时间内，连线的每个生物的心灵都和其他全部受术生物相连。智力值为2 或更低的生物不受该法术影响。
在该法术终止前，所有受术生物都可以通过心灵连线与其他受术生物进行心灵交流，而不论他们是否语言相通。该交流方式可以跨越任意远近的距离但不能跨位面进行。</t>
  </si>
  <si>
    <t>（两种不同生物的蛋壳碎片）</t>
  </si>
  <si>
    <t>Wall of Force</t>
  </si>
  <si>
    <t>V、S、M（由纯净的宝石原石碾成的一小撮粉末）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</si>
  <si>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 尺），也可以塑成一个由十个10 尺×10 尺的方板块构成的平面，而每块板块都必须要和至少一块其他板块相连。不管形状如何，力墙的厚度总是1/4 寸。
力场墙将持续存在至法术终止。如果力墙形成时穿过了某个生物所占据的空间，则该生物会被推到力墙的一侧（由你决定推到哪一侧）。
没有任何事物可以通过物理方式穿过力墙。力墙免疫所有伤害，也不能被解除魔法dispel magic 所解除，但法术解离术disintegrate 可以使其立即摧毁。力墙能够延伸进以太位面，因此可以阻断进入以太位面穿过墙壁旅行。</t>
  </si>
  <si>
    <t>（由纯净的宝石原石碾成的一小撮粉末）</t>
  </si>
  <si>
    <t>Commune with Nature</t>
  </si>
  <si>
    <t>你短暂的成为大自然的一部分并以此获得周围地形的信息。
在户外时，该法术可以让你了解3 里内大地的状况。在洞穴和其他天然地下场所中，其范围缩小为300 尺半径区域内。自然环境中被建筑覆盖的区域里（比如地下城或城镇中）法术无法生效。你立即获得的自然资讯至多与该地域三个方面的主题相关，在以下项目中进行选择。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</si>
  <si>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Tree Stride</t>
  </si>
  <si>
    <t>你能够进入树木中，并从树木内部移动到500 尺内的一棵同类树木内。两棵树必须都是活的，而且至少要和你一样大。你进入一棵树时必须消耗5 尺移动力。你将在进入树木后知道附近500 尺内所有同类树木的位置。作为进入树木所用移动的一部分，你可以移动到这些同类树木的其中一棵，或走出你所在的树木。
你会出现在作为目的地的树木5 尺范围内自选的一点，并因此消耗5 尺移动力。如果你的移动力已经耗尽，则你将出现在你进入的树木周围5 尺范围内某处。
你可以在法术持续时间内的每轮里使用一次这样的传送能力。而且你必须在树外结束你的回合。</t>
  </si>
  <si>
    <t>Wall of Stone</t>
  </si>
  <si>
    <t>V、S、M（一小块花岗岩）</t>
  </si>
  <si>
    <t>一面坚硬的非魔法石墙出现在施法距离内你指定的一点。该石墙厚达6 寸，由十个10 尺×10 尺的方板块组成。每块板块都必须要和至少一块其他板块相连。另外你也可以选择以十个10尺×20 尺的板块组成石墙，但厚度只有3 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 为15，每寸厚得石墙具有30 点生命值。当一块板块的生命值降至0 时则该板块被摧毁，而且与它相连的板块也可能会崩塌（具体由DM 判断）。
如果你在整个法术持续时间内一直保持住该法术的专注，则石墙将永久存在且不能被解除。如果你没能这么做，则石墙在法术终止时随即消失。</t>
  </si>
  <si>
    <t>（一小块花岗岩）</t>
  </si>
  <si>
    <t>Conjure Elemental</t>
  </si>
  <si>
    <t>V、S、M（气元素为点燃的焚香，土元素为陶土，火元素为硫和磷，水元素为水和沙子）</t>
  </si>
  <si>
    <t>你召唤出一个元素生物仆从。在施法距离内指定一处充满气、土、火、水四物质其一的10 尺立方区域作为法术目标。例如，一只火元素从篝火中成型，而一只土元素则从地面上浮现。一个挑战等级5 或者更低的元素生物从目标区域成型，并显现在该区域10 尺内一处未被占据空间。该生物在生命值降至0 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 小时后消失不见。
该元素生物的具体数值由DM 掌控。
升环施法效应。
使用6 环或更高法术位施展该法术时，你使用的法术位每比5 环高一环，召唤生物挑战等级就增加1。</t>
  </si>
  <si>
    <t>（气元素为点燃的焚香，土元素为陶土，火元素为硫和磷，水元素为水和沙子）</t>
  </si>
  <si>
    <t>Antilife Shell</t>
  </si>
  <si>
    <t>闪光的屏障环绕你周边10 尺内的区域并以你为中心移动，其阻绝除不死生物和构装生物之外的生物类型。护罩持续存在至法术终止。
护罩阻止受影响的生物穿过或进入其内，但受影响的生物可以使用法术，远程武器或长武器对护罩内部发动攻击。若你移动时迫使受影响生物进入护罩内，则法术随之终止。</t>
  </si>
  <si>
    <t>Reincarnate</t>
  </si>
  <si>
    <t>V、S、M（价值至少1000gp的稀有油和软膏，作为该法术的耗材）</t>
  </si>
  <si>
    <t>你触碰一个类人生物的遗体或遗体的一部分，以此创造出一具新的成年身体，并呼唤该生物的灵魂进入此新身躯。该生物死亡时间必须不超过10 日。此外，如果目标生物的灵魂此时不能或者不愿意完成该过程，则法术失败。
该法术要为目标生物创造出一具新的身体，因此很可能导致该生物的种族发生变动。DM 可以投一个d100 来判定该生物以何种形态复生，也可以直接由DM 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</si>
  <si>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（价值至少1000gp的稀有油和软膏，作为该法术的耗材）</t>
  </si>
  <si>
    <t>Immolation E</t>
  </si>
  <si>
    <t>火焰环绕施法距离内你能看到的一个生物。该目标必须进行一次敏捷豁免。豁免失败将受 7d6 的火焰伤害，豁免成功则伤害减半。豁免失败则目标将在法术持续时间内被点燃。燃烧的目标会向周围 30 尺半径区域散发出明亮光照，以及其外 30 尺范围的微光光照。在其每个回合结束时，目标可以再次进行该豁免。再次豁免失败则受 3d6 的火焰伤害。豁免成功则该法术终止。这些魔法火焰无法以非魔法的方式熄灭。
若此法术的伤害令目标生命值降为 0，则目标化为灰烬。</t>
  </si>
  <si>
    <t>Investiture of Flame E</t>
  </si>
  <si>
    <t>火焰环绕你的身体，并向周围 30 尺半径区域散发出明亮光照，并在其外 30 尺范围内散发出微光光照。这些火焰不会对你造成伤害。直至此法术终止前，你得到如下的增益：
你免疫火焰伤害并对冷冻伤害具有抗性。
任何在回合内第一次进入你周围 5 尺范围内，或是在你周围 5 尺范围内结束其回合的生物将受 1d10 的火焰伤害。
你可以用你的动作以创造出一条以你为起始点，向由你指定方向延伸的 15 尺长、5 尺宽的线状火焰。线状区域中的每个生物都必须进行一次敏捷豁免。豁免失败者将受 4d8 的火焰伤害，豁免成功则伤害减半。</t>
  </si>
  <si>
    <t>Control Wind E</t>
  </si>
  <si>
    <t>你得以控制施法距离内你可以看见的100 立方尺空气。施展此法术时，选择下述效应之一。该效应将在法术持续时间内始终生效，除非你在稍后的自己回合中使用一个动作调整为其他的效应。你还可以用你的动作来暂停效应或重启一个 被暂停的效应。
阵风 Gusts。
你操控的空气中产生了一阵风，持续向一个由你指定的水平方向吹去。风力强度由你选择：无风calm，和风moderate和强风strong。若风力为大风或强风，穿过其中的远程武器攻击，或是对身处风区中的生物发动的远程武 器攻击其攻击检定具有劣势。若风力为强风，逆风而行的生物每移动 1 尺需要额外消耗 1 尺的移动力。
下沉气流 Downdraft。
你操控的空气产生了向下的气流，从空间的顶部开始下沉。穿过其中的远程武器攻击，或是对身处风区中的生物发动的远程武器攻击其攻击检定具有劣势。生物每回合第一次飞进受影响的空间，或是在飞行状态下于受影响空间开始其回合时，其必须进行一次力量豁免。检定失败则该生物摔下倒地。
上升气流 updraft。
你操控的空气产生了向上的气流，从空间的地面开始上升。在该空间内结束坠落的生物只会受一半的坠落伤害。处于该空间内的生物垂直跳跃时，可以比正常情况下跳跃的高度高出10 尺。</t>
  </si>
  <si>
    <t>Transmute Rock E</t>
  </si>
  <si>
    <t>你指定施法距离内你能看到，且总体积不超过 40 立方尺的岩石或泥土，并选择下述效应之一。
化石为泥 Transmute Rock to Mud。
该区域内任何种类的 非魔法石块在法术持续时间内变成等量可流动的稀薄泥浆。
若你将法术施展在一处区域或地表，其将变得足够瘫软以令生物陷入其中。生物穿过每尺泥浆需消耗4 尺的移动力， 而在你施法时处于该区域内的生物需要进行一次力量豁免。若生物在一回合内第一次进入此区域，或在此区域内结束其回合，则该生物也要进行此豁免。豁免失败者将没入泥浆并被束缚，不过他可以用一个动作把自己拽出泥浆以终止束缚。
若你对天花板施展此法术，则泥浆会掉落。在泥浆掉落时，处于其下方的所有生物必须进行一次敏捷豁免。豁免失败者将受 4d8 的钝击伤害，豁免成功则伤害减半。
化泥为石 Transmute Mud to Rock。
法术持续时间内，区域内不超过 10 尺深的非魔法泥土或流沙变为柔软的岩石。在变化的泥土中的生物需要进行一次敏捷豁免。豁免失败者将被岩石束缚。被束缚生物可以用一个动作尝试通过一次力量 检定（DC 20）来脱困，对束缚目标的岩石造成 25 点伤害也可以令其脱困。若豁免成功，则该生物安全的移动到未被占据的一处地面。</t>
  </si>
  <si>
    <t>Maelstrom E</t>
  </si>
  <si>
    <t>大量水流出现在施法距离内你能看到的一点，形成一处 5 尺深、30 尺半径的大漩涡。该点必须处于水体表面或内部。直到法术终止前，该区域成为困难地形，所有在该区域开始其回合的生物必须成功通过一次力量豁免否则受 6d6 的钝击伤害向中心的方向拉近 10 尺。</t>
  </si>
  <si>
    <t>Mental Prison</t>
  </si>
  <si>
    <t>6环/幻术</t>
  </si>
  <si>
    <t>你试图将目标生物束缚在一个只有他自己能感知的幻觉牢房中。在距离内你可见的一个生物必须进行智力豁免检定。如果目标免疫魅惑，它在这次豁免中自动成功。若豁免成功，目标受到5d10精神伤害，同时法术结束。若豁免失败，在造成5d10精神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精神伤害，然后法术结束。</t>
  </si>
  <si>
    <t>Scatter</t>
  </si>
  <si>
    <t>6环/咒法</t>
  </si>
  <si>
    <t>你选择距离之内最多5个可见生物，震颤的空气将环绕他们周围。一个非自愿的生物必须成功进行感知豁免检定来抵抗这个法术。你将每个受影响的生物传送至120尺内任意你可以看见且未被占据的空间。这个空间必须在地面上或在地板上。</t>
  </si>
  <si>
    <t>Soul Cage</t>
  </si>
  <si>
    <t>6环/死灵</t>
  </si>
  <si>
    <t>1个反应，当你看见60英尺内类人生物死去时采取</t>
  </si>
  <si>
    <t>V、S、M（一个价值100GP的银笼子）</t>
  </si>
  <si>
    <t>这个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
你可以用一个附赠动作从灵魂中吸取活力并恢复2d8生命值。
灵魂质问Query Soul：
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
你可以使用一个附赠动作让灵魂的人生经验来支撑你，令你的下一次攻击检定，能力检定和豁免检定具有优势。如果在你的下个回合开始之前你没有使用这个增益，它将会丢失。
亡者之眼Eyes of the Dead：
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能看到这个传感器的生物（例如使用了识破隐形法术或是拥有真实视觉）将会看到被你关在笼中的受难者半透明的影像。</t>
  </si>
  <si>
    <t>（一个价值100GP的银笼子）</t>
  </si>
  <si>
    <t>Create Homunculus</t>
  </si>
  <si>
    <t>6环/变化</t>
  </si>
  <si>
    <t>V、S、M（黏土，灰尘，曼德拉草根，以上材料在施法时被消耗，以及价值1000GP的镶嵌宝石的匕首）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</si>
  <si>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息，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息时还原，在那之前你的最大生命降低效果不能被移除，除非你的造妖死亡。
同一时间你只能拥有一只造妖。如果你在你的造妖还存活时施展，法术将会失败。</t>
  </si>
  <si>
    <t>（黏土，灰尘，曼德拉草根，以上材料在施法时被消耗，以及价值1000GP的镶嵌宝石的匕首）</t>
  </si>
  <si>
    <t>Tenser's Transformation</t>
  </si>
  <si>
    <t>V、S、M（一缕公牛毛发）</t>
  </si>
  <si>
    <t>你以魔法为燃料赋予自己耐久和武艺。直到法术结束之前，你不能施展法术，并且得到如下增益：
  你得到50点临时生命。如果这些临时生命保持到了法术结束，它们会失去。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</si>
  <si>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（一缕公牛毛发）</t>
  </si>
  <si>
    <t>Investiture of Flame</t>
  </si>
  <si>
    <t>火焰环绕着你的身体，照亮周围30英尺半径的区域，并在外围30英尺范围内产生微弱的亮光。这些火焰不会伤害到你。直到此法术终结，你得到如下的好处：
  你免疫于火焰伤害并对寒冷伤害具有抗力。
  任何在回合中第一次进入你周围5英尺范围之内，或是在你周围5英尺范围之内结束回合的生物受到1d10点火焰伤害。
  你可以使用你的动作以创造出一条以你为起始点，向由你选择的方向延伸的15英尺长、5英尺宽的火线。在线中的每个生物都必须进行一次敏捷豁免检定。豁免失败的生物受到4d8点火焰伤害，豁免成功者受到上述伤害的一半。</t>
  </si>
  <si>
    <t>Investiture of Ice</t>
  </si>
  <si>
    <t>直到此法术终结，寒冰浸沐了你的躯体，你得到如下好处：
  你免疫寒冷伤害，并对火焰伤害具有抗力。
  你可以在由冰或雪形成的困难地形上移动而无需额外消耗移动力。
  以你为中心，周围10英尺半径的区域被冻结了，对于你之外的生物而言，其被视为困难地形。此范围会随着你移动而移动。
  你可以使用你的动作以创造出一道15英尺的寒风锥，以你张开的手为起始点，向由你选择的任意方向延伸。在锥内的每个生物均必须进行一次体质豁免检定。检定失败则受到4d6点寒冷伤害，若成功则受到上述伤害的一半。在对抗刺效应的豁免检定中失败的生物，直到你的下个回合开始，其速度减半。</t>
  </si>
  <si>
    <t>Investiture of Stone</t>
  </si>
  <si>
    <t>直到法术终结，岩石颗粒布满了你的躯体，你得到如下好处：
  你对于来自非魔法攻击的钝击，穿刺和挥砍伤害得到抗力。
  你可以使用你的动作，在以你为中心周围15英尺半径的地表创造出一阵小型地震。在地表上的其他生物必须通过一次敏捷豁免检定，否则会摔倒。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处于震慑状态。</t>
  </si>
  <si>
    <t>Investiture of Wind</t>
  </si>
  <si>
    <t>直到此法术终止，风在你的身旁回旋，而你得到下述好处：
  对你进行的远程武器攻击，在其攻击检定中具有劣势。
  你得到60英尺的飞行速度。若此法术终止时，你仍处于飞行状态，你会坠落，除非你有其他方法避免坠落。
  你可以使用你的动作以在你60英尺范围内，以你能看到的一点为中心，制造出15立方英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英尺。</t>
  </si>
  <si>
    <t>Bones of the Earth</t>
  </si>
  <si>
    <t>你令距离内你能看见的地面处升起六根石柱。每根石柱为直径5英尺，高度至多30英尺的圆柱。升起石柱的地表必须具有足以容纳其直径的空间，你可以以一个体型不超过中型Medium的生物的脚下作为目标。每根石柱的AC为5，具有30点生命值。当其生命值被降为0时，石柱将变为碎石，在10英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事物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升环效果：当你使用7环或更高的法术位施放该法术时，使用的法术位每高一环，你便能额外升起两根石柱。</t>
  </si>
  <si>
    <t>Druid Grove</t>
  </si>
  <si>
    <t>6环/防护</t>
  </si>
  <si>
    <t>V、S、M（一个在满月之光下以黄金镰刀收割的槲寄生，在施法时会被消耗）</t>
  </si>
  <si>
    <t>你呼唤自然之灵来守护一块户外区域或者是地底。这片区域最小为边长30英尺的立方体，最大则可达边长90英尺的立方体。建筑物和其他构造物会被排除在受影响区域外。如果你在一年内每天对同一区域施展这个法术，法术将持续到被解除。
法术将在区域内产生如下效果。当你施展这个法术时，你可以指定生物作为友伴免疫这些效果。你也可以指定一个口令，大声说出口令的人也同样免疫这些效果。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
你可以在地面上分布厚雾填充任意数量的5尺方格，使其处于重度隐蔽之下。雾气高达10英尺。在穿过雾气时每移动1英尺就要花费额外2英尺的移动力。在免疫这个效果的生物眼中，雾气什么也不会掩盖，并且看起来像是漂浮在空气中的绿色光点。
纠缠灌木Grasping Undergrowth：
你可以在没有被填充雾气的地面上分布纠缠的藤蔓和杂草填充任意数量的5尺方格，如同它们受到了纠缠术的影响。对免疫这个效果的生物而言这些野草和藤蔓都是柔软的，甚至可以重塑形态成为临时的座椅和床铺。
林地守卫Grove Guardians：
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
你可以从以下魔法效果中选择其一放置在被保护的区域。
  在你选择的两个位置布置持续的造风术效果。
  在你选择的一个位置布置荆棘丛生效果。
  在你选择的两个位置布置风墙术效果。
对免疫这个效果的生物而言，风是带着芳香的微风，而布置荆棘丛生的区域是无害的。</t>
  </si>
  <si>
    <t>（一个在满月之光下以黄金镰刀收割的槲寄生，在施法时会被消耗）</t>
  </si>
  <si>
    <t>Primordial Ward</t>
  </si>
  <si>
    <t>你在本法术的持续时间内具有对强酸，寒冷，火焰，电击和雷鸣伤害的抗力。
当你收到上述类型之一的伤害时，你可以使用你的反应来得到对该种类型伤害的免疫，这包括了对触发此效果的伤害。若你如此做，则抗力效果结束，而你在直到你的下个回合结束前具有对应的免疫，之后此法术终结。</t>
  </si>
  <si>
    <t>Flesh to Stone</t>
  </si>
  <si>
    <t>V、S、M（一小撮石灰、水和土壤）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</si>
  <si>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</si>
  <si>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（一小撮石灰、水和土壤）</t>
  </si>
  <si>
    <t>Arcane Gate</t>
  </si>
  <si>
    <t>你创造两个相连的传送门。指定地面上你能看见的两点，一点在你身边10 尺内，另一点则在500 尺内。随后，10 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
你可以在自己的回合里使用一个附赠动作改变传送门的朝向。</t>
  </si>
  <si>
    <t>Circle of Death</t>
  </si>
  <si>
    <t>V、S、M（研磨过的黑珍珠粉末，价值至少500gp）</t>
  </si>
  <si>
    <t>一阵负能量波从施法距离内某点放出，冲击60 尺半径的球状区域。区域内的生物必须进行一次体质豁免。豁免失败者将受到8d6 点黯蚀伤害，豁免成功则伤害减半。
升环施法效应。
使用7 环或更高法术位施展该法术时，你使用的法术位每比6 环高一环，法术的伤害就增加2d6。</t>
  </si>
  <si>
    <t>（研磨过的黑珍珠粉末，价值至少500gp）</t>
  </si>
  <si>
    <t>Chain Lightning</t>
  </si>
  <si>
    <t>6环/塑能</t>
  </si>
  <si>
    <t>V、S、M（一些毛皮，一块琥珀，玻璃或一柄水晶权杖，以及三根银质别针。）</t>
  </si>
  <si>
    <t>你放出一道闪电，射向施法距离内某个你能看见的指定目标。
经过首个目标后，闪电分成三束跳向该目标30 尺内至多3 个其他目标。闪电的目标可以是生物或物件，但每束闪电必须指定不同的目标。
每个目标必须进行一次敏捷豁免。豁免失败者将受到10d8点闪电伤害，豁免成功则伤害减半。
升环施法效应。
使用7 环或更高法术位施展该法术时，你使用的法术位每比6 环高一环，跳跃后闪电就多分出一束射向一个不同的目标。</t>
  </si>
  <si>
    <t>（一些毛皮，一块琥珀，玻璃或一柄水晶权杖，以及三根银质别针。）</t>
  </si>
  <si>
    <t>Disintegrate</t>
  </si>
  <si>
    <t>V、S、M（一块磁石和一撮灰尘）</t>
  </si>
  <si>
    <t>一束纤细的绿射线从你的指尖射向施法距离内一个你能看见的目标。该目标可以是一个生物或一个物件，或者是一个魔法力场（比如由力场墙wall of force 创造的墙壁）。目标生物必须进行一次敏捷豁免，豁免失败则受10d6+40 点力场伤害，如果目标生命值因此降至0，则目标被解离。
除魔法物品外，被解离的生物连同其穿着携带的所有随身物品一起变成一堆灰尘。此后该生物只能通过完全复生术trueresurrection 和祈愿术wish 复活。
此法术会直接解离大型或更小的非魔法物件或魔法力场。如果目标是巨型或更大的物件或魔法力场，则此法术会解离其10尺立方大小的部分。魔法物品不受此法术影响。
升环施法效应。
使用7 环或更高法术位施展该法术时，你使用的法术位每比6 环高一环，伤害就提高3d6。</t>
  </si>
  <si>
    <t>（一块磁石和一撮灰尘）</t>
  </si>
  <si>
    <t>Globe of Invulnerability</t>
  </si>
  <si>
    <t>V、S、M（一个玻璃质或水晶质的珠子，其将在法术终止时破碎）</t>
  </si>
  <si>
    <t>一个固定的微光屏障从你周围半径10 尺区域内涌现并在法术持续时间内维持存在。
任何在屏障外施放的5 环或更低环阶的法术无法影响其内的生物或物件，这些法术即使以升环施法施展也无法突破该限制。
这些法术可以以屏障内的生物或物件为目标，但无法对其生效。
其效果有如屏障内的区域被排除在法术效应范围之外。
升环施法效应。
当你使用7 环或更高法术位施展该法术时，你使用的法术位每比6 环高一环，屏障能阻挡的法术就高一环。</t>
  </si>
  <si>
    <t>（一个玻璃质或水晶质的珠子，其将在法术终止时破碎）</t>
  </si>
  <si>
    <t>Eyebite</t>
  </si>
  <si>
    <t>在法术持续时间内，你的眼睛变成充满恐怖力量的漆黑空洞。
指定一个60 尺内你能看见的生物，并迫使其进行一次感知豁免，豁免失败者将承受下列效应之一（由你选择）。在法术终止前的每个自己回合，你都可以使用动作来指定一个目标。不过不能指定那些已经成功通过该豁免的生物。
沉睡Asleep。
目标陷入昏迷。其在受到伤害，或另一个生物使用动作摇晃它时，即可再次醒来。
惊慌Panicked。
目标因你而恐慌，它必须在每个其自己回合里执行疾走Dash 动作并移动，且以最短、最安全的路径尽可能的逃离你，直至其无路可逃为止。如果目标移至离你60 尺远且看不见你的地方，则法术效应终止。
患病Sickened。
目标发动攻击检定和进行能力检定时具有劣势。目标在每个其自己回合结束时都可以进行另一个感知豁免，豁免成功则该效应终止。</t>
  </si>
  <si>
    <t>Mass Suggestion</t>
  </si>
  <si>
    <t>6环/附魔</t>
  </si>
  <si>
    <t>V、M（一条蛇的舌头外加一小块蜂窝或一滴橄榄油）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</si>
  <si>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
使用7 环法术位施展该法术时，持续时间变为10 日。使用8 环法术位施展该法术时，持续时间变为30 日。使用9 环法术位施展该法术时，持续时间变为一年零一日。</t>
  </si>
  <si>
    <t>（一条蛇的舌头外加一小块蜂窝或一滴橄榄油）</t>
  </si>
  <si>
    <t>True Seeing</t>
  </si>
  <si>
    <t>6环/预言</t>
  </si>
  <si>
    <t>V、S、M（由蘑菇粉、藏红花和油脂制成得眼药膏，价值为25gp，作为该法术耗材）</t>
  </si>
  <si>
    <t>你触碰一个自愿的生物，让该法术赋予其看到事物真实面目的能力。受术者在法术持续时间内拥有120 尺的真实视觉，其能发现被魔法隐藏的暗门，也能看到以太位面。</t>
  </si>
  <si>
    <t>（由蘑菇粉、藏红花和油脂制成得眼药膏，价值为25gp，作为该法术耗材）</t>
  </si>
  <si>
    <t>Find the Path</t>
  </si>
  <si>
    <t>V、S、M（一套占卜用具，比如骨头、象牙、卡片、牙齿、雕刻符文等，其价值至少为100gp，此外还需要一个来自你所寻找地点的物件）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</si>
  <si>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</si>
  <si>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</si>
  <si>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（一套占卜用具，比如骨头、象牙、卡片、牙齿、雕刻符文等，其价值至少为100gp，此外还需要一个来自你所寻找地点的物件）</t>
  </si>
  <si>
    <t>Guards and Wards</t>
  </si>
  <si>
    <t>V、S、M（燃烧的熏香，少许硫磺和油，一条打结的绳子，少量土巨怪的血和一把至少价值10gp的小型银权杖）</t>
  </si>
  <si>
    <t>你制造一个保护区域覆盖至多2,500 平方尺地面面积（一个50 尺的方形区域，或一百个5 尺的方状区域，或二十五个10 尺的方形区域）。保护区域至高可达20 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过道Corridors。浓雾充斥受保护的过道使其处于重度遮蔽。
此外，除你以外的生物在过道上遇到需要选择方向的分叉路口时，有50% 机会误认错的方向为正确的前进方向。
门Door。
所有保护区域内的门都以魔法上锁，等同于使用法术秘法锁封门。此外，你还可以用一个幻像掩盖至多10 扇门（相当于法术次级幻像minor illusion 的虚幻物件效果）来让其看起来有如平整的墙面。
楼梯Stairs。
蛛网从上到下布满了保护区域内的楼梯，等同于法术蛛网术web 的效应。铜墙铁壁法术持续时，即使这些蛛网被焚烧或撕毁，也可以在10 分钟后重生。
其他法术效应。
你可以在要塞的保护区域内布置你指定的下列魔法效应之一。
在四条走廊布置舞光术dancing lights。你可以安排一个简单的灯光舞动程序，使其在铜墙铁壁法术持续时反复运作。
在两个地点布置魔嘴术magic mouth。
在两个地点布置臭云术stinking clound。其云雾显现在由你安排的位置。在铜墙铁壁法术持续时，即使其云雾被风吹散也会在10 分钟后重新生成。
在一条走廊或一个房间布置一个持续存在的造风术gust ofwind。
在一个地点布置一个暗示术suggestion。你指定一个至多5 尺的方状区域，任何进入或穿过该区域的生物将受到法术的精神暗示。
整个保护区域辐射着魔法。对某个特定效应施展解除魔法dispel magic 时，如果法术成功则移除该特定效应。
当你在一年里对同一处每日连续施展该法术后，将创造出一个永久的铜墙铁壁效果。</t>
  </si>
  <si>
    <t>（燃烧的熏香，少许硫磺和油，一条打结的绳子，少量土巨怪的血和一把至少价值10gp的小型银权杖）</t>
  </si>
  <si>
    <t>Otto’s Irresistible Dance</t>
  </si>
  <si>
    <t>指定施法距离内一个你能看见的生物，并使目标生物会在原地跳起滑稽的舞蹈：它将在持续时间内不住的曳步、踏脚和蹦跳。
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</si>
  <si>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Programmed Illusion</t>
  </si>
  <si>
    <t>V、S，材料（一点羊毛和价值至少25gp的翡翠粉末）</t>
  </si>
  <si>
    <t>直至被驱散</t>
  </si>
  <si>
    <t>你在施法距离内创造一个幻象，其外观为一个物件，一个生物或其他可视的现象，并使其在特定情况下激活。该幻象在被激活前无法被察觉。它必须不大于30 尺立方区域，而你将在施放该法术时决定幻像该如何行动和发出什么声音。而这种按脚本执行的表演可以持续至多5 分钟。
你所指定的情况发生时，幻像会迅速成型并按设定的方式表演。表演结束后，幻象将消失并潜伏10 分钟。这段时间过后，幻像就可以再次被激活。
触发幻象的情况可以是一般事件，也可以按你的要求进行细化，但是它必须是发生在目标区域周边30 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 的智力（调查）检定，以判定是否看穿幻象。
辨出幻象的生物可以看穿该影像，其产生的声响对该生物而言显得虚假。</t>
  </si>
  <si>
    <t>（一点羊毛和价值至少25gp的翡翠粉末）</t>
  </si>
  <si>
    <t>Create Undead</t>
  </si>
  <si>
    <t>牧师 邪术师 法师</t>
  </si>
  <si>
    <t>V、S、M（一个装满坟土的陶壶和一个装满苦水的陶壶，并为每具尸体准备一枚150gp的黑玛瑙）</t>
  </si>
  <si>
    <t>在施法距离内指定至多三具中型或小型类人生物遗体，并使每具受术尸体变成一只受你控制的食尸鬼ghoul（这些生物的具体游戏资料由DM 掌控）。该法术只能在夜晚施展。
在你的任一回合内，你可以使用一个附赠动作并以精神命令操纵120 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被操纵的生物只会在24 小时内服从你的命令。如果你在当前的24 小时时间段终止前再次施展此法术，则你对该生物的操纵时间再延长24 小时。法术的此种用法只能延长你对至多三个你使用此法术所创造生物的控制时间，而不会创造新的生物。
升环施法效应。
使用7 环法术位施展该法术时，你可以唤起或者维持四只食尸鬼。使用8 环法术位施展该法术时，你可以唤起或维持五只食尸鬼，或者两只妖鬼，或者两个尸妖。当你使用9 环法术位施展该法术时，你可以唤起或维持六只食尸鬼，或者三只妖鬼，或者三个尸妖，或者两个木乃伊。</t>
  </si>
  <si>
    <t>（一个装满坟土的陶壶和一个装满苦水的陶壶，并为每具尸体准备一枚150gp的黑玛瑙）</t>
  </si>
  <si>
    <t>Heal</t>
  </si>
  <si>
    <t>指定施法距离内一个你能看见的生物。汹涌澎湃的正能量将充盈该生物，使其回复70 点生命值。该法术也会终止正在影响目标的目盲、耳聋以及任何疾病效应。该法术对构装体与不死生物无效。
升环施法效应。
使用7 环或更高法术位施展该法术时，你使用的法术位每比6 环高一环，治疗量就增加10 点。</t>
  </si>
  <si>
    <t>Hero’s Feast</t>
  </si>
  <si>
    <t>V、S、M（一个价值至少1,000gp的镶饰宝石的碗，作为法术的耗材）</t>
  </si>
  <si>
    <t>你创造出一席盛宴，其中包括了上等的食物和饮品。宴席需要1 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 点，并获得等量的生命值。这些增益将持续24 小时。</t>
  </si>
  <si>
    <t>（一个价值至少1,000gp的镶饰宝石的碗，作为法术的耗材）</t>
  </si>
  <si>
    <t>Blade Barrier</t>
  </si>
  <si>
    <t>你立起一道由旋转的魔法利刃组成的墙。墙壁出现在施法距离内一个你指定的位置，并维持到法术持续时间结束。你可以选择创造长不过100 尺、高不过20 尺、厚不过5 尺的直墙；或是直径不过60 尺、高不过20 尺、厚不过5 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</si>
  <si>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Forbiddance</t>
  </si>
  <si>
    <t>6环/防护（仪式）</t>
  </si>
  <si>
    <t>V、S、M（少量圣水，稀有焚香，以及至少价值1,000gp的红宝石粉末）</t>
  </si>
  <si>
    <t>1日</t>
  </si>
  <si>
    <t>你创造一个对抗魔法旅行的结界，该结界区域至多覆盖40000 平方尺地面及其上30 尺高空。在法术持续时间内，生物无法传送进区域内或使用传送门（诸如法术异界之门gate 的作用）进入其内。该法术使该区域无法进行位面旅行，因此生物无法通过星界位面，以太位面，妖精荒野，堕影冥界，或是通过法术异界传送plane shift 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 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 日每日施展禁制术来使其效应持续至被解除，并在最后一次施法时将该法术对材料成分消耗殆尽。</t>
  </si>
  <si>
    <t>（少量圣水，稀有焚香，以及至少价值1,000gp的红宝石粉末）</t>
  </si>
  <si>
    <t>Harm</t>
  </si>
  <si>
    <t>你将致命的病害释放到施法距离内一个你能看见的生物身上。目标必须进行一次体质豁免，豁免失败则受到14d6 的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</si>
  <si>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Planar Ally</t>
  </si>
  <si>
    <t>你祈求一个异界个体的援助。你必须对该存在个体有所了解，它可以是一个神祗，一位原祖，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 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 gp的报酬。一个可以按小时计算的任务需要每小时1,000 gp 的报酬。一个可以按日计算的任务（至多10 日）需要每日10,000 gp的报酬。DM 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</si>
  <si>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Word of Recall</t>
  </si>
  <si>
    <t>你和你身边5 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</si>
  <si>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Contingency</t>
  </si>
  <si>
    <t>V、S、M（一尊你自己的塑像，其材质为象牙并以宝石作装饰，其价值至少为1,500gp）</t>
  </si>
  <si>
    <t>选择一个你可以施展的5 环或更低环阶法术，该法术的施法时间必须为1 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waterbreathing 一起施放可以确保水下呼吸可以在你被水或其他液体淹没时自动触发其效应。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</si>
  <si>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（一尊你自己的塑像，其材质为象牙并以宝石作装饰，其价值至少为1,500gp）</t>
  </si>
  <si>
    <t>Drawmij’s Instant Summons</t>
  </si>
  <si>
    <t>6环/咒法（仪式）</t>
  </si>
  <si>
    <t>V、S、M（一枚价值1000gp的蓝宝石）</t>
  </si>
  <si>
    <t>你触碰一个重量至多10 磅，长度至多6 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 或成功生效的类似效应作用于这颗蓝宝石时，将提前终止该法术。</t>
  </si>
  <si>
    <t>（一枚价值1000gp的蓝宝石）</t>
  </si>
  <si>
    <t>Magic Jar</t>
  </si>
  <si>
    <t>V、S、M（一块宝石或水晶，或者一个圣物匣，又或者他带装饰的容器，其价值不能低于500gp）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</si>
  <si>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尺的距离，或者回到你仍活着的身体中去（并终止该法术），或者尝试占据另一个类人生物的身体。
你可以附身于任何距你100 尺内你能看见的人形生物（受法术防护善恶 或防护法阵 所保护的生物无法被附身）。该目标必须进行一次魅力豁免。豁免失败，则你的灵魂进入目标的身体，而目标的灵魂被困在容器中；豁免成功，则目标抵抗了你的附身，而随后的24 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 尺内，则你可以用一个动作从宿主的身体回到容器中，并让宿主的灵魂回到它自己的身体里。在你处于宿主的身体中时，如果宿主的身体死亡，则你必须进行一次对抗该法术豁免DC 的魅力豁免。豁免成功且容器距你不超过100 尺时，你回归容器内。豁免失败则即时死亡。
如果容器被毁或者法术终止，则你的灵魂会立即回到你自己身体里。如果你在尝试回到自己身体时，身体距你超过100 尺或者你的身体已死，则你也随之死亡。如果容器被毁时另一生物的灵魂在容器内，且该生物的身体仍然活着并距它不超过100 尺，则其灵魂会回到身体里。否则该生物死亡。
该法术终止时，其容器将随之被摧毁。</t>
  </si>
  <si>
    <t>（一块宝石或水晶，或者一个圣物匣，又或者他带装饰的容器，其价值不能低于500gp）</t>
  </si>
  <si>
    <t>Otiluke’s Freezing Sphere</t>
  </si>
  <si>
    <t>V、S、M（一个小水晶球）</t>
  </si>
  <si>
    <t>一个冷冻能量形成的冰球从你的指尖射向施法距离内一处指定点，并在该处迸裂为一个半径60 尺的球状区域。区域内的每个生物必须进行一次体质豁免。豁免失败者将受到10d6 点冷冻伤害。豁免成功则伤害减半。
如果冰球击中某处水体或者某处以水分为主的液态表面（不包括由水组成的生物），其触及的水面将凝结出6 寸厚、30 尺宽的方形冻结区域。任何在其中游泳的生物将被冰面所困。受困的生物可以用一个动作进行一次对抗法术豁免DC 的力量检定以破冰挣脱。
你可以在完成该法术后延迟发射冰。此时你手上将形成一个弹丸般大小，摸起来感觉冰冷的小冰球。你或者任意从你手上获得冰球的生物可以随时将冰球投出去（以40 尺射程）或者用投石索将其弹射出去（以投石索的正常射程），并以冲击将其打破再产生正常施法时相同的效应。你还可以将冰球设置好，然后使其在不需要打破的情况下维持1 分钟后自动迸裂。
升环施法效应。
使用7 环或更高法术位施展该法术时，你使用的法术位每比6 环高一环，其伤害就增加1d6。</t>
  </si>
  <si>
    <t>（一个小水晶球）</t>
  </si>
  <si>
    <t>Wall of Ice</t>
  </si>
  <si>
    <t>V、S、M（一小块石英）</t>
  </si>
  <si>
    <t>你在施法距离内一块坚实的地面上创造出一面冰墙。你可以将它塑成半球状或球状（半径最长10 尺），也可以塑成一个由十个10 尺×10 尺的方板块构成的平面。每块板块都必须要和至少一块其他板块相连。不管形状如何，冰墙总是厚1 尺并持续存在至法术终止。
如果冰墙形成时穿过了某生物所占据的空间，则该生物会被推到冰墙的一侧且必须进行一次敏捷豁免。豁免失败者将受到10d6 点冷冻伤害，豁免成功则伤害减半。
作为一个物件，冰墙可以因受到伤害而被打破。冰墙的AC为12，每段10 尺长的冰墙有30 点生命值，而且冰墙对火焰伤害具有易伤。当一段10 尺长的冰墙的生命值降至0 时，这段冰墙就会被摧毁，但原地会留下一片冰冷刺骨的空气。生物在一个回合内第一次通过这片寒气时，必须进行一次体质豁免。豁免失败者将受到5d6 的冷冻伤害，成功则伤害减半。
升环施法效应。
使用7 环或更高法术位施展该法术时，你使用的法术位每比6 环高一环，冰墙出现时造成的伤害就增加2d6，并且通过寒气时受到的伤害也增加1d6。</t>
  </si>
  <si>
    <t>（一小块石英）</t>
  </si>
  <si>
    <t>Conjure Fey</t>
  </si>
  <si>
    <t>德鲁伊 邪术师</t>
  </si>
  <si>
    <t>你召唤一个挑战等级6 或更低的精类生物，或者一个挑战等级6 或更低的野兽形态精魂。被召唤生物显现在施法距离内一处你能看见且未被占据的空间。该精类生物在生命值降至0 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 小时后消失不见。
该精类生物的具体数值由DM 掌控。
升环施法效应。
使用7 环或更高法术位施展该法术时，你使用的法术位每比6 环高一环，召唤生物挑战等级就增加1。</t>
  </si>
  <si>
    <t>Move Earth</t>
  </si>
  <si>
    <t>V、S、M（一把铁刃以及一个小袋子，袋内装着黏土、壤土、砂土等混成的泥土）</t>
  </si>
  <si>
    <t>专注，至多2小时</t>
  </si>
  <si>
    <t>指定施法距离内边长不大于40 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 尺方状区域，则你可以创造一根至多20 尺高的立柱，将地面升高或降低至多20 尺，挖一条至多20 尺深的壕沟，等等。这些改变需要花10 分钟的时间来完成。
每为法术维持10 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</si>
  <si>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（一把铁刃以及一个小袋子，袋内装着黏土、壤土、砂土等混成的泥土）</t>
  </si>
  <si>
    <t>Sunbeam</t>
  </si>
  <si>
    <t>自身（60尺直线）</t>
  </si>
  <si>
    <t>V、S、M（一面放大镜）</t>
  </si>
  <si>
    <t>一道耀眼的光芒从你手中射出并形成一条5 尺宽、60 尺长的线状区域。所有区域内的生物必须进行一次体质豁免。豁免失败者将受到6d8 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 尺的明亮光照，以及该范围外30 尺的微光光照。这些光芒均视为等同于阳光。</t>
  </si>
  <si>
    <t>（一面放大镜）</t>
  </si>
  <si>
    <t>Transport via Plants</t>
  </si>
  <si>
    <t>该法术将施法距离内一棵大型或更大的静态植物用魔法与同位面上任意距离外的另一棵植物相连接。施法时，你必须见过或触碰过出口植物至少一次。此后，任何生物都可以在法术持续时间内花费5 尺移动力进入目标植物内，然后从出口植物处出来。</t>
  </si>
  <si>
    <t>Wall of Thorns</t>
  </si>
  <si>
    <t>V、S、M（一把荆棘）</t>
  </si>
  <si>
    <t>你创造出一面坚韧、纠缠、长满锐利棘刺的灌木之墙。棘墙出现在施法距离内一处坚实的地面上并且持续存在至法术终止。
你可以选择创造长不过60 尺、高不过10 尺、厚不过5 尺的直墙；或是直径不过20 尺、高不过20 尺、厚不过5 尺的环形墙。此外，棘墙还会阻挡视线。
棘墙出现时所有位于其内的生物要进行一次敏捷豁免。豁免失败者将受到7d8 点穿刺伤害，豁免成功则伤害减半。
生物可以移动穿过棘墙，但这是个十分缓慢且痛苦的过程。
生物在棘墙中每移动1 尺要消耗4 尺的移动力。另外，生物在一个回合内第一次进入棘墙或在棘墙里结束其回合时，必须进行一次敏捷豁免。豁免失败者将受到7d8 点挥砍伤害，豁免成功则伤害减半。
升环施法效应。
使用7 环或更高法术位施展该法术时，你使用的法术位每比6 环高一环，两种类型的伤害就都增加1d8。</t>
  </si>
  <si>
    <t>（一把荆棘）</t>
  </si>
  <si>
    <t>Wind Walk</t>
  </si>
  <si>
    <t>V、S、M（明火和圣水）</t>
  </si>
  <si>
    <t>你和施法距离内你能看见的至多十个自愿生物在法术持续时间内变为气化形态，其外观有如一团云雾。处于该云雾形态的生物具有300 尺的飞行速度，并且对非魔法武器造成的伤害具有抗性。该形态下的生物除疾走Dash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 分钟内以每轮60 尺的速度降落直至安全着陆。如果该生物降落1 分钟后还没着陆，则在余下的距离中它将会如正常情况一样坠落。</t>
  </si>
  <si>
    <t>（明火和圣水）</t>
  </si>
  <si>
    <t>Investiture of Ice E</t>
  </si>
  <si>
    <t>直到此法术终止前，寒冰浸沐你的躯体，你得到如下增益：
你免疫冷冻伤害，并对火焰伤害具有抗性。
你在由冰或雪形成的困难地形上移动时无需消耗额外的移动力。
以你为中心，周围 10 尺半径的区域被冻结，除你之外的生物将该区域视为困难地形。此范围会随着你移动。
你可以用你的动作创造出一道 15 尺的寒风锥，以你张开的手为起始点，向由你指定的任意方向延伸。锥状区域的每个生物都必须进行一次体质豁免。豁免失败者将受 4d6 的冷冻伤害，成功则伤害减半。豁免失败的生物，直到你的下个回合开始前，其速度减半。</t>
  </si>
  <si>
    <t>Investiture of Stone E</t>
  </si>
  <si>
    <t>直到法术终止，岩石颗粒布满你的躯体，你得到如下增益：
你对于来自非魔法武器的钝击、穿刺和挥砍伤害具有抗性。
你可以用你的动作，在以你为中心周围 15 尺半径的地表创造出一阵小型地震。地表上的其他生物必须成功通过一次敏捷豁免，否则将失足倒地。
你在由泥土或岩石造成的困难地形上移动时无需额外消耗移动力。你可以像是穿过空气一样穿过固态的泥土或石头。你穿越时不会改变物质的凝固状态，但你不能在物质中停止移动。若你在其中停止移动，则你将被排出到最近的未被占据空间内，且该法术终止，你直到自己的下个回合结束前陷入震慑状态。</t>
  </si>
  <si>
    <t>Investiture of Wind E</t>
  </si>
  <si>
    <t>直到此法术终止，风在你的身旁回旋，而你得到下述增益：
对你发动的远程武器攻击，其攻击检定具有劣势。
你得到 60 尺的飞行速度。若此法术终止时，你仍处于飞行状态，则你将坠落，除非你有其他方法避免坠落。
你可以用你的动作指定周边 60 尺范围内你能看到的一点，并以该点为中心创造出 15 立方尺的呼啸之风。每个在该空间内的生物必须进行一次体质豁免。豁免失败者将受 2d10 的钝击伤害，豁免成功者伤害减半。若体型不超过大型的生物在此豁免中失败，则该生物将沿远离该空间中心的方向上推离 10 尺。</t>
  </si>
  <si>
    <t>Primordial Ward E</t>
  </si>
  <si>
    <t>你在本法术的持续时间内具有对强酸，冷冻，火焰，闪电和雷鸣伤害的抗性。
你受到上述类型之一的伤害时，可以用你的反应来得到对这些伤害类型的免疫，判定受伤时也包含触发式伤害。实现该操作后，你的抗性效应终止，而你免疫效应持续到你的下个回合结束前，然后此法术终止。</t>
  </si>
  <si>
    <t>Bones of the Earth E</t>
  </si>
  <si>
    <t>你令施法距离内你能看见的某处地面升起六根石柱。
每根石柱为直径5 尺，高度至多30 尺的圆柱。升起石柱的地表必须具有足以容纳其直径的空间，你可以指定一个体型不超过中型的生物脚下地面作目标。每根石柱的AC为5，具有30点生命值。石柱生命值被降为0时变为碎石，在其周边10尺 半径区域内形成一片困难地形区域。碎石在清理前一直存在。
若一根石柱在某生物脚下升起，则该生物必须成功通过一次敏捷豁免否则将被石柱顶起。生物可以主动选择在此豁免中失败。
若一根石柱因为天花板或其他障碍未能达到其最大高度，则石柱上的生物受6d6的钝击伤害，并被束缚，困在石柱与障碍物间动弹不得。该被束缚生物可以用一个动作进行一次力量或敏捷检定（由该生物选择），以对抗此法术的豁免DC。若成功，则该生物不再被束缚，必须选择从石柱上移动下来或摔落下来。
升环施法效应。
使用7 环或更高环法术位施展该法术时，你使用的法术位每比7环高一环，便能额外升起两根石柱。</t>
  </si>
  <si>
    <t>Crown of Stars</t>
  </si>
  <si>
    <t>7环/塑能</t>
  </si>
  <si>
    <t>七个星型的光点在你的头顶浮现并环绕，直到法术结束。你可以使用一个附赠动作消耗一个光点袭向在你120英尺内的一个生物或物品。当你这么做时，进行一次远程法术攻击检定。若击中，目标受到4d12光耀伤害。无论你击中与否光点都将被消耗。如果你消耗了最后一枚光点，法术将提前结束。
如果你还留存4个或更多的光点，它们会发出30英尺半径的明亮照明和额外30英尺的微亮照明。如果你还留存1至3个光点，它们只会发出30尺的微亮照明。
升环效果：当你使用8环或更高的法术位施放该法术时，使用的法术位每高一环，你就可以多创造两枚额外的光点。</t>
  </si>
  <si>
    <t>Power Word Pain</t>
  </si>
  <si>
    <t>7环/附魔</t>
  </si>
  <si>
    <t>你说出饱含力量的真言，引发距离内一个你可见生物的剧痛波浪。如果目标的生命值为100点或更少，它将遭受强烈的痛苦。否则，法术将对它没有作用。免疫魅惑的生物同样不受这个法术影响。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</si>
  <si>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Temple of the Gods</t>
  </si>
  <si>
    <t>7环/咒法</t>
  </si>
  <si>
    <t>V、S、M（一个价值至少5GP的圣徽）</t>
  </si>
  <si>
    <t>你让一座神庙在闪耀的光辉中出现。选择施法距离内一处你可见的地面，为了容纳神庙这个空间必须是一个未被占用的立方体，每边至少120英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这个法术的时候，你选择数种生物类型被神庙所敌对。从以下列表中选择一项或更多：天界生物，元素生物，精类，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最后，每次在神庙里的任何生物从1环或更高环的法术中恢复生命时，它将恢复等同于你感知调整值的额外生命值（至少1点）。
神庙由不透明的魔法力场所创造并延伸至以太位面，因此会阻碍任何试图从以太旅行中进入神庙内部的行为。没有东西能物理性地穿过神庙的外部。它不会被解除魔法所解消，也不会受到反魔场的影响。一道解离术能立即摧毁神庙。
如果你在一年中每天都对同一地点施展这个法术，法术的效果将持续永久。</t>
  </si>
  <si>
    <t>（一个价值至少5GP的圣徽）</t>
  </si>
  <si>
    <t>Whirlwind</t>
  </si>
  <si>
    <t>V、M（一根稻草）</t>
  </si>
  <si>
    <t>一阵呼啸的旋风出现在你指定的地表上可见的一点。旋风半径为10英尺，高度为30英尺，是一个以指定点为中心的柱状体。直到此法术终结，你可以使用你的动作来在水平的任何方向上移动至多30英尺。旋风会吸入所有固定或未被穿戴或持握的，不大于中型Medium的物体。
在回合中第一次进入旋风的生物，或所在空间被旋风进入的生物（包括旋风第一次出现时的）必须进行一次敏捷豁免检定。豁免失败的生物受到10d6点钝击伤害，豁免成功者只受到上述伤害的一半。此外，体型不超过大型Large的生物若未通过豁免则必须通过一次力量豁免检定，否则会被旋风束缚，直到法术终结。当一个生物在被旋风束缚的条件下开始其回合时，除非其达到了顶点，其将被向上方推动5英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被束缚的生物可以使用一个动作来进行一次力量或敏捷检定，对抗你的法术豁免DC。若成功，该生物不再被旋风束缚，并被向随机方向抛离3d6×10英尺远。</t>
  </si>
  <si>
    <t>（一根稻草）</t>
  </si>
  <si>
    <t>Finger of Death</t>
  </si>
  <si>
    <t>7环/死灵</t>
  </si>
  <si>
    <t>你发出负能量并贯穿施法距离内你能看见的一个生物使其承受苦痛。该生物必须进行以此体质豁免。豁免失败则受到7d8+30 点黯蚀伤害，豁免成功则伤害减半。
被该法术杀死的类人生物将在你下一回合开始时唤起为一只受你操控的僵尸，并在随后尽力遵循你的语言指令。</t>
  </si>
  <si>
    <t>Delayed Blast Fireball</t>
  </si>
  <si>
    <t>V、S、M（一颗蝙蝠粪和硫磺混合的小球）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</si>
  <si>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 尺内的每个生物都必须进行一次敏捷豁免。豁免失败者将承受全部累积的火焰伤害，豁免成功则伤害减半。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尺。当珠子被生物或固态物件撞击时，法术立即终止并且触发爆炸效应。火焰伤害区域内没被着装携带的易燃物品将被烈焰点燃。
升环施法效应。
使用8 环或更高法术位施展该法术时，你使用的法术位每比7 环高一环，基础伤害就提高1d6。</t>
  </si>
  <si>
    <t>（一颗蝙蝠粪和硫磺混合的小球）</t>
  </si>
  <si>
    <t>Prismatic Spray</t>
  </si>
  <si>
    <t>八条多彩射线从你的手上闪出。每条射线颜色不同且具有不同的威力和作用。在60 尺锥状区域内的每个生物必须进行一次敏捷豁免同时掷一次d8 决定生效哪种颜色的射线。
1.红red。目标豁免失败时受10d6 的火焰伤害，成功则伤害减半。
2.橙Orange。目标豁免失败时受10d6 的强酸伤害，成功则伤害减半。
3 黄Yellow。目标豁免失败时受10d6 的闪电伤害，成功则伤害减半。
4.绿Green。目标豁免失败时受10d6 的毒素伤害，成功则伤害减半。
5.蓝Blue。目标豁免失败时受10d6 的冷冻伤害，成功则伤害减半。
6.靛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7.紫Violet。目标豁免失败时陷入目盲。其必须在你下一回合开始时进行一次感知豁免。豁免成功则目盲状态终止。豁免失败则该生物被传送到另一个DM 指定的位面并且不再目盲。（典型情况是不在家乡位面的生物被驱逐回家，而其他生物通常会被传送到星界或以太位面。）
8.特殊Special。目标被两条射线打中。再掷两次，结果为8时再重掷。</t>
  </si>
  <si>
    <t>Forcecage</t>
  </si>
  <si>
    <t>100尺</t>
  </si>
  <si>
    <t>V、S、M（价值1,500gp的红宝石尘）</t>
  </si>
  <si>
    <t>你围绕施法距离内一处指定地点以魔力形成一个固定的立方状隐形监牢。你可以选择监牢的形式为笼状或密封体。
笼状监牢为各边长至多20 尺的立方体，其墙体由1/2 寸粗的力场栅栏杆组成，每杆指间相距1/2 寸。
密封监牢为各边长至多10 尺的立方体，其墙体为由力场墙密封，并阻隔一切物质和法术从牢笼里进出。
施展该法术时，所有完全在法术区域内的生物将被牢笼困住。
部分处于区域内或者体型比区域更大的生物则被从区域中心向外推开，直至其完全离开该区域。
牢笼内的生物不能以非魔法的手段离开。如果该生物试图使用传送或跨位面旅行来离开牢笼，则其必须线进行一次魅力豁免。
豁免成功则该生物可以用该魔法离开牢笼。豁免失败者将无法以此离开牢笼并浪费掉该法术或效应。该牢笼同时延伸至以太位面从而屏蔽掉从以太位面旅行逃脱。
该法术不能被法术解除魔法dispel magic 所解除。</t>
  </si>
  <si>
    <t>（价值1,500gp的红宝石尘）</t>
  </si>
  <si>
    <t>Teleport</t>
  </si>
  <si>
    <t>该法术将你以及施法距离内你能看见的至多八个自愿生物，或者施法距离内你能看见的一个物件传送到你指定的某处地点。
如果你指定一个物件作为法术目标，则该物件必须能被整个放进一个边长10 尺的立方体中，且必须没有被一个非自愿生物所着装或携带。
你只能指定你知道的地点作为传送目的地，而目的地必须与你位于同一个存在位面中。你对目的地的熟悉程度决定你是否能成功抵达。DM 可以掷一个d100 并查阅下表。
熟悉程度 遇难 相似地区 目标错误 目标正确
永久法阵   —    —      —    01~100
相关物件   —    —      —    01~100
非常熟悉 01~05  06~13   14~24  25~100
偶尔见过 01~33  34~43   44~53  54~100
见过一次 01~43  44~53   54~73  74~100
听过描述 01~43  44~53   54~73  74~100
查无此地 01~50  51~100   —    —
熟悉程度Familiarity。
“永久法阵”指你知道某永久传送法阵的相关符文序列。“相关物件”指你持有一件在过去六个月内从目标地点取来的物件，例如某个法师图书馆内的一本书，某个皇家卧室里床上的亚麻线或某巫妖陵墓里的一块大理石。“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查无此地”指根本不存在的地点。也许你尝试探知敌人的密室但看到的只是幻像，或者是一个你曾经熟悉但如今已不再存在的地点。
正中目标on Target。
你和你的队伍（或目标物件）出现在你意料中的地点。
偏离目标off Target。
你和你的队伍（或目标物件）出现在目的地随机方向上随机距离的一点。距离误差等于原定移动距离×1d10×1d10×1%。例如，假设你尝试移动120 里而不幸偏离目标，并且在掷距离误差时两个d10 投出了5 和3，那么你的传送距离误差是原定移动距离的15%，也就是18 里。DM 通过掷一次d8 来判误差出现在目的地的哪个方向。1 为正北，2 为东北，3 为正东，依此类推。如果你们想要传送到一个海滨城市但却出现在离岸18 里远的海上，那你们可有麻烦了。
相似地区Similar Area。
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
该法术的意外魔法效果导致这次旅行特别艰难。尝试传送的所有生物（或目标物件）受到3d10 点力场伤害，随后DM 重投d100 并查阅上表来决定你们出现在哪里（你们可能再次遇难，而每次遇难都要承受该伤害）。</t>
  </si>
  <si>
    <t>Etherealness</t>
  </si>
  <si>
    <t>7环/变化</t>
  </si>
  <si>
    <t>最长8小时</t>
  </si>
  <si>
    <t>你进入当前所处位面与以太位面边缘的重叠空间。你可以在法术持续时间内一直呆在该以太边缘，也可以使用动作解除法术。
此时你可以向任意方向移动。如果向上或向下移动，则你移动的每尺距离需要额外消耗一尺的移动力。你可以看见并听见你原来的位面，但是所有事物都以灰度显示，而你也看不到60 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的力场伤害。
如果你正处于以太位面，或所在位面与以太位面不相连（比如某个外层位面），则该法术无效。
升环施法效应。
使用8 环或更高法术位施展该法术时，你使用的法术位每比7 环高一环，你就可以多指定三个自愿生物作为法术目标（包括你在内）。这些生物在你施法时必须在你10 尺内。</t>
  </si>
  <si>
    <t>Symbol</t>
  </si>
  <si>
    <t>7环/防护</t>
  </si>
  <si>
    <t>V、S、M（水银和磷，以及总计价值至少1000gp的钻石和蛋白石粉末，作为该法术的耗材）</t>
  </si>
  <si>
    <t>直至被解除或被触发</t>
  </si>
  <si>
    <t>持续时间施展该法术时，你在某个表面（诸如桌面、地板、墙等）或某个能被关闭以隐藏符纹的物件里（诸如书本、卷轴、宝箱等）刻画一个伤害其他生物的符纹。如果你指定某个表面，则此符纹可以覆盖周边不超过10 尺直径的区域。如果你指定某个物件，则该物件必须待在其所在位置；如果该物件从被施法位置被移动超过10 尺，则其符纹被破坏且法术不被触发即高终止。
该符纹近乎隐形，其需要以法术的豁免DC 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 尺半径的球状区域处于微光光照并持续10 分钟。该时间段过后法术即告终止。
符文生效时，所有位于球状区域内的生物即成为法术效应的目标。
生物在其回合内第一次进入该区域内或在其中结束其回合时，也同样会成为符文效应的目标。
死亡Death。
所有目标必须进行一次体质豁免，豁免失败者将受到10d10 点黯蚀伤害，豁免成功则伤害减半。
争斗Discord。
所有目标必须进行一次体质豁免。豁免失败者将在接下来的1 分钟内将不停地与其他生物争吵。该时间段内它无法进行任何有意义的沟通，并且其进行的所有攻击检定和属性检定都具有劣势。
恐惧Fear。
所有目标必须进行一次感知豁免，豁免失败者将陷入1 分钟的恐慌状态。被恐慌时，该生物将丢弃其所有持握物，并在其每回合里尽力向远离符文的方向移动至少30 尺。
绝望Hopelessness。
所有目标必须进行一次魅力豁免，豁免失败者将陷入持续1 分钟的绝望。该时间段内它不能进行攻击，也不能对任何生物使用伤害性的能力，法术或其他魔法效应。
错乱Insanity。
所有目标必须进行一次智力豁免，豁免失败者将陷入持续1 分钟的错乱。陷入错乱的生物不能执行动作，也听不懂其他生物的话语看不懂任何文字，而只会胡言乱语。此时将由DM 来控制其胡乱的移动。
苦痛Pain。
所有目标必须进行一次体质豁免，豁免失败者将因极度的痛苦而陷入1 分钟的失能状态。
睡眠Sleep。
所有目标必须进行一次感知豁免，豁免失败者将陷入10 分钟的昏迷状态。该睡眠者受到伤害时将会被惊醒，也可以被其他人用一个动作摇醒或打醒。
震慑Stunning。
所有目标必须进行一次感知豁免，豁免失败则陷入1 分钟的被震慑状态。</t>
  </si>
  <si>
    <t>（水银和磷，以及总计价值至少1000gp的钻石和蛋白石粉末，作为该法术的耗材）</t>
  </si>
  <si>
    <t>Regenerate</t>
  </si>
  <si>
    <t>V、S、M（一个转经筒和圣水）</t>
  </si>
  <si>
    <t>你触碰一个生物并加快其自愈速度。目标恢复4d8+15 点生命值。在法术持续时间内，目标在它的每回合开始时回复1 点生命值（每分钟10 点）。
如果目标失去了某些身体部位（手指、腿、尾巴等等），则这些部位将在2 分钟后会重新长出。如果你持有失去的身体部位并且将其手动固定到创口上，则该法术会使该身体部位和创口立即接合。</t>
  </si>
  <si>
    <t>（一个转经筒和圣水）</t>
  </si>
  <si>
    <t>Resurrection</t>
  </si>
  <si>
    <t>V、S、M（一颗至少价值1000gp的钻石，作为该法术的耗材）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</si>
  <si>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 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</si>
  <si>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（一颗至少价值1000gp的钻石，作为该法术的耗材）</t>
  </si>
  <si>
    <t>Mordenkainen’s Magnificent Mansion</t>
  </si>
  <si>
    <t>V、S、M（一个象牙雕琢的拱门小模型、一块打磨过的大理石和一把微型银汤匙，每件物品至少价值5gp）</t>
  </si>
  <si>
    <t>你在施法距离内创造出一个异次元的居所，并维持至法术持续时间结束。居所唯一的入口宽5 尺，高10 尺而微微发光，其具体位置由你指定。只要该入口保持开启，你和你施展该法术时指定的任意生物都可以进入该异次元居所中。你可以在距入口不超过30 尺处开启或关闭入口。而入口关闭时即其处于隐形状态。
入口内是一个连接着许多房间的华丽大厅。其内空气洁净清新而温暖舒适。
你可以随意创造自己喜欢的房间构造，但其总体积不得超过50 个边长10 尺的立方体。房间内依你喜好配置好家具和装饰，其内储备的食材足以制作供100 人享用的九道菜大餐。一组共100 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里开宅子。由该法术创造的家具和其他物品如果被移出豪宅，就会消散成烟雾。该法术终止时，任何处于该异次元空间内的生物都将被移出空间内，并出现在距离入口最近的开放空间内。</t>
  </si>
  <si>
    <t>（一个象牙雕琢的拱门小模型、一块打磨过的大理石和一把微型银汤匙，每件物品至少价值5gp）</t>
  </si>
  <si>
    <t>Mordenkainen’s Sword</t>
  </si>
  <si>
    <t>V、S、M（一把剑柄和柄端由铜与锌打造的微缩铂金剑，价值250gp）</t>
  </si>
  <si>
    <t>你在施法距离内创造出一个闪闪发光的剑形力场，并使其在法术持续时间内维持存在。
秘法剑出现时，你可以对该剑5 尺内的一个自选目标发动一次近战法术攻击。命中时，目标受到3d10 点力场伤害。在法术持续时间内，你可以在自己回合使用一个附赠动作将剑移动至多20 尺。移动的目的地你必须能够看见，而移动完成后你还可以对同一目标或不同的目标再发动一次该攻击。</t>
  </si>
  <si>
    <t>（一把剑柄和柄端由铜与锌打造的微缩铂金剑，价值250gp）</t>
  </si>
  <si>
    <t>Project Image</t>
  </si>
  <si>
    <t>7环/幻术</t>
  </si>
  <si>
    <t>500英里</t>
  </si>
  <si>
    <t>V、S、M（价值至少5gp的材料制成的一个你自身的微缩模型）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</si>
  <si>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 的智力（调查）检定，以判定是否看穿幻象。辨出幻象的生物可以看穿该影像，其产生的声响对该生物而言显得虚假。</t>
  </si>
  <si>
    <t>（价值至少5gp的材料制成的一个你自身的微缩模型）</t>
  </si>
  <si>
    <t>Mirage Arcane</t>
  </si>
  <si>
    <t>你使至多1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</si>
  <si>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Plane Shift</t>
  </si>
  <si>
    <t>牧师 德鲁伊 术士 邪术师 法师</t>
  </si>
  <si>
    <t>V、S、M（一根与某个位面完成同调，价值至少250gp的分叉金属短棒）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</si>
  <si>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</si>
  <si>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（一根与某个位面完成同调，价值至少250gp的分叉金属短棒）</t>
  </si>
  <si>
    <t>Fire Storm</t>
  </si>
  <si>
    <t>一片由烈焰形成的风暴扫过施法距离内一处你指定的区域。
该区域由至多十个10 尺立方区域组成。你可以自行安排各立方区域的组合方式，而每个立方区域必须至少有一面与其他立方区域相连。区域内每个生物必须进行一次敏捷豁免。豁免失败者将受到7d10 点火焰伤害，豁免成功则伤害减半。
风暴的烈焰将对区域内的物件造成伤害，并点燃区域内所有未被着装或携带的可燃物件。你可以选择让区域内的植物生命免受该法术效应的影响。</t>
  </si>
  <si>
    <t>Conjure Celestial</t>
  </si>
  <si>
    <t>你召唤一个挑战等级4 或更低的天界生物，并使其显现在施法范围内一处你能看见且未被占据的空间。该天界生物在生命值降至0 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 掌控。
升环施法效应。
使用9 环法术位施展该法术时，你将召唤一个挑战等级5 或者更低的天界生物。</t>
  </si>
  <si>
    <t>Divine Word</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</si>
  <si>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 小时内，该生物不能通过任何方式回到当前位面，除非使用祈愿术的效应。</t>
  </si>
  <si>
    <t>Sequester</t>
  </si>
  <si>
    <t>V、S、M（钻石、绿宝石、红宝石、蓝宝石得粉尘混合而成的粉末，其价值至少5000gp，作为该法术的耗材）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</si>
  <si>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 里内或目标在周围一英里内能看见的事件。例如：“1000 年以后”或者“当泰拉斯奎巨兽觉醒时”。如果受术者受到任何伤害，则该法术立刻终止。</t>
  </si>
  <si>
    <t>（钻石、绿宝石、红宝石、蓝宝石得粉尘混合而成的粉末，其价值至少5000gp，作为该法术的耗材）</t>
  </si>
  <si>
    <t>Simulacrum</t>
  </si>
  <si>
    <t>12小时</t>
  </si>
  <si>
    <t>V、S、M（一些雪或冰，用来给模拟对象制作一个真人大小的模型；放置在模型上的模拟对象身体的一部分，比如毛发或指甲；以及撒在分身上至少价值1500gp的红宝石粉，作为该法术的耗材）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</si>
  <si>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的稀有矿物和药草。拟像会一直持续到其生命值降至0，随后就变回冰雪并立刻融化。再次施放该法术时，任何你已用该法术创造出来并且正在活动中的分身都会立刻被摧毁。</t>
  </si>
  <si>
    <t>（一些雪或冰，用来给模拟对象制作一个真人大小的模型；放置在模型上的模拟对象身体的一部分，比如毛发或指甲；以及撒在分身上至少价值1500gp的红宝石粉，作为该法术的耗材）</t>
  </si>
  <si>
    <t>Reverse Gravity</t>
  </si>
  <si>
    <t>V、S、M（一块磁石和一些铁屑）</t>
  </si>
  <si>
    <t>该法术以施法距离内一点为中心，创造一个半径50 尺、高100 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</si>
  <si>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（一块磁石和一些铁屑）</t>
  </si>
  <si>
    <t>Whirlwind E</t>
  </si>
  <si>
    <t>一阵呼啸的旋风出现在你指定的地面一点。旋风覆盖半径 10 尺，高 30 尺的柱状区域。直到此法术终止前，你都可以用你的动作在水平的任何方向使其移动至多 30 尺。旋风会吸入所有未固定或未被着装持握的中型或更小尺寸物件。
一回合内第一次进入旋风的生物，或所在空间内被旋风没入的生物（包括旋风第一次出现时）必须进行一次敏捷豁免。豁免失败者将受 10d6 的钝击伤害，豁免成功则伤害减半。此外，该豁免失败的大型或更小体型生物必须再成功通过一次力量豁免否则被旋风束缚直至该法术终止。被旋风束缚的生物开始其自己回合时，除非其到达悬浮顶点，否则将被向上方推动 5 尺。该被束缚生物会随旋风移动，法术终止时其会摔落，除非其有其他方法保持悬浮。
该被束缚生物可以用一个动作来进行一次力量或敏捷检定，对抗你的法术豁免 DC。若成功，则该生物不再被旋风束缚，并被向随机方向抛离 1d6 × 10 尺远。</t>
  </si>
  <si>
    <t>Abi-Dalzim’s Horrid Wilting</t>
  </si>
  <si>
    <t>8环/死灵</t>
  </si>
  <si>
    <t>V、S、M（一小块海绵）</t>
  </si>
  <si>
    <t>你从以距离内由你指定的一点为中心、30英尺立方空间内的每个生物身上抽取水汽。在该区域内的每个生物必须进行一次体质豁免检定。构装生物和不死生物不受影响，而植物和水元素在进行此豁免检定时具有劣势。若豁免失败，生物将受到12d8的黯蚀伤害，而豁免成功则只受到上述伤害的一半。
在这个区域内的非魔法、非生物植物，例如树木和灌木，会立即死亡。</t>
  </si>
  <si>
    <t>（一小块海绵）</t>
  </si>
  <si>
    <t>Maddening Darkness</t>
  </si>
  <si>
    <t>8环/塑能</t>
  </si>
  <si>
    <t>V、M（一滴沥青与一滴水银的混合物）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</si>
  <si>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尖叫声，低语声，以及疯狂的大笑声时不时能从球形范围内听见。每当一名生物在范围内开始回合，它必须进行一次感知豁免，失败时将受到8d8精神伤害，成功则只承受一半。</t>
  </si>
  <si>
    <t>（一滴沥青与一滴水银的混合物）</t>
  </si>
  <si>
    <t>Illusory Dragon</t>
  </si>
  <si>
    <t>8环/幻术</t>
  </si>
  <si>
    <t>你汇聚、编织从堕影冥界收集的阴影物质，随后在施法距离内你可见的未占据空间创造出巨型Huge阴影龙。这个幻象会占据所在空间并持续到法术结束，就好像是一个真实生物。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英尺。选择它进行移动的任意一点，你可以使它以那个位置作为起源点并喷吐出60尺锥形的爆发性能量。在你创造巨龙时选择一种伤害类型：强酸，寒冷，火焰，闪电，暗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</si>
  <si>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Mighty Fortress</t>
  </si>
  <si>
    <t>8环/咒法</t>
  </si>
  <si>
    <t>V、S、M（一颗价值至少500GP的钻石，在施法时被消耗）</t>
  </si>
  <si>
    <t>一座岩石的堡垒从施法距离内你选择的一处可见的方形地面升起。这块区域需要在每一边上有至少120英尺，并且必须没有任何建筑或其他构造物立于其上。所有处于区域内的生物在堡垒升起时将会被无害地举起。
这座堡垒有4个方形的塔楼，每一个都有20英尺的边长和30英尺的高度，分布在堡垒的每个角上。塔楼通过每边80尺长的石墙相互连接，创造出一个封闭的区域。每一面墙的厚度都达到1英尺，由10英尺宽度和20英尺高度的石板组成。每块石板都与其他两块石板或是与一块石板和一座塔楼相邻接。你可以在堡垒的外墙放置4面石门。
在封闭区域内树立着一座小城堡。城堡拥有50尺边长的方形基座，并且有3层楼，每一层的天花板都有10英尺高。每一层都可以以你喜欢的方式划分出许多房间，但每个房间都至少要有5英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这个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英尺x10英尺的岩石部件都有15点AC，以及每英寸厚度30点的生命值。它免疫毒素和精神伤害。将某一部分的岩石生命值降低至0点会摧毁它，并且也许会引起与它连接的部分变形和垮塌，具体由你的DM裁量。
在7天之后，或当你在别处再次施展这个法术，堡垒会无害地坍塌并沉入地面，把其中的任何生物安全地留在地上。
在一年之间，每7天一次在相同的位置施展这个法术会让堡垒永久存在。</t>
  </si>
  <si>
    <t>（一颗价值至少500GP的钻石，在施法时被消耗）</t>
  </si>
  <si>
    <t>Demiplane</t>
  </si>
  <si>
    <t>你在施法距离内一处能看见的平面上创造一扇形状模糊的门。门的大小足以让中型生物在其间通行无阻。门开启时，其通向一个边长30 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</si>
  <si>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Incendiary Cloud</t>
  </si>
  <si>
    <t>一片充满了炽热灰烬的旋转烟云显现，并以施法距离内一点为中心的蔓延至半径20 尺的球状区域。烟云会绕过拐角扩散并使整个区域处于重度遮蔽，并在法术终止前持续存在。此外烟云还可以被和风或强度等级更高的风势（风速至少每小时10 里）所吹散。
烟云出现时，每个处在其内的生物都必须进行一次敏捷豁免，豁免失败者将受到10d8 的火焰伤害，豁免成功则伤害减半。生物在一个回合内第一次进入烟云内，或者在烟云内结束其回合时，也必须进行该豁免。
在你的每回合开始时，烟云会向你指定的方向直线移动10尺。</t>
  </si>
  <si>
    <t>Glibness</t>
  </si>
  <si>
    <t>8环/变化</t>
  </si>
  <si>
    <t>直至法术终止前，你每次进行魅力检定时可以用15 代替你掷出的数值。此外，无论你说什么，判断你是否说谎的魔法都会将你的话视为真实。</t>
  </si>
  <si>
    <t>Dominate Monster</t>
  </si>
  <si>
    <t>8环/附魔</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</si>
  <si>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
使用9 环法术位施展该法术时，持续时间变为：专注，至多8 小时。</t>
  </si>
  <si>
    <t>Power Word Stun</t>
  </si>
  <si>
    <t>你说出一蕴含威力的单词，其足以使施法距离内一个你能看见的生物意志受压迫而震惊。如果你所指定的生物现有生命值为150 或更少，则其被震慑。否则该法术不产生任何效应。
被震慑目标必须在其每回合结束时进行一次体质豁免。豁免成功，则此震慑效果终止。</t>
  </si>
  <si>
    <t>Mind Blank</t>
  </si>
  <si>
    <t>8环/防护</t>
  </si>
  <si>
    <t>直至法术终止前，你所触碰的一个自愿生物对下列项目具有免疫：心灵伤害；任何可以感知到其情绪或阅读其思想的效应；预言法术；魅惑状态。当目标受祈愿术wish 或者其他威力相当的法术或效应影响心智或窃获信息时，其也能以该法术进行阻挡。</t>
  </si>
  <si>
    <t>Feeblemind</t>
  </si>
  <si>
    <t>V、S、M（一把粘土，水晶，玻璃或矿物球）</t>
  </si>
  <si>
    <t>指定施法距离内一个你能看见的生物，并尝试摧毁其理智与人格。目标受4d6 点心灵伤害且须进行一次智力豁免。
豁免失败时，该生物的智力和魅力变为1。受术生物将不能施法，也不能启动魔法物品，甚至不能听懂语言或以智慧方式沟通。但该生物仍可以辨识、跟随伙伴，甚至保护他们。
受术生物每过30 日即可在当日结束时重新进行一次豁免，豁免成功则该法术效应终止。
另外，高等复原术greater restoration，医疗术heal 或者许愿术wish 可直接终止该法术的效应。</t>
  </si>
  <si>
    <t>（一把粘土，水晶，玻璃或矿物球）</t>
  </si>
  <si>
    <t>Antimagic Field</t>
  </si>
  <si>
    <t>自身（10尺半径球状）</t>
  </si>
  <si>
    <t>V、S、M（一撮铁粉或铁屑）</t>
  </si>
  <si>
    <t>半径10 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目标效应Targeted Effects。
法术或其他魔法效应以生物或物件为目标时（比如魔法飞弹和魅惑人类），无法对力场内的目标生效。
魔法区域Areas of Magic。
法术和其他魔法效应产生的区域影响（比如火球术），无法波及力场内部。如果力场与某一魔法效应重叠，则该效应在重叠部分被压制。例如，当力场与火墙术产生的火焰重叠时，重叠区域的火焰被压制。如果重叠区域够大，甚至可以将火墙从中间截断。
法术Spell。
力场中的生物或物件身上生效的法术或其他魔法效应会受到压制。
魔法物品Magic Items。
魔法物品的属性和威能在力场中受到压制。例如，一把 +1 长剑 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魔法旅行Magic Tracel。
以力场内区域为起点或终点的传送或位面旅行效应无法生效。在力场内，通往某地、某世界或某位面的传送门，以及次元空间的入口（诸如魔绳术所创造的区域）都被暂时关闭。
生物和物件Creatures and Objects。
在力场内，由魔法创造或召唤的生物或物件暂时消失。如此消失的生物，在力场不再覆盖其所占据空间时立刻在该处重新出现。
解除魔法Dispel Magic。
法术和其他魔法效应产生的类似法术解除魔法的效应对力场无效。另外，不同来源的防魔法力场之间不会相互抵消。</t>
  </si>
  <si>
    <t>（一撮铁粉或铁屑）</t>
  </si>
  <si>
    <t>Earthquake</t>
  </si>
  <si>
    <t>V、S、M（一撮泥土、一块岩石和一坨粘土）</t>
  </si>
  <si>
    <t>你在施法距离内一处能看见的地面上指定一点，并在其上制造地震扰动。在法术持续时间内，一阵强烈的震颤在震源周边半径100 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 可以决定是否应用额外的效应。
裂缝Fissures。
在施展此法术的下一个回合开始时，法术影响区域会撕开一道道裂缝。1d6 条裂缝在DM 安排的位置出现。每条裂缝深1d10×10 尺，宽10 尺，并由影响区域的一边向另一边延伸。裂缝撕开时，将处于其位置上的生物必须成功通过一次敏捷豁免，否则将坠落其中。豁免成功则该生物移动到裂缝旁边。裂缝上的建筑会直接崩塌，详情如下。
建筑Structures。
在你施展此法术及法术终止前你的每个回合开始时，地震对影响区域内的所有建筑都造成50 点钝击伤害。建筑生命值降为0 时立即崩塌，且可能对附近生物造成伤害。与该建筑距离不大于该建筑高度一半的生物，都必须进行一次敏捷豁免。豁免失败则受5d6 的钝击伤害并应击倒地且埋于废墟之下。该生物可用一个动作来进行一次DC 20 的力量（运动）检定来尝试逃离废墟。DM 可根据废墟的情况调整DC 高低。豁免成功时伤害减半，且不会倒地或被掩埋。</t>
  </si>
  <si>
    <t>（一撮泥土、一块岩石和一坨粘土）</t>
  </si>
  <si>
    <t>Control Weather</t>
  </si>
  <si>
    <t>自身（半径5里）</t>
  </si>
  <si>
    <t>V、S、M（点燃的焚香和一点混有泥土和木屑的水）</t>
  </si>
  <si>
    <t>你在法术持续时间内控制自身5 里范围内的天气状况。施展该法术时你必须身处户外，而一旦移动到无法直接看到天空的地点时，法术也会随即终止。
本来由DM 基于季节和气候所决定的天气状况，在你施展此法术时可以由你随意操控。你可以改变降水、气温以及风势等状况。新的天气状况生效需要经过1d4×10 分钟的时间才能完成。
状况改变完成后，你可以再次对当前对天气状况作改变。法术终止时，天气将渐渐恢复成平常状态。
改变天气状况时，你可以从以下表格查明与目前对应的等级，再选择同一表格中高一级或第一级的状况作为其改变结果。改变风势时，你还可以同时改变其风向。
降水Precipitation
等级 状况
1    天晴clear
2    薄云light clouds
3    多云overcast 或有雾ground fog
4    下雨rain，下冰雹hail 或下雪snow
5    暴雨torrential rain，大冰雹driving hail 或暴雪blizzard
气温Temperature
等级 状况
1    酷热unbearable heat
2    炎热hot
3    暖和warm
4    清凉cool
5    寒冷cold
6    严寒arctic cold
风势Wind
等级 状况
1    无风calm
2    和风moderate wind
3    强风strong wind
4    狂风gale
5    暴风strom</t>
  </si>
  <si>
    <t>（点燃的焚香和一点混有泥土和木屑的水）</t>
  </si>
  <si>
    <t>Holy Aura</t>
  </si>
  <si>
    <t>V、S、M（一个价值至少1,000gp的小圣物箱，内含一件圣遗物，例如某位圣者长袍上的一片碎布，或者某本宗教典籍中的一张羊皮纸）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</si>
  <si>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
被指定生物散发出半径5 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</si>
  <si>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（一个价值至少1,000gp的小圣物箱，内含一件圣遗物，例如某位圣者长袍上的一片碎布，或者某本宗教典籍中的一张羊皮纸）</t>
  </si>
  <si>
    <t>Clone</t>
  </si>
  <si>
    <t>V、S、M（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</si>
  <si>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 日后成熟；你还可以为同一个生物制作较年轻版本的肉体。在未被使用前，该躯体会一直保持无意识的静止状态。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</si>
  <si>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</si>
  <si>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Maze</t>
  </si>
  <si>
    <t>你将施法距离内一个你能看见的生物放逐到一个迷宫般错综复杂的半位面。目标将一直留在该处直至法术持续时间结束，或者直到它逃出该迷宫。
目标可以使用其动作尝试逃出迷宫。此时它可以进行一次DC20 的智力检定，检定成功者将逃出迷宫，而该法术随之终止。
牛头人和巨牛魔进行该检定时直接成功。
法术终止时，目标将重新出现在它之前消失的位置。如果该位置被占据，则目标出现在最近的未占据位置。</t>
  </si>
  <si>
    <t>Telepathy</t>
  </si>
  <si>
    <t>V、S、M（一对相连的银戒指）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</si>
  <si>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 的目标生物理解你的言语并接收任何你所发送的感官信息。</t>
  </si>
  <si>
    <t>（一对相连的银戒指）</t>
  </si>
  <si>
    <t>Sunburst</t>
  </si>
  <si>
    <t>V、S、M（一块猫眼石和一团明火）</t>
  </si>
  <si>
    <t>灿烂的阳光照耀施法距离内指定的一点为中心周围60 尺半径的区域。所有位于该光芒中的生物必须进行一次体质豁免。豁免失败者将受到12d6 点光耀伤害，并陷入1 分钟的目盲状态。豁免成功则伤害减半，且不会陷入目盲。不死生物和泥怪进行该豁免时具有劣势。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</si>
  <si>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（一块猫眼石和一团明火）</t>
  </si>
  <si>
    <t>Tsunami</t>
  </si>
  <si>
    <t>专注，至多6轮</t>
  </si>
  <si>
    <t>你指定施法距离内一点并从中升起一面水墙。水墙长不过300 尺，高不过300 尺，厚不过50 尺，且持续存在至法术终止。水墙出现时，所有位于水墙内的生物都要进行一次力量豁免。
豁免失败者将受到6d10 点钝击伤害，豁免成功则伤害减半。水墙出现后，将在你每一回合开始时带着其内的所有生物一起向远离你的方向移动50 尺。当水墙进入一个巨型或更小体型生物所占据空间，或他们原本就处于墙内时，该生物必须进行一次力量豁免，豁免失败则受到5d10 点钝击伤害。该伤害一轮里对同一个生物只生效一次。在你的回合结束时，水墙的高度减少50 尺，且其随后每轮对生物造成的伤害也减少1d10。当水墙高度变为0 尺时法术终止。
淹没在水墙中的生物可以用游泳的方式移动，由于波涛阻力影响，该生物必须要进行一次对抗该法术DC 的力量（运动）检定以决定起能否成功移动，而检定失败者则无法移动。通过移动离开水墙区域的生物会直接掉到地上。</t>
  </si>
  <si>
    <t>Antipathy/Sympathy</t>
  </si>
  <si>
    <t>V、S、M（嫌恶术时用一小块醋浸湿的明矾；关怀术则为一滴蜂蜜）</t>
  </si>
  <si>
    <t>10天</t>
  </si>
  <si>
    <t>此法术吸引或驱赶你指定的生物。在施法距离内指定一个巨型或更小体型的物件或生物，或是一处不超过200 尺的立方区域。你指定一类智慧生物（例如红龙、地精、吸血鬼等），并为目标注入能吸引或是驱赶所选类型生物的灵光。你可以选择嫌恶或是关怀作为法术的效应。
嫌恶Antipathy。
法术的影响让你选定类型的生物不可遏止的想要远离被附魔目标。当符合条件的生物看到目标或是距离目标不足60 尺时，该生物必须进行一次感知豁免并成功通过，否则将陷入恐慌。只要还能看到目标或是在目标60 尺内，该生物就会维持恐慌状态。陷入该恐慌状态的生物必须自主移动至附近无法看到目标的安全地点。离开目标至少60 尺且无法看到目标后，该生物的恐慌状态终止。但再次看到目标或是进入目标60尺内时他也将再次陷入恐慌。
关怀Sympathy。
法术的影响让你选定类型的生物不可遏止的想要接近被附魔目标。当符合条件的生物看到目标或是距离目标不足60 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终止效应Ending the Effect。
如果受影响的生物在距离目标60 尺外或是无法看到目标的地方终止其回合，则其可以进行一次感知豁免，豁免成功则不再受法术影响并意识到厌恶感或诱惑力是来自魔法的影响。另外，在法术持续时间内，受影响的生物每24 小时可以再进行一次感知豁免。
对该法术效应豁免成功的生物在1 分钟内免疫该效应，但随后仍会受该效应影响。</t>
  </si>
  <si>
    <t>（嫌恶术时用一小块醋浸湿的明矾；关怀术则为一滴蜂蜜）</t>
  </si>
  <si>
    <t>Animal Shapes</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</si>
  <si>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</si>
  <si>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</si>
  <si>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Abi-Dalzim’s Horrid Wilting E</t>
  </si>
  <si>
    <t>你指定施法距离内一点，以该点为中心 30 尺立方区域内的每个生物将被抽出身体的水汽。该区域内的每个生物必须进行一次体质豁免。构装生物和不死生物不受影响，而植物和水元素进行此豁免时具有劣势。豁免失败者将受到 10d8 的黯蚀伤害，豁免成功则伤害减半。</t>
  </si>
  <si>
    <t>Psychic Scream</t>
  </si>
  <si>
    <t>9环/附魔</t>
  </si>
  <si>
    <t>你释放你的心灵力量，轰击施法距离内至多10个由你选择的可见生物的心智。智力值为2或更低的生物不受影响。
每个目标都必须进行一次智力豁免检定。若豁免失败，目标受到14d6精神伤害并且被震慑。豁免成功则只承受一半且不被震慑。如果一个有头的目标被这个伤害杀死，它的头会爆炸。
一个被震慑的生物可以在它每个回合结束时重新进行智力豁免。若豁免成功，震慑效果将结束。</t>
  </si>
  <si>
    <t>Mass Polymorph</t>
  </si>
  <si>
    <t>9环/变化</t>
  </si>
  <si>
    <t>V、S、M（一个毛毛虫的茧）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</si>
  <si>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</si>
  <si>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（一个毛毛虫的茧）</t>
  </si>
  <si>
    <t>Invulnerability</t>
  </si>
  <si>
    <t>9环/防护</t>
  </si>
  <si>
    <t>V、S、M（一颗价值至少500GP的精金，在施法时被消耗）</t>
  </si>
  <si>
    <t>你免疫所有伤害直到法术结束。</t>
  </si>
  <si>
    <t>（一颗价值至少500GP的精金，在施法时被消耗）</t>
  </si>
  <si>
    <t>Imprisonment</t>
  </si>
  <si>
    <t>V、S、M（一张写有对目标详细描述的牛皮纸或者一个与目标相似的小雕像，以及对应所选择法术版本的特殊材料，其价值为对应目标每粒生命骰至少花费500gp）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</si>
  <si>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埋葬Burial。
目标被深埋在远离地表的球状魔法力场内，其大小刚好能包覆住目标。任何事物均无法穿过该力场，且任何生物均无法通过传送或位面旅行进出该力场。此版本法术需要的特殊材料为一个秘银小球。
锁链Chaining。
沉重的锁链牢固地深植于大地，将目标禁锢在原地。目标被束缚至法术终止，其间它不能移动或以任何方式被移动。
此版本法术需要的特殊材料为一截精美的贵金属链。
避世监牢Hedged Prison。
该法术将目标传送至一个隔绝了传送和位面旅行的小型半位面。该半位面可以是一个迷宫，一间牢房，一座塔楼，或是任意由你选择的幽闭建筑或区域。此版本法术需要的特殊材料为一个玉制的监牢微缩模型。
微缩牢笼Minimus Containment。
目标被缩小到1 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该版本法术需要的特殊材料为一大块透明的宝石，例如刚玉，钻石或红宝石。
沉睡Slumber。
目标陷入昏睡且无法被唤醒。该版本法术需要的特殊材料为稀有的催眠药草。
终止法术。
无论是法术的哪个版本，你都可以在施法过程中设定一个使法术终止并释放目标的条件。此条件可以按你的意愿设定其明确或复杂的程度，但必须经由DM 认可该条件的合理性及可实现性。此条件可以根据一个生物的名字，身份或神格来设定，但在其他方面必须基于可观察到的行为或特性，而不能基于诸如等级，职业或生命值这类无形之物。
法术解除魔法dispel magic 可以终止该法术，但只有使用9环法术位并针对监牢或针对创造监牢效果的特殊物质施展时才有效。
你在同一时间内，使用同一种特殊材料只能创造一个监牢。
如果你使用了同样的材料再次施展该法术，则先前被监禁的生物立刻从禁锢中解脱摆脱恢复自由。</t>
  </si>
  <si>
    <t>（一张写有对目标详细描述的牛皮纸或者一个与目标相似的小雕像，以及对应所选择法术版本的特殊材料，其价值为对应目标每粒生命骰至少花费500gp）</t>
  </si>
  <si>
    <t>Meteor Swarm</t>
  </si>
  <si>
    <t>9环/塑能</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</si>
  <si>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 的火焰伤害
和20d6 的钝击伤害，豁免成功则伤害减半。另外，同时处于多个爆炸范围内的生物仍只受一次效应影响。
该法术会对区域内的物件造成伤害，并点燃所有未被着装或携带的易燃物。</t>
  </si>
  <si>
    <t>Time Stop</t>
  </si>
  <si>
    <t>你使时间在除你之外所有生物的世界中暂时停止流动。你一次性进行1d4+1 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 尺，则法术也将因此终止。</t>
  </si>
  <si>
    <t>Wish</t>
  </si>
  <si>
    <t>9环/咒法</t>
  </si>
  <si>
    <t>祈愿术wish 是凡间生物所能施展的最强大法术。你只需要大声说出自己的愿望就能将现实世界的根基操弄于手中。
此法术最基础的用法是用来模仿任意一个8 环或更低环阶的法术。你不需要满足目标法术所需的任何前提条件（包括昂贵的材料成分）就可以让该法术生效。
除此之外，你也可以选择创造下列效应其中之一：
你创造出一个价值不超过25,000 gp 的物件。该物件不能是魔法物品。该物件最长尺寸不能超过300 尺，并随法术出现在地面上你能看见的一处未被占据位置。
你让至多二十个你能看见的生物恢复其全部生命值，并且终止它们身上一切在高等复原术greater restoration 中描述过的效应。
你让至多十个你能看见的生物对你所指定的一种伤害类型具有抗性。
你让最多十个你能看见的生物在八小时内免疫某种法术或其他魔法效应。例如，你可以使你自己和你的所有同伴免疫巫妖的吸取生命攻击。
你改变一件刚刚发生的事件。重掷前一轮的任意一次掷骰（包括你前一回合进行的掷骰），并让现实随着你的新掷骰结果改变。例如，祈愿术wish 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 说明你的愿望，并由DM 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 的黯蚀伤害）。你无法以任何方式减轻或防止这种伤害，而你的力量值在也将在2d4 日内降至3（除非它已经是3 或更低）。在这段时间里，你每花一整日休息（不从事任何费力的工作），恢复需要的日数就减少2 日。最后，如果你承受了这种负担，你将有33%的概率再也无法施放祈愿术。</t>
  </si>
  <si>
    <t>True Polymorph</t>
  </si>
  <si>
    <t>V、S、M（一滴水银，一团阿拉伯胶以及一缕烟）</t>
  </si>
  <si>
    <t>你指定施法距离内一个你能看见的生物或物件并使其变形。
你可以将目标生物变成另一个不同的生物，或将目标生物变成一个物件，又或者将目标物件变成一个生物（该物件必须没有被任何生物着装或携带）。变形效应持续到法术持续时间结束，或直至目标生命值降至0 或目标死亡。如果你在法术持续时间内一直保持该法术的专注，则该变形得以永久持续。
该法术对变形生物以及生命值为0 的目标无效。而不愿被变形的生物可以进行一次感知豁免，豁免成功则不受该法术影响。
生物变生物。
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目标的装备融入其新形态，而且不能激活或持用装备，也无法以其他任何方式从其装备上获益。
物件变生物。
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 来判定其行动结果如何。
如果该法术变成永久有效，则你将不再控制该生物。此后，该生物将根据你对待他的方式决定是否对你保持友善。
生物变物件。
如果你将一个生物变形成一个物件，则它连同其穿着携带物一起变成新的形态。受术者的数据变成和该物件一样，在法术终止而受术者变回原形后，它将不会记得在变成物件时所发生的任何事情。</t>
  </si>
  <si>
    <t>（一滴水银，一团阿拉伯胶以及一缕烟）</t>
  </si>
  <si>
    <t>Power Word Kill</t>
  </si>
  <si>
    <t>你读出一威力满溢的单词，其足以使施法距离内一个你能看见的生物立即死亡。如果你所指定的生物现有生命值为100 或更少，则其立即死亡。否则该法术不产生任何效应。</t>
  </si>
  <si>
    <t>Foresight</t>
  </si>
  <si>
    <t>9环/预言</t>
  </si>
  <si>
    <t>V、S、M（一根蜂鸟的羽毛）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</si>
  <si>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</si>
  <si>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（一根蜂鸟的羽毛）</t>
  </si>
  <si>
    <t>Power Word Heal</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</si>
  <si>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</si>
  <si>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Astral Projection</t>
  </si>
  <si>
    <t>9环/死灵</t>
  </si>
  <si>
    <t>V、S、M（你必须为此法术影响的每个生物准备一枚至少价值1,000gp的红锆石jacinth，以及一根做工精细，至少价值100gp的银棒，作为该法术的耗材。）</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</si>
  <si>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你或你的某位同伴会存在提前终止法术效应的情况。对某生物的本体或星界躯体成功施展解除魔法将终止生物的投影效应。
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</si>
  <si>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（你必须为此法术影响的每个生物准备一枚至少价值1,000gp的红锆石jacinth，以及一根做工精细，至少价值100gp的银棒，作为该法术的耗材。）</t>
  </si>
  <si>
    <t>Gate</t>
  </si>
  <si>
    <t>牧师 术士 法师</t>
  </si>
  <si>
    <t>V、S、M（一枚价值至少5,000gp的钻石）</t>
  </si>
  <si>
    <t>专注，至多１分钟</t>
  </si>
  <si>
    <t>你召唤一扇传送门将施法距离内你能看到的一处未被占据空间与一个不同位面的特定地点连接在一起。传送门是你打开的一个直径5 到20 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 认为合适的行动。它可能离开，也可以攻击你或协助你。</t>
  </si>
  <si>
    <t>（一枚价值至少5,000gp的钻石）</t>
  </si>
  <si>
    <t>True Resurrection</t>
  </si>
  <si>
    <t>V、S、M（少量圣水和至少价值25000gp的钻石，作为该法术的耗材）</t>
  </si>
  <si>
    <t>你触碰一个已死的生物使其复活。该生物的死亡时间必须不超过200 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 尺内一处未被占据的空间。</t>
  </si>
  <si>
    <t>（少量圣水和至少价值25000gp的钻石，作为该法术的耗材）</t>
  </si>
  <si>
    <t>Mass Heal</t>
  </si>
  <si>
    <t>泉涌般的治愈能量从你流向你周围受伤的生物。你为施法距离内任意数量你能看见的生物恢复总计至多700 点生命值，而具体治疗量则由你随意分配。受该法术所治疗的生物其所有疾病以及导致它们目盲或耳聋的效应也一并被治愈。该法术对不死生物和构装生物无效。</t>
  </si>
  <si>
    <t>Prismatic Wall</t>
  </si>
  <si>
    <t>由光构成的闪光多彩平面形成一幅不透光的墙壁。墙壁垂直于地面，其至多长90 尺，高30 尺，厚1 寸，并以施法距离内你能看见的一点为源点。你也可以将此墙塑造成一个直径30 尺的球体，并以施法距离内你能看到的一点为中心。法墙在法术持续时间内维持在原地。如果定位法墙位置时可能使其穿过有生物占据的空间，则本次施法失败，而你的动作和法术位仍然会被浪费。法墙延伸出100 尺的明亮光照外加100 尺的微光光照。你和施放该法术时指定的生物可以穿过法墙或停留在法墙附近而不受伤害。如果其他能看见法墙的生物移动到距墙20 尺内区域或在该处开始其回合，则该生物必须进行一次体质豁免，豁免失败则陷入1 分钟的目盲状态。
法墙由七层组成，每层都有不同颜色。生物试图进入或穿过法墙时，将一层层穿过法墙所有的光层。其每穿过一层就必须进行一次敏捷豁免，豁免失败则受下列光层特性影响。法墙可以被摧毁，不过也必须由红到紫的顺序一次一个光层的通过具体每层。某个光层一旦被摧毁则其在法术持续时间内保持被摧毁状态。反魔法力场antimagic field 无法对法墙生效，法术解除魔法dispel magic 只对紫墙有效。
1.红Red。生物豁免失败时受到10d6 的火焰伤害，豁免成功则伤害减半。此光层存在时，非魔法远程攻击无法穿过法墙。光层受至少25 点冷冻伤害时被摧毁。
2.橙Orange。生物豁免失败时受到10d6 的强酸伤害，豁免成功则伤害减半。此光层存在时，魔法远程攻击不能穿过法墙。光层受强风吹袭后被摧毁。
3.黄Yellow。生物豁免失败时受到10d6 的闪电伤害，豁免成功则伤害减半。光层受至少60 点力场伤害时被摧毁。
4.绿Green。生物豁免失败时受到10d6 的毒素伤害，豁免成功则伤害减半。光层在受法术穿墙术passwall，或者其它相同或更高环阶法术在固态表面开口的效应影响时被摧毁。
5.蓝Blue。生物豁免失败时受到10d6 的冷冻伤害，豁免成功则伤害减半。光层受至少25 点火焰伤害时被摧毁。
6.靛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日光术daylight，或者其他相同或更高环阶法术发出的明亮光线照射时被摧毁。
7.紫Violet。生物豁免失败时陷入目盲。其必须在你下一回合开始时进行一次感知豁免。豁免成功则目盲状态终止。豁免失败则该生物被传送到另一个DM 指定的位面并且不再目盲。（典型情况是不在家乡位面的生物被驱逐回家，而其他生物通常会被传送到星界或以太位面。）该光层在受法术解除魔法dispel magic，或者其他类似的相同或更高环阶法术所产生的终止法术魔法效应的影响时被摧毁。</t>
  </si>
  <si>
    <t>Weird</t>
  </si>
  <si>
    <t>9环/幻术</t>
  </si>
  <si>
    <t>你利用一群生物最恐惧的事物，在它们的心中创造出一个只有它们自己能看见的虚幻生物。指定施法距离内一点为中心，其周边半径30 尺球状区域内的所有生物必须进行一次感知豁免。
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 点心灵伤害。
豁免成功则此法术在该生物身上的效应终止。</t>
  </si>
  <si>
    <t>Shapechange</t>
  </si>
  <si>
    <t>V、S、M（至少价值1500gp的玉环，并在施法时戴在头上）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</si>
  <si>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 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</si>
  <si>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（至少价值1500gp的玉环，并在施法时戴在头上）</t>
  </si>
  <si>
    <t>Storm of Vengeance</t>
  </si>
  <si>
    <t>一团翻腾搅动的乌云并以你能看见的一点为中心一直扩散至半径360 尺的区域，并使该区域内充斥着电闪雷鸣与狂风呼啸。所有位于云团下的生物（处于云团下方5000 尺内）必须进行一次体质豁免。豁免失败者将受到2d6 点雷鸣伤害，并陷入持续5 分钟的耳聋状态。
你每维持一轮该法术的专注，风暴就会在你的回合中产生新的效应：
第2 轮。
云层中降下酸雨。所有位于云团下方的生物和物件受到1d6 点强酸伤害。
第3 轮。
你从云中召下六束闪电击向你指定的六个位于云团下的生物或物件，其中任一生物或物件都只能被该闪电击中一次。遭电击的生物必须进行一次敏捷豁免，豁免失败者将受到10d6点闪电伤害，豁免成功则伤害减半。
第4 轮。
冰雹从云团中倾泻而下。所有位于云团下方的生物将受到2d6 点钝击伤害。
第5－10 轮。
狂风和冰雨冲袭着云团下的区域，使该区域变为困难地形并造成重度遮蔽。该区域内的所有生物受到1d6 点冷冻伤害。该区域内无法进行远程武器攻击。而其内的强风和暴雨将对维持法术专注造成严重干扰。此外，区域内的强风（风速在每小时20 到50 里）会自动吹散区域内的一切魔法或非魔法的烟雾以及其他类似现象。</t>
  </si>
  <si>
    <t>Magic Stone</t>
  </si>
  <si>
    <t>变化/戏法</t>
  </si>
  <si>
    <t>你接触一到三块小石块，向其中注入魔法的力量。你或其他人可以通过徒手或使用投石索来投掷小石块之一以进行一次远程法术攻击。若徒手投掷，其射程为60英尺。若除你之外的其他人使用小石块进行攻击，攻击者在其攻击检定中加上你的施法属性调整值，而非攻击者的。若击中，目标收到1d6+你的施法属性调整值点数的钝击伤害。无论击中与否，在那块石块上的魔法都会终结。
若你再次释放此法术，此法术先前释放时，在受到影响的石块上的效果会提前终结。</t>
  </si>
  <si>
    <t>Gust</t>
  </si>
  <si>
    <t>在距离内的，你能看到的一点上，空气被你掌握，被迫产生了下述效应之一：
  由你选择的一个中型或更小的生物必须通过一次力量豁免检定，否则会被你推离5英尺。
  你能制造出小小的空气爆破，足以移动一个未被持握或携带的，不超过5磅的物体。该物体被推离你10英尺。以此法产生的力不足以造成伤害。
  你利用空气制造出无害的感官感受，例如令树叶沙沙作响，令百叶窗闭合，或你的衣服在微风中摆动</t>
  </si>
  <si>
    <t>Mold Earth</t>
  </si>
  <si>
    <t>立即或1小时</t>
  </si>
  <si>
    <t>你选择距离之内，你能看见的，占满5立方英尺空间的一堆泥土或一块岩石。你可以用以下方式之一对其进行改变：
  若你指向一片松散的土壤，你可以立刻挖开它，令其沿着地表行进，被运离到至多5英尺之外的地方。这种移动的力量不足以造成伤害。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</si>
  <si>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Shape Water</t>
  </si>
  <si>
    <t>你选定距离之内，你能看见的一处占据5立方英尺的水体。你能以下述方式之一来对其进行操控：
  你立即在你选定的方向上，造成或改变水的流动，至多在任意方向上改变5英尺。此种运动的力量不足以造成伤害。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</si>
  <si>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Control Flames</t>
  </si>
  <si>
    <t>你选择范围内你能看见的，占据5立方英尺的非魔法火焰。你以下述方式之一影响此火焰：
  你立刻令火焰在一个方向上蔓延5英尺，如同在新位置处有着木头或其他燃料。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</si>
  <si>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Primal Savagery</t>
  </si>
  <si>
    <t>你的牙齿或指甲变得长而尖锐，从而准备好发起酸蚀性的打击。对一个处于你周围5英尺内的生物进行一次近战法术攻击。命中则目标受到1d10点强酸伤害。在你进行此攻击后，你的牙齿或指甲恢复正常。
此法术的伤害在你达到5级（2d10），11级（3d10），和17级（4d10）时提高1d10点。</t>
  </si>
  <si>
    <t>Prestidigitation</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</si>
  <si>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</si>
  <si>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 立方尺的物件变得清洁或肮脏。
你立即使一个不大于1 立方尺的非活体物质变得冰冷、温暖或对其调味，其效应持续1 小时。
你在一个物件或一个表面上创造一块色斑，或者一个记号，又或者一个标志，其效应持续1 小时。
你创造一个巴掌大小的非魔法小玩意或一个虚幻图像，其效应持续到你下回合结束。
如果你多次施展该法术，则可以同时维持至多三个不同的非即时效应，并且可以用一个动作解散其中一种效应。</t>
  </si>
  <si>
    <t>Message</t>
  </si>
  <si>
    <t>V、S、M（一小段铜线）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</si>
  <si>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 尺厚的石头，1 寸厚的普通金属，一片薄铅片，或者3 尺厚的木料都可以阻挡该法术。该法术不需要直线传递信息，它可以自由地转过拐角或穿过孔洞。</t>
  </si>
  <si>
    <t>（一小段铜线）</t>
  </si>
  <si>
    <t>Mending</t>
  </si>
  <si>
    <t>诗人 牧师 德鲁伊 术士 法师</t>
  </si>
  <si>
    <t>V、S、M（两块天然磁石）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</si>
  <si>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</si>
  <si>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（两块天然磁石）</t>
  </si>
  <si>
    <t>Thaumaturgy</t>
  </si>
  <si>
    <t>至多1分钟</t>
  </si>
  <si>
    <t>你在施法距离内展示出一个低级奇观，以表现你的超自然力。你在施法距离内创造出下列魔法效应之一：
你的声音在1 分钟内变得比常人响两倍。
你在1 分钟内使一团火焰闪烁，变亮，变暗或变色。
你使地面震动1 分钟（完全无害）。
你使某种声音自施法距离内一点瞬间发出，例如雷鸣声，鸦叫声或不祥的低语声。
你使一扇没有锁上的门或窗瞬间打开或关上。
你在1 分钟内改变自己眼睛的颜色。
多次施展该法术时，你可以同时维持最多三个持续1 分钟的效应。你也可以用一个动作驱散其中一种效应。</t>
  </si>
  <si>
    <t>Druidcraft</t>
  </si>
  <si>
    <t>你向自然之魂低语，并创造以下效应之一：
你创造一个微小而无害的感官效应，并以之预报你所在地接下来24 小时的天气状况。该效应可表现为一个代表晴空的金球，一朵代表雨天的云彩，代表雪日而飘飞的雪花等等。该效应将持续1 轮。
你可以立即让一朵鲜花绽放，一颗种子破壳，一片叶蕾发芽。
你创造一个微小而无害的即时感官效应，如落叶，微风，小动物的动静或者臭鼬的微弱气味。该效应只能在5 尺的立方空间内起效。
你可以立即点亮或熄灭一根蜡烛、一把火把或一处小篝火。</t>
  </si>
  <si>
    <t>Shillelagh</t>
  </si>
  <si>
    <t>V、S、M（一些槲寄生，一片三叶草的叶子和一根短棒或木杖）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</si>
  <si>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</si>
  <si>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（一些槲寄生，一片三叶草的叶子和一根短棒或木杖）</t>
  </si>
  <si>
    <t>Thorn Whip</t>
  </si>
  <si>
    <t>V、S、M（一根来自带刺植物的茎干）</t>
  </si>
  <si>
    <t>你创造出一条藤蔓般的带刺长鞭，并猛抽向施法距离内一个你指定的生物。对目标进行一次近战法术攻击，如果命中，则目标受到1d6 点穿刺伤害，如果目标生物为大型或更小体型，则其将朝你所在位置拉近至多10 尺。
你到达5 级时，该法术的伤害增加1d6（变为2d6）。11 级时再加1d6（变为3d6），17 级时再加1d6（变为4d6）。</t>
  </si>
  <si>
    <t>（一根来自带刺植物的茎干）</t>
  </si>
  <si>
    <t>Magic Stone E</t>
  </si>
  <si>
    <t>你触碰一到三块小石块向其中注入魔法。你或其他人可以通过徒手或使用投石索来投掷一块小石块，并以此发动一次远程法术攻击。徒手投掷时其射程为 60 尺。若除你之外的其他人使用该石块发动攻击，则攻击者在其攻击检定中加上你的施法关键属性调整值，而非攻击本人相关数值。若命中，则目标受1d6＋你施法关键属性调整值的钝击伤害。此后无论击中与否，在该石块上的魔法都会随之终止。
若你再次施展此法术，则法术先前施展时影响的石块其效应将提前终止。</t>
  </si>
  <si>
    <t>Gust E</t>
  </si>
  <si>
    <t>你指定施法距离内你能看到的一点，其内的空气由你掌 握，被迫产生了下述效应之一：
  由你指定的一个中型或更小体型生物必须成功通过一次力量豁免否则被你推离 5 尺。
  你能制造出小小的空气爆破，足以移动一个未被持握或携带，不超过 5 磅的物件。该物件从你的方向被推离 10 尺。其推力不足以造成任何伤害。
  你利用空气制造出无害的感官感受，例如令树叶沙沙作响，令百叶窗闭合，或是你的衣服在微风中摆动。</t>
  </si>
  <si>
    <t>Mold Earth E</t>
  </si>
  <si>
    <t>立即或1个小时</t>
  </si>
  <si>
    <t>你指定施法距离内你能看见且占满 5 立方尺空间的一堆泥土或一块岩石。你可以用下列方式之一对其进行改变：
若指向一片松散的土壤，则你可以立刻挖开目标，令其沿着地表行进，被运离到至多 5 尺之外的地方。这种移动的力量不足以造成伤害。
你让泥土或岩石的形状或颜色发生改变，或者同时实现两者状况，并以此写出文字，画出图案或雕出图纹。这种变化持续 1 个小时。
若你指定的泥土或岩石在地表上，则你可以令其成为困难地形。作为另一种选项，你亦可以令已经是困难地形的地表区域成为正常地形。这种变化持续 1 个小时。
若你多次施展此法术，你则可以同时维持至多两个非立即的效应，你也可以用一个动作解消上述效应之一。</t>
  </si>
  <si>
    <t>Shape Water E</t>
  </si>
  <si>
    <t>你指定施法距离内一处你能看见的 5 立方尺水体区域。你能以下述方式之一来对其进行操控：
你立即在指定的方向上造成或改变水的流动，至多在任意 方向上改变 5 尺。此种运动的力量不足以造成伤害。
你令水体呈现出简单的形状，随你的意愿而运动。这种变化持续 1 个小时。
你改变了水体的颜色或透明度。水体必须被整体性的改变。此种变化持续 1 个小时。
你将水冻结，只要其中没有生物。水就会在 1 小时内解冻。若多次施展此法术，则你可以同时维持至多两个非立即的效应生效，你也可以用一个动作解消上述效应之一。</t>
  </si>
  <si>
    <t>Control Flames E</t>
  </si>
  <si>
    <t>你指定施法范围内你能看见，且占据5 立方尺的非魔法火焰。你以下述方式之一影响此火焰：
你立刻令火焰在一个方向上蔓延 5 尺，如同在新位置处有木头或其他燃料。
你立刻熄灭该空间内的火焰。
你令火焰产生的明亮和昏暗区域的范围加倍或减半，或改变其颜色，也可以同时实现两者。该变化持续1 个小时。
你令火焰生成简单的形象（例如生物的模糊影像，一个固定的物件，或一个地点），这样的影像出现在火焰中，如你所愿变化着。这样的形象持续1 个小时若你多次施展此法术，你可以令至多三个非立刻的效应同时生效，而你可以用一个动作解除上述的效应其一。</t>
  </si>
  <si>
    <t>Blade Ward</t>
  </si>
  <si>
    <t>防护/戏法</t>
  </si>
  <si>
    <t>你伸手在空中勾勒出一个防护印记，以令自己在下一回合结束前对武器攻击造成的钝击、穿刺和挥砍伤害具有抗性。</t>
  </si>
  <si>
    <t>Resistance</t>
  </si>
  <si>
    <t>V、S、M（一件微型斗篷）</t>
  </si>
  <si>
    <t>你触碰一个自愿的生物。在法术终止前，目标可以选择在一次豁免检定时额外掷一粒d4，并将所得数值加入检定结果中。他可以在进行豁免检定之前或之后掷骰。法术随后即终止。</t>
  </si>
  <si>
    <t>（一件微型斗篷）</t>
  </si>
  <si>
    <t>Friend</t>
  </si>
  <si>
    <t>附魔/戏法</t>
  </si>
  <si>
    <t>S、M（法术施展时作用于脸部的一些化妆用品）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</si>
  <si>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 决定），具体情况视你与其交互时的具体内容而定。</t>
  </si>
  <si>
    <t>（法术施展时作用于脸部的一些化妆用品）</t>
  </si>
  <si>
    <t>Vicious Mockery</t>
  </si>
  <si>
    <t>你对施法距离内一个你能看见的生物连珠炮式的说出一串蕴涵魔力的咒骂。如果目标能听见你说话（不一定要听懂），它就必须要进行一次感知豁免，豁免失败者将受到1d4 点心灵伤害，其下一回合结束前进行第一次攻击检定具有劣势。
你到达5 级时，该法术的伤害增加1d4（变为2d4）。11 级时再加1d4（变为3d4），17 级时再加1d4（变为4d4）。</t>
  </si>
  <si>
    <t>Minor Illusion</t>
  </si>
  <si>
    <t>幻术/戏法</t>
  </si>
  <si>
    <t>S、M（一小块羊毛）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</si>
  <si>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 尺的立方体。
该影像不具有声音、光亮、味道或任何其他的感官效应。由于影像可以被任何物件所穿透，因此与之进行物理互动时都会揭露其幻象的本质。
生物用其动作调查该声响或影像时，必须进行一次对抗该法术豁免DC 的智力（调查）检定，检定成功则判断出眼前即是幻象。幻象在看穿它的生物面前会显得模糊不清。</t>
  </si>
  <si>
    <t>Toll the Dead</t>
  </si>
  <si>
    <t>牧师 法师 邪术师</t>
  </si>
  <si>
    <t>死灵/戏法</t>
  </si>
  <si>
    <t>你指向一个处于距离内、你能看见的生物，一阵哀痛的铃声在空中鸣响。目标必须通过一次感知豁免检定，否则受到1d8点黯蚀伤害。若目标失去了任何量的生命值，它改为受到1d12点黯蚀伤害。
此法术的伤害在你达到5级（2d8或2d12），11级（3d8或3d12），和17级（4d8或4d12）时提高一个伤害骰。</t>
  </si>
  <si>
    <t>Chill Touch</t>
  </si>
  <si>
    <t>你在施法距离内某生物所在位置召唤出幽魂般的骨手，夹带着墓穴的刺骨冻寒攻击目标。并对该生物进行一次远程法术攻击，命中时，手掌抓住目标并令其受1d8 点黯蚀伤害，且直至你下一回合开始前都无法恢复生命值。
如果你的命中目标为一个不死生物，则其在你下回合结束之前对你发动的攻击检定都具有劣势。
你到达5 级时，该法术的伤害增加1d8（变为2d8）。11 级时再加1d8（变为3d8），17 级时再加1d8（变为4d8）。</t>
  </si>
  <si>
    <t>Spare the Dying</t>
  </si>
  <si>
    <t>你触碰一个生命值为0 的活体生物，使该生物的伤势立刻稳定下来。该法术对不死生物和构装生物无效。</t>
  </si>
  <si>
    <t>Thunderclap</t>
  </si>
  <si>
    <t>塑能/戏法</t>
  </si>
  <si>
    <t>你制造出雷鸣巨响，可以在100英尺范围内被听到。除你之外，在你周围5英尺范围内的生物必须进行一次体质豁免检定。若检定失败，该生物受到1d6点雷鸣伤害。
你到达5级时，该法术的伤害增加1d6（变为2d6）。11级时再加1d6（变为3d6），17级时再加1d6（变为4d6）。</t>
  </si>
  <si>
    <t>Word of Radiance</t>
  </si>
  <si>
    <t>V、M（一块圣徽）</t>
  </si>
  <si>
    <t>你念出神圣的词语，灼热的光辉随之喷薄而出。每个你选择的、处于你周围5英尺内、你能看见的生物必须通过一次体质豁免检定，否则受到1d6点光耀伤害。
此法术的伤害在你达到5级（2d6），11级（3d6），和17级（4d6）时提高1d6点。</t>
  </si>
  <si>
    <t>（一块圣徽）</t>
  </si>
  <si>
    <t>Frostbite</t>
  </si>
  <si>
    <t>你令施法距离内一个你能看见的生物开始结冰。该目标必须进行一次体质豁免。豁免失败则该目标受 1d6 的冷冻伤害，其下个回合结束前发动下一次武器攻击时其攻击检定具有劣势。
你到达 5 级时，该法术的伤害增加 1d6（变为 2d6）。11级时再加 1d6（变为 3d6），17 级时再加 1d6（变为 4d6）。</t>
  </si>
  <si>
    <t>Frostbite E</t>
  </si>
  <si>
    <t>Booming Blade</t>
  </si>
  <si>
    <t>出自：SCAG</t>
  </si>
  <si>
    <t>法师 术士 邪术师</t>
  </si>
  <si>
    <t>V、M（一把武器）</t>
  </si>
  <si>
    <t>作为施展该法术的一部分，你必须用你的武器对施法距离内一个生物发动一次近战攻击，否则法术失败。若攻击命中，则目标受本次攻击正常影响外，还将被包复在爆发性能量中并持续至你下一回合开始。如果目标在此之前进行了一次自主移动，则他将立即受 1d8 的雷鸣伤害，随后法术终止。
该法术的伤害随你的等级提升而增加。第 5 级时，其单次的近战攻击将额外造成 1d8 的雷鸣伤害，且目标进行移动时受到的伤害提升为 2d8。这两组伤害骰都会在 11 级和 17 级的时将各增长 1d8。</t>
  </si>
  <si>
    <t>（一把武器）</t>
  </si>
  <si>
    <t>Green-Flame Blade</t>
  </si>
  <si>
    <t>作为施展该法术的一部分，你必须用你的武器对施法距离内一个生物发动一次近战攻击，否则法术失败。若攻击命中，则目标受本次攻击正常影响外，还将出现一股翠绿的火焰从目标身上跳转至另一生物。跳转至的生物必须是第一目标周边 5 尺内你能看见的生物，而它将受到等于你施法关健属性调整值数值的火焰伤害。
该法术的伤害随你的等级提升而增加。第 5 级时，其单次的近战攻击将额外造成 1d8 的火焰伤害，且第二目标所受伤害提升数值为 1d8＋你法术关键属性调整值。这两组伤害骰都会在 11 级和 17 级的时将各增长 1d8。</t>
  </si>
  <si>
    <t>Lightning Lure</t>
  </si>
  <si>
    <t>15尺</t>
  </si>
  <si>
    <t>你创造出鞭状的闪电能量袭击射程内由你指定的一个你能看见的生物。目标必须进行一次力量豁免；若失败，目标将沿直线向你拉近 10 尺。如果拉近以后目标在你周边 5 尺内，则目标受 1d8 的闪电伤害。
该法术的伤害在你 5 级时提升至 2d8，11 级时为 3d8，17 级时为 4d8。</t>
  </si>
  <si>
    <t>Eldritch Blast</t>
  </si>
  <si>
    <t>一束激烈的能量射向施法距离内一个生物。对该目标发动一次远程法术攻击，如果命中则该目标受1d10 点力场伤害。当你到达更高等级时，该法术还可以同时创造更多的射线：
5 级时两条，11 级时三条，17 级时四条。你可以决定这些射线攻击同一个目标或分别攻击不同的目标，且为每束射线分别进行攻击检定。</t>
  </si>
  <si>
    <t>Fire bolt</t>
  </si>
  <si>
    <t>你对施法距离内一个生物或物件掷出一把火焰，对目标进行一次远程法术攻击。若命中，则目标受到1d10 点火焰伤害。未被着装或携带的可燃物件被该法术命中时将被点燃。
你到达5 级时，该法术的伤害增加1d10（变为2d10）。11级时再加1d10（变为3d10），17 级时再加1d10（变为4d10）。</t>
  </si>
  <si>
    <t>Ray of Frost</t>
  </si>
  <si>
    <t>一道冰冷的蓝白色光线朝施法距离内的一个生物射去。你对目标进行一次远程法术攻击。若命中，则目标受到1d8 点寒冷伤害，并且在你的下一回合开始前速度减少10 尺。
你到达5 级时，该法术的伤害增加1d8（变为2d8）。11 级时再加1d8（变为3d8），17 级时再加1d8（变为4d8）。</t>
  </si>
  <si>
    <t>Shocking Grasp</t>
  </si>
  <si>
    <t>你的手上发出闪电，并对你触碰的一个生物发动电击。对目标发动一次近战法术攻击。如果目标穿着金属护甲，则你进行该检定时具有优势。若命中，则目标受到1d8 点闪电伤害，并且在其下一回合开始前不能执行任何反应。
你到达5 级时，该法术的伤害增加1d8（变为2d8）。11 级时再加1d8（变为3d8），17 级时再加1d8（变为4d8）。</t>
  </si>
  <si>
    <t>Dancing Lights</t>
  </si>
  <si>
    <t>V、S、M（一点磷或光榆木，或者一只萤火虫）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</si>
  <si>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 尺的微光光照。
你在自己回合可以用一个附赠动作令这些光源在施法距离内移动至多60 尺。每个光源必需在另一个光源周边20 尺内，而离开施法距离的光源会随即熄灭。</t>
  </si>
  <si>
    <t>（一点磷或光榆木，或者一只萤火虫）</t>
  </si>
  <si>
    <t>Light</t>
  </si>
  <si>
    <t>V、M（一只萤火虫或一片磷光苔藓）</t>
  </si>
  <si>
    <t>你触碰一个尺寸在任意方向上都不超过10 尺的物件。在法术终止前，物件将在其20 尺半径范围内发出明亮光照，并在其外20 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</si>
  <si>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（一只萤火虫或一片磷光苔藓）</t>
  </si>
  <si>
    <t>Sacred Flame</t>
  </si>
  <si>
    <t>如同火焰般的辉光向施法距离内你能看见的一个生物倾泻而下。目标必须要进行一次敏捷豁免，豁免失败则受到1d8 点光耀伤害。目标在这次豁免检定中无法获得掩护的增益。
你到达5 级时，该法术的伤害增加1d8（变为2d8）。11 级时再加1d8（变为3d8），17 级时再加1d8（变为4d8）。</t>
  </si>
  <si>
    <t>自身（5尺半径）</t>
  </si>
  <si>
    <t>你制造出雷鸣巨响，响声可在 100 尺范围内被听到。除你之外，在你周围5 尺范围内的生物必须进行一次体质豁免。豁免失败者将受 1d6 的雷鸣伤害。
你到达 5 级时，该法术的伤害增加 1d6（变为 2d6）。11级时再加 1d6（变为 3d6），17级时再加 1d6（变为 4d6）。</t>
  </si>
  <si>
    <t>True Strike</t>
  </si>
  <si>
    <t>预言/戏法</t>
  </si>
  <si>
    <t>专注，至多1轮</t>
  </si>
  <si>
    <t>你伸出手并以手指指向施法距离内的一个生物，并以魔力刹那间看穿目标的防御。如果该法术还未终止，则你在自己的下一回合里，对该目标发动的第一次攻击检定具有优势。</t>
  </si>
  <si>
    <t>Guidance</t>
  </si>
  <si>
    <t>你触碰一个自愿的生物。在法术终止前，目标可以选择在一次属性检定时额外掷一粒d4，并将所得数值加入检定结果中。它可以在进行属性检定之前或之后掷骰。法术随后即终止。</t>
  </si>
  <si>
    <t>Create Bonfire</t>
  </si>
  <si>
    <t>咒法/戏法</t>
  </si>
  <si>
    <t>你在距离之内你能看到的地面上燃起一堆篝火。直到此法术终结，该魔法篝火会占满5立方英尺的空间。当你施放此法术时，所有在篝火所在空间的生物必须通过一次敏捷豁免检定，否则受到1d8点伤害。当生物在一个回合中第一次进入篝火所在的空间，或在篝火所在的空间结束其回合时，其同样必须进行该豁免检定。
篝火可以点燃区域内未被穿戴或者携带的可燃物体。
你到达5级时，该法术的伤害增加1d8（变为2d8）。11级时再加1d8（变为3d8），17级时再加1d8（变为4d8）。</t>
  </si>
  <si>
    <t>Infestation</t>
  </si>
  <si>
    <t>V、S、M（一只活跳蚤）</t>
  </si>
  <si>
    <t>你令一个处于距离内、你能看见的生物身上暂时性的出现螨虫、跳蚤、和其他寄生虫。目标必须通过一次体质豁免检定，否则受到1d6点毒素伤害并且向着一个随机的方向移动5英尺，只要它可以移动并且有至少5英尺的速度。投1d4决定方向：1，北；2，南；3，东；4，西。这个移动不会提供借机攻击，并且如果移动的方向被阻挡，目标将不会移动。
此法术的伤害在你达到5级（2d6），11级（3d6），和17级（4d6）时提高1d6点。</t>
  </si>
  <si>
    <t>（一只活跳蚤）</t>
  </si>
  <si>
    <t>Sword Burst</t>
  </si>
  <si>
    <t>你在制造出一圈短暂存在的半透明利刃来清扫周围。施法距离内除你以外的每个生物都必须成功通过一次敏捷豁免，否则将受到 1d6 的力场伤害。
该法术的伤害在你 5 级时提升至 2d6，11 级时为 3d6，17 级时为 4d6。</t>
  </si>
  <si>
    <t>Acid Splash</t>
  </si>
  <si>
    <t>你掷出一颗酸液球。在施法距离内指定一个生物，或者在距离内指定两个相距不超过5 尺的生物。每个目标必须进行一次敏捷豁免，豁免失败则受到1d6 点强酸伤害。
你到达5 级时，该法术的伤害增加1d6（变为2d6）。11 级时再加1d6（变为3d6），17 级时再加1d6（变为4d6）。</t>
  </si>
  <si>
    <t>Mage Hand</t>
  </si>
  <si>
    <t>一只漂浮的幽灵手出现在施法距离内你指定的一点。幽灵手持续存在至法术终止，或直至你以一个动作解散该法术。如果幽灵手距你的距离超过30 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 尺。
该幽灵手不能攻击，也不能激活魔法物品或承载超过10 磅重的物质。</t>
  </si>
  <si>
    <t>Produce Flame</t>
  </si>
  <si>
    <t>一朵摇曳的火焰出现在你手中。火焰在法术持续时间存在，并且不会伤害你和你的装备。火焰为其周边半径10 尺范围内提供明亮光照，以及该范围外10 尺的微光光照。法术将在再次施展该法术，或者以一个动作解除法术时终止。
此外，你还可以使用火焰发动攻击，并以此终止该法术。施展该法术时，你可以将火焰投向距你30 尺内的一个生物，并对其发动一次远程法术攻击，命中时目标将受到1d8 点火焰伤害。你也可以在施展法术后的随后回合里以一个动作实现该行为。
你到达5 级时，该法术的伤害增加1d8（变为2d8）。11 级时再加1d8（变为3d8），17 级时再加1d8（变为4d8）。</t>
  </si>
  <si>
    <t>Poison Spray</t>
  </si>
  <si>
    <t>你伸手向施法距离内一个你能看见的生物喷一阵毒气。目标必须进行一次体质豁免，豁免失败则受1d12 毒素伤害。你到达5 级时，该法术的伤害增加1d12（变为2d12）。11级时再加1d12（变为3d12），17 级时再加1d12（变为4d12）。</t>
  </si>
  <si>
    <t>Create Bonfire E</t>
  </si>
  <si>
    <t>你在指定施法距离之内一处你能看到的地面并燃起一堆篝火。直到此法术终止前，该篝火会占满5 立方尺的空间。你施展此法术时，所有身处篝火所在空间的生物必须成功通过一次敏捷豁免，否则受1d8 的伤害。生物在一回合中第一次进入篝火所在空间时，或在篝火所在的空间结束其自己回合时，也必须进行该豁免检定。
你到达 5 级时，该法术的伤害增加 1d8（变为 2d8）。11级时再加 1d8（变为 3d8），17 级时再加 1d8（变为 4d8）。</t>
  </si>
  <si>
    <t>Mordenkainen's Celerity</t>
  </si>
  <si>
    <t>摩登肯迅捷术</t>
  </si>
  <si>
    <t>出自：TOM</t>
  </si>
  <si>
    <t>转化/祈唤</t>
  </si>
  <si>
    <t>4动作</t>
  </si>
  <si>
    <t>V、S、M（一个小袋子或容器，里面装有蜈蚣或千足虫的腿）</t>
  </si>
  <si>
    <t>1回合</t>
  </si>
  <si>
    <t>摩登肯迅捷术可以影响1到3级会影响法师移动速度的法术，例如羽落术（feather fall），跳跃术（jump），蛛行术（spider climb），漂浮术（levitate），飞行术（fly）和加速术（haste）。被影响的法术必须在施展摩登肯的迅捷术后的一回合内被施展，且法术不会在迅捷术结束后消散。
在迅捷术之后施展的法术将在持续时间上获得25%的奖励。这种效果不能和其他延长法术持续时间的魔法方式相叠加。除此之外，施法者的移动速度增加25%——经由施法者选择，羽落术（feather fall）的速度能降低25%。
迅捷术的效果区域是施法者，除了加速术（haste），被迅捷术加持的加速术将作用在除法师以外的1d4个生物身上。迅捷术在任何方面都对这些生物无其他效果。
法术会赋予法师+2奖励在所有对抗直接影响他移动速度的1至3级法术的豁免检定上，例如蛛网术（web），人类定身术（hold person）和缓慢术（slow）。法师同样会在对抗魔法麻痹的豁免检定上获得+2奖励。</t>
  </si>
  <si>
    <t>转化(祈唤)</t>
  </si>
  <si>
    <t>（一个小袋子或容器，里面装有蜈蚣或千足虫的腿）</t>
  </si>
  <si>
    <t>Mordenkainen's Defense Against Lycanthropes</t>
  </si>
  <si>
    <t>摩登肯防护兽化人</t>
  </si>
  <si>
    <t>出自：WOG</t>
  </si>
  <si>
    <t>3动作</t>
  </si>
  <si>
    <t>V、S、M（至少价值30gp的月长石粉末）</t>
  </si>
  <si>
    <t>2轮/等级</t>
  </si>
  <si>
    <t>这种法术会帮助一个生物在兽化人的袭击中幸存下来。任何由兽化人对该生物做出的攻击在命中上受到-2惩罚。只要法术还在生效，无论兽化人造成多少伤害，受伤生物都不会感热兽化症。如果伤害发生在法术被施展前或法术消散后，法术不会提供对抗兽化症的保护。</t>
  </si>
  <si>
    <t>（至少价值30gp的月长石粉末）</t>
  </si>
  <si>
    <t>Mordenkainen's Defense Against Nonmagical Reptiles and Amphibians</t>
  </si>
  <si>
    <t>摩登肯防护非魔法爬虫和两栖动物</t>
  </si>
  <si>
    <t>V、S、M（放在硬化皮革袋里的一些蛇皮和一只干青蛙腿）</t>
  </si>
  <si>
    <t>5轮/等级</t>
  </si>
  <si>
    <t>一个被此法术保护的生物会在和非魔法爬行类和两栖类动物的战斗中获得优势，包括蛇，恐龙，青蛙，和这些动物的巨型种。巨龙被排除在此法术效果之外，其他拥有超自然能力的动物也一样。所有被影响的动物在攻击受保护的生物时都会受到-2惩罚，该生物在对抗爬行类或两栖类动物的毒液的豁免检定上获得+4奖励。</t>
  </si>
  <si>
    <t>（放在硬化皮革袋里的一些蛇皮和一只干青蛙腿）</t>
  </si>
  <si>
    <t>Mordenkainen's Disjunction</t>
  </si>
  <si>
    <t>摩登肯裂解术</t>
  </si>
  <si>
    <t>转化/附魔</t>
  </si>
  <si>
    <t>9动作</t>
  </si>
  <si>
    <t>当这个法术被施展时，除了施法者随身携带或接触的物品之外，区域内的所有魔法和魔法物品都会被裂解。
裂解就是法术被分解成独立成分，如同受到驱散魔法（dispel magic）法术的效果般被破坏，永久和附魔的魔法物品必须成功通过豁免，被施展在某个生物身上则进行对抗法术的豁免检定，其他情况则是对对抗驱散魔法（dispel magic）的豁免检定，否则还原为普通物品。
即便是神器和圣物也会受到摩登肯裂解术的影响，尽管每施法者等级只有1%的几率能够影响到如此强大的物品。
因此，当摩登肯裂解术被施展时，在施法者30英尺内所有的药剂、卷轴、戒指、权杖、奇物、神器和圣物、武器和盔甲，长剑和各种各样的武器都有可能会失去它们的魔法能力。
施法者同样有每等级1%的几率能够摧毁反魔场（antimagic shell）。
如果反魔场在裂解中幸免于难，里面的物品不会被裂解。
注意：破坏神器是件危险的事情，会有95%的几率引起某些对这件神器有兴趣或有关系的强大存在的注意。
此外，如果神器被破坏，施法的法师必须在承受-4惩罚的情况下成功通过对抗法术的豁免检定，否则会永久性地失去所有施法能力。</t>
  </si>
  <si>
    <t>转化(附魔)</t>
  </si>
  <si>
    <t>Mordenkainen's Electric Arc</t>
  </si>
  <si>
    <t>摩登肯电弧术</t>
  </si>
  <si>
    <t>V、S、M（一些毛皮和一个玻璃棒）</t>
  </si>
  <si>
    <t>这种法术会从施法者的指尖喷出一束或更多束的小型闪电，攻击一个或更多的敌人。每三施法等级就会引发一道电弧。每道电弧会造成1d6点伤害，加上一点每施法者等级，最多奖励为每道电弧+10，对抗法术的豁免检定能减半伤害。法术在每道电弧都射向一个分离的敌人时最为有效。每战斗轮只有一道电弧可以击中一个目标；其他击中相同目标的电弧没有更多效果。</t>
  </si>
  <si>
    <t>（一些毛皮和一个玻璃棒）</t>
  </si>
  <si>
    <t>Mordenkainen's Encompassing Vision</t>
  </si>
  <si>
    <t>摩登肯环绕视界</t>
  </si>
  <si>
    <t>转化</t>
  </si>
  <si>
    <t>V、S、M（一个水晶碟盘，上面绘制有八枚眼睛，眼睛互相间隔45度角，分布在盘子边缘）</t>
  </si>
  <si>
    <t>1小时/等级</t>
  </si>
  <si>
    <t>这种法术会赋予一个生物以完整的360°视角，所以生物能如看前方一样看到侧面和后面。生物不会被通常能看见的后方攻击者突袭。法术能和所有种类的附魔或魔法视觉叠加，包括热感视觉（infravision），超视觉（ultravision）或穿透视觉（x-ray vision）。一个同时处于侦测隐形（detect invisibility）和环绕视界下的生物能看到侧翼或背后的隐形生物，以太位面或星界的生物。被此法术影响的人物同样在所有对抗凝视攻击的豁免检定上受到-2惩罚。</t>
  </si>
  <si>
    <t>（一个水晶碟盘，上面绘制有八枚眼睛，眼睛互相间隔45度角，分布在盘子边缘）</t>
  </si>
  <si>
    <t>Mordenkainen's Faithful Phantom Defenders</t>
  </si>
  <si>
    <t>摩登肯幻影卫士</t>
  </si>
  <si>
    <t>召唤</t>
  </si>
  <si>
    <t>5动作</t>
  </si>
  <si>
    <t>V、S、M（一枚价值1000gp的祖母绿，会在施法时消失。法术同样需要一张铅晶玻璃画像，上面描绘有要召唤卫士的种类，这张图可以重复使用）</t>
  </si>
  <si>
    <t>1轮/等级</t>
  </si>
  <si>
    <t>这种法术能召唤出一组幻影，看起来似乎是由紫罗色光芒勾勒出的闪光轮廓。这些卫士会尽力拦在法师和他的敌人之间，让施法者有足够的时间和空间来用法术防护自身。对于大多数的生物，幻影卫士是看似真实的固态实体。对于法师，卫士是完全透明的虚体。任何由法师施展的攻击法术对幻影无效，所以法师的法术能被施展来透过它们以击中敌人。如果陷入法师法术的效果区域里，卫士也不会受伤。
法师能召唤四套不同的幻影卫士中的一种，但施法者必须在记忆法术的时候就决定要召来哪一种幻影。每套幻影都最适合某种特定的环境。四套卫士如下：
●三个忠诚的幻影士兵：防御等级4（幻影链甲和盾牌）；移动速度9；生命骰4；每个生命值24；攻击次数1伤害1d8（幻影长剑）；零级命中值17；阵营：绝对中立；特殊攻击：能攻击只能被+1魔法武器击中的生物。
●两个忠诚的幻影半人马：防御等级5；移动速度18；生命骰4；每个生命值28；攻击次数1；伤害16（幻影轻型矛）；零级命中值15；阵营：绝对中立；特殊攻击：能攻击只能被+2魔法武器击中的生物。
●八个忠诚的幻影巨蝙蝠：防御等级8；移动速度3，飞行18；生命骰2+2；每个生命值12；攻击次数1；伤害1d4；零级命中值19；阵营：绝对中立；特殊攻击：能攻击只能被+3魔法武器击中的生物。
●五个忠诚的幻影鲨鱼：防御等级6；移动速度游泳24；生命骰3；每个生命值15；攻击次数1；伤害1d4+1；零级命中值15；阵营：绝对中立；特殊攻击：能攻击只能被+1魔法武器击中的生物。</t>
  </si>
  <si>
    <t>（一枚价值1000gp的祖母绿，会在施法时消失。法术同样需要一张铅晶玻璃画像，上面描绘有要召唤卫士的种类，这张图可以重复使用）</t>
  </si>
  <si>
    <t>Mordenkainen's Faithful Phantom Guardian</t>
  </si>
  <si>
    <t>摩登肯幻影守卫</t>
  </si>
  <si>
    <t>V、S、M（一颗1000gp的钻石，在施法时送给守卫作为报酬）</t>
  </si>
  <si>
    <t>这种法术能召唤出一个忠诚的幻影人物，能看护和守卫法师一天。守卫将作为一位不能被侦测到的观察者，从灵界看护着施法者。守卫将看到施法者身边60英尺内所发生的事，并且可以侦察到该区域内隐形的，超相位，双重维度，以太或星界的生物。如果守卫发现有任何生物想要突袭施法者，他将瞬间实体化来保卫法师。守卫将最多战斗一轮每施法者等级，或者直到被摧毁。
法师同样能随时召唤守卫到他身边。守卫将在一轮内出现，并在同样的时间限制内战斗。一旦守卫存在于主物质位面上的时间耗尽，他已经完成任务，就不会再看护施法者。守卫看起来像是一个由紫罗兰色光线勾勒出的闪光轮廓。幻影守卫不能说话，所以如果法师遇袭，幻影不能大喊以警告法师。
幻影守卫：防御等级2；移动速度15；生命骰6；生命值36；攻击次数1；伤害1d10（双手剑）；零级命中值13；阵营：绝对中立；特殊攻击：能攻击只能被+2魔法武器击中的生物。</t>
  </si>
  <si>
    <t>（一颗1000gp的钻石，在施法时送给守卫作为报酬）</t>
  </si>
  <si>
    <t>Mordenkainen's Faithful Phantom Shield-Maidens</t>
  </si>
  <si>
    <t>摩登肯的幻影持盾少女</t>
  </si>
  <si>
    <t>V、S、M（一对小型的水晶盾牌，用线和一个施法者的微型木质图连在一起）</t>
  </si>
  <si>
    <t>3轮/等级</t>
  </si>
  <si>
    <t>这种法术会召唤出一对闪光的紫罗兰色幻影，并站于法师两侧，抵挡所有的攻击者。
持盾少女会紧站在施法者旁边，来让她们的盾牌能护住法师。一位少女的盾牌将提供给施法者+1的防御等级奖励。如果两名持盾少女都用盾牌保护施法者的一侧，防御等级奖励为+2。虽然持盾少女能保护施法者免于不同方向的攻击，她们不会离开施法者超过50英尺，即使是法师命令她们远离。无论施法者去哪里，她们都会依靠魔法跟随。
幻影持盾少女：防御等级4（幻影链甲和大型盾牌）；移动速度12；生命骰3；每个生命值20；伤害1d6（幻影矛）；零级命中值17；阵营：绝对中立。</t>
  </si>
  <si>
    <t>（一对小型的水晶盾牌，用线和一个施法者的微型木质图连在一起）</t>
  </si>
  <si>
    <t>Mordenkainen's Force Missiles</t>
  </si>
  <si>
    <t>摩登肯力场飞弹</t>
  </si>
  <si>
    <t>出自：P0-SM</t>
  </si>
  <si>
    <t>塑能/力场</t>
  </si>
  <si>
    <t>30尺+10尺/等级
1或更多的生物或物品</t>
  </si>
  <si>
    <t>这种法术会创造出一颗明亮的魔法能量球，从施法者的手中射出，并准确无误地命中目标，很像是魔法飞弹（magic missile）法术。目标必须能被看见或用其他方式侦测到。
法师能在7级时创造出一枚飞弹，7级之后的每三级创造出一枚额外的飞弹——换句话说，10级时有两枚飞弹，13级时有三枚，16级四枚，等等，最多时为25级时的七枚。
每个飞弹会对目标生物造成2d4点冲击伤害，并发生震荡爆炸，对3英尺半径内的所有人造成1点每施法者等级的伤害。例如，一位12级的法师能召唤两枚力场飞弹，每枚都能造成2d4+12级伤害。一个成功通过对抗法术豁免检定的生物能无视爆炸伤害，但飞弹的冲击本身不允许豁免检定。
如同魔法飞弹（magic missile），力场飞弹可以攻击很多目标或很少目标，这依据施法者的意愿。飞弹能伤害或摧毁非活化的物品，尤其是脆弱或精致的物品。这类物品必须成功做出对抗碾压的豁免检定，否则会粉碎。坚固的物品，例如厚重的石制品，不会被影响。</t>
  </si>
  <si>
    <t>塑能（力场）</t>
  </si>
  <si>
    <t>Mordenkainen's Involuntary Wizardry</t>
  </si>
  <si>
    <t>摩登肯强迫施法</t>
  </si>
  <si>
    <t>出自：DRAGON Magazine</t>
  </si>
  <si>
    <t>（附魔/魅惑，死灵）
（心灵）</t>
  </si>
  <si>
    <t>60码+10码/等级
1个法术施展者</t>
  </si>
  <si>
    <t>这种法术会强迫其他法术施展者释放一个在思维中随机选择的法师法术。如果目标不能施展法师法术，那么强迫施法会被浪费掉。不然，目标就要以-3惩罚进行一次对抗法术的豁免检定；如果成功，强迫施法会毫无效果的浪费掉。被强迫施展的法术会以目标为中心，并产生完整的通常效果；如果法术不会伤害到目标，那么目标会受到一点伤害每法术等级，例如，侦测隐形（detect invisibility），一个2级法术，将造成两点伤害。被强迫施展的法术会被消耗掉。目标会进行任何通常允许的豁免检定来对抗该法术的效果。
虽然摩登肯的强迫施法本身没有施法材料，任何被强迫施展的法术的组分都会从目标身上消耗掉。类似的，任何施法惩罚，例如鉴定术（identlfy）的临时体质损失，也会降临到目标身上。</t>
  </si>
  <si>
    <t>附魔（魅惑）（死灵）（心灵）</t>
  </si>
  <si>
    <t>Mordenkainen‟s Lucubration</t>
  </si>
  <si>
    <t>摩登肯回忆术</t>
  </si>
  <si>
    <t>转化（心灵）</t>
  </si>
  <si>
    <t>使用这个法术，法师能立即回想起他在过去24小时内使用过的1至5级的任意法术。该法术必须曾在那个时间段内被记忆并实际使用过。摩登肯回忆术只能恢复一个法术。如果回想起的法术需要施法材料，施法者必须自行准备；恢复的法术直至你准备好施法材料之前是不可用的。</t>
  </si>
  <si>
    <t>Mordenkainen's Penultimate Cogitation</t>
  </si>
  <si>
    <t>摩登肯思考回溯</t>
  </si>
  <si>
    <t>1英里，自身</t>
  </si>
  <si>
    <t>这种法术让法师能从一本施法者的私人法术书中回忆起一个1到6级的法术，只要这本适用的法术书距离在法师一英里以内。法术必须是施法者知道的，如PHB中解释的一般。法术不能来自卷轴或其他法师的法术书。每次次末冥思只能召来一个法术。被记起的法术可在任何成功轮中施展。被召来的法术有10%的几率从法师的法术书中被抹除。</t>
  </si>
  <si>
    <t>Mordenkainen's Protection From Avians</t>
  </si>
  <si>
    <t>摩登肯防护禽鸟</t>
  </si>
  <si>
    <t>防护（气）</t>
  </si>
  <si>
    <t>V、S、M（用硬皮革包裹起来的一根任何鸟类的羽毛）</t>
  </si>
  <si>
    <t>一个被这种法术保护的生物在和总生命骰不超过15的鸟类战斗时会获得特殊增益；如果遇到有更多生命骰的鸟类攻击，法术就会失效。被影响的鸟类在法术持续时间内在命中被保护生物的投骰上受到-2惩罚。</t>
  </si>
  <si>
    <t>（用硬皮革包裹起来的一根任何鸟类的羽毛）</t>
  </si>
  <si>
    <t>Mordenkainen's Protection From Insects and Arachnids</t>
  </si>
  <si>
    <t>摩登肯防护昆虫和蜘蛛</t>
  </si>
  <si>
    <t>防护（土）</t>
  </si>
  <si>
    <t>V、S、M（一只被包在琥珀里的昆虫）</t>
  </si>
  <si>
    <t>6轮/等级</t>
  </si>
  <si>
    <t>这种法术会提供抵御虫类，蜘蛛，和蝎子，包括这些动物的巨型种的保护。所有这类动物在攻击被保护的生物时在命中上受到-2惩罚，被保护的生物在对抗昆虫或蛛行生物毒液的豁免检定上获得+4奖励。法术不能对总生命骰超过20的各类昆虫起效。如果有总生命骰超过20的昆虫和蛛形生物攻击，法术就会消散。</t>
  </si>
  <si>
    <t>（一只被包在琥珀里的昆虫）</t>
  </si>
  <si>
    <t>Mordenkainen's Protection From Slime</t>
  </si>
  <si>
    <t>摩登肯防护黏怪</t>
  </si>
  <si>
    <t>防护（水）</t>
  </si>
  <si>
    <t>V、S、M（一些放在两片扁平的石头间的食用菌，和一些钻石尘）</t>
  </si>
  <si>
    <t>这种法术会帮助抵抗所有的霉菌，软泥怪，粘液怪，果冻怪和其他不定形的原始生物的攻击。它们对受保护生物所做出的攻击受到-2惩罚，且被保护的生物的豁免检定获得+2奖励。
上述生物可以攻击防护本身。法术在崩溃前可以吸收最多10d4点来自这些生物的伤害。</t>
  </si>
  <si>
    <t>（一些放在两片扁平的石头间的食用菌，和一些钻石尘）</t>
  </si>
  <si>
    <t>DND 5E 人物卡 &lt;NekoWorks ver2.0&gt;</t>
  </si>
  <si>
    <t>次元袋1</t>
  </si>
  <si>
    <t>次元袋2</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</si>
</sst>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quot;D&quot;0"/>
    <numFmt numFmtId="178" formatCode="0&quot;尺&quot;"/>
    <numFmt numFmtId="179" formatCode="0&quot;LB&quot;"/>
    <numFmt numFmtId="180" formatCode="&quot;×&quot;0"/>
  </numFmts>
  <fonts count="111">
    <font>
      <sz val="11"/>
      <color theme="1"/>
      <name val="宋体"/>
      <charset val="134"/>
      <scheme val="minor"/>
    </font>
    <font>
      <sz val="10"/>
      <color theme="1"/>
      <name val="微软雅黑"/>
      <charset val="134"/>
    </font>
    <font>
      <sz val="10"/>
      <color theme="0"/>
      <name val="微软雅黑"/>
      <charset val="134"/>
    </font>
    <font>
      <sz val="11"/>
      <name val="宋体"/>
      <charset val="134"/>
      <scheme val="minor"/>
    </font>
    <font>
      <sz val="10.5"/>
      <name val="宋体"/>
      <charset val="134"/>
    </font>
    <font>
      <sz val="11"/>
      <color theme="1"/>
      <name val="微软雅黑"/>
      <charset val="134"/>
    </font>
    <font>
      <sz val="8"/>
      <color theme="1"/>
      <name val="微软雅黑"/>
      <charset val="134"/>
    </font>
    <font>
      <sz val="10"/>
      <name val="微软雅黑"/>
      <charset val="134"/>
    </font>
    <font>
      <sz val="8"/>
      <name val="微软雅黑"/>
      <charset val="134"/>
    </font>
    <font>
      <sz val="8"/>
      <color theme="1" tint="0.5"/>
      <name val="微软雅黑"/>
      <charset val="134"/>
    </font>
    <font>
      <sz val="11"/>
      <color theme="0"/>
      <name val="微软雅黑"/>
      <charset val="134"/>
    </font>
    <font>
      <sz val="12"/>
      <color theme="1"/>
      <name val="微软雅黑"/>
      <charset val="134"/>
    </font>
    <font>
      <b/>
      <sz val="8"/>
      <color rgb="FFDE0000"/>
      <name val="微软雅黑"/>
      <charset val="134"/>
    </font>
    <font>
      <sz val="8"/>
      <color theme="0"/>
      <name val="微软雅黑"/>
      <charset val="134"/>
    </font>
    <font>
      <sz val="9"/>
      <color theme="1"/>
      <name val="微软雅黑"/>
      <charset val="134"/>
    </font>
    <font>
      <sz val="8"/>
      <color theme="0" tint="-0.35"/>
      <name val="微软雅黑"/>
      <charset val="134"/>
    </font>
    <font>
      <sz val="8"/>
      <color theme="0" tint="-0.5"/>
      <name val="微软雅黑"/>
      <charset val="134"/>
    </font>
    <font>
      <sz val="10"/>
      <color theme="0" tint="-0.25"/>
      <name val="微软雅黑"/>
      <charset val="134"/>
    </font>
    <font>
      <sz val="11"/>
      <name val="楷体"/>
      <charset val="134"/>
    </font>
    <font>
      <sz val="11"/>
      <color theme="1"/>
      <name val="楷体"/>
      <charset val="134"/>
    </font>
    <font>
      <sz val="14"/>
      <name val="楷体"/>
      <charset val="134"/>
    </font>
    <font>
      <sz val="22"/>
      <name val="楷体"/>
      <charset val="134"/>
    </font>
    <font>
      <sz val="20"/>
      <color theme="1"/>
      <name val="楷体"/>
      <charset val="134"/>
    </font>
    <font>
      <sz val="18"/>
      <name val="楷体"/>
      <charset val="134"/>
    </font>
    <font>
      <sz val="20"/>
      <color theme="1"/>
      <name val="宋体"/>
      <charset val="134"/>
      <scheme val="minor"/>
    </font>
    <font>
      <sz val="14"/>
      <color theme="1"/>
      <name val="楷体"/>
      <charset val="134"/>
    </font>
    <font>
      <sz val="22"/>
      <color theme="1"/>
      <name val="楷体"/>
      <charset val="134"/>
    </font>
    <font>
      <sz val="20"/>
      <name val="楷体"/>
      <charset val="134"/>
    </font>
    <font>
      <sz val="24"/>
      <color theme="1"/>
      <name val="楷体"/>
      <charset val="134"/>
    </font>
    <font>
      <b/>
      <sz val="11"/>
      <name val="Segoe Script"/>
      <charset val="134"/>
    </font>
    <font>
      <sz val="28"/>
      <name val="宋体"/>
      <charset val="134"/>
      <scheme val="minor"/>
    </font>
    <font>
      <sz val="28"/>
      <name val="宋体"/>
      <charset val="128"/>
      <scheme val="minor"/>
    </font>
    <font>
      <b/>
      <sz val="36"/>
      <name val="楷体"/>
      <charset val="134"/>
    </font>
    <font>
      <b/>
      <sz val="20"/>
      <color rgb="FFC00000"/>
      <name val="楷体"/>
      <charset val="134"/>
    </font>
    <font>
      <b/>
      <sz val="16"/>
      <name val="仿宋"/>
      <charset val="134"/>
    </font>
    <font>
      <i/>
      <u/>
      <sz val="16"/>
      <name val="楷体"/>
      <charset val="134"/>
    </font>
    <font>
      <b/>
      <sz val="16"/>
      <color rgb="FF000000"/>
      <name val="仿宋"/>
      <charset val="128"/>
    </font>
    <font>
      <sz val="18"/>
      <name val="楷体"/>
      <charset val="128"/>
    </font>
    <font>
      <b/>
      <sz val="20"/>
      <name val="楷体"/>
      <charset val="134"/>
    </font>
    <font>
      <b/>
      <sz val="16"/>
      <name val="Segoe Script"/>
      <charset val="134"/>
    </font>
    <font>
      <b/>
      <sz val="72"/>
      <name val="楷体"/>
      <charset val="134"/>
    </font>
    <font>
      <i/>
      <u/>
      <sz val="36"/>
      <name val="楷体"/>
      <charset val="134"/>
    </font>
    <font>
      <b/>
      <i/>
      <u/>
      <sz val="36"/>
      <name val="楷体"/>
      <charset val="134"/>
    </font>
    <font>
      <sz val="32"/>
      <name val="楷体"/>
      <charset val="134"/>
    </font>
    <font>
      <sz val="24"/>
      <color theme="1"/>
      <name val="微软雅黑"/>
      <charset val="134"/>
    </font>
    <font>
      <b/>
      <sz val="7"/>
      <color theme="1"/>
      <name val="微软雅黑"/>
      <charset val="134"/>
    </font>
    <font>
      <sz val="10"/>
      <color theme="0" tint="-0.5"/>
      <name val="微软雅黑"/>
      <charset val="134"/>
    </font>
    <font>
      <b/>
      <sz val="11"/>
      <color theme="1"/>
      <name val="微软雅黑"/>
      <charset val="134"/>
    </font>
    <font>
      <sz val="9"/>
      <name val="微软雅黑"/>
      <charset val="134"/>
    </font>
    <font>
      <sz val="11"/>
      <color theme="0" tint="-0.5"/>
      <name val="微软雅黑"/>
      <charset val="134"/>
    </font>
    <font>
      <sz val="9"/>
      <color theme="0"/>
      <name val="微软雅黑"/>
      <charset val="134"/>
    </font>
    <font>
      <sz val="7"/>
      <color theme="1"/>
      <name val="微软雅黑"/>
      <charset val="134"/>
    </font>
    <font>
      <b/>
      <sz val="10"/>
      <color rgb="FFFFFCEB"/>
      <name val="微软雅黑"/>
      <charset val="134"/>
    </font>
    <font>
      <b/>
      <sz val="10"/>
      <color theme="0" tint="-0.05"/>
      <name val="微软雅黑"/>
      <charset val="134"/>
    </font>
    <font>
      <b/>
      <sz val="10"/>
      <color rgb="FFFEEF00"/>
      <name val="微软雅黑"/>
      <charset val="134"/>
    </font>
    <font>
      <b/>
      <sz val="10"/>
      <color theme="0"/>
      <name val="微软雅黑"/>
      <charset val="134"/>
    </font>
    <font>
      <b/>
      <sz val="10"/>
      <color rgb="FFB87333"/>
      <name val="微软雅黑"/>
      <charset val="134"/>
    </font>
    <font>
      <b/>
      <sz val="9"/>
      <color theme="1"/>
      <name val="微软雅黑"/>
      <charset val="134"/>
    </font>
    <font>
      <b/>
      <sz val="9"/>
      <color rgb="FF0799FF"/>
      <name val="微软雅黑"/>
      <charset val="134"/>
    </font>
    <font>
      <b/>
      <sz val="9"/>
      <color rgb="FF6FC7FF"/>
      <name val="微软雅黑"/>
      <charset val="134"/>
    </font>
    <font>
      <b/>
      <sz val="9"/>
      <color rgb="FFABE1FF"/>
      <name val="微软雅黑"/>
      <charset val="134"/>
    </font>
    <font>
      <b/>
      <sz val="9"/>
      <color theme="0" tint="-0.35"/>
      <name val="微软雅黑"/>
      <charset val="134"/>
    </font>
    <font>
      <b/>
      <sz val="9"/>
      <color rgb="FFFF7777"/>
      <name val="微软雅黑"/>
      <charset val="134"/>
    </font>
    <font>
      <b/>
      <sz val="9"/>
      <color rgb="FFFF3939"/>
      <name val="微软雅黑"/>
      <charset val="134"/>
    </font>
    <font>
      <b/>
      <sz val="9"/>
      <color rgb="FFDE0000"/>
      <name val="微软雅黑"/>
      <charset val="134"/>
    </font>
    <font>
      <sz val="11"/>
      <color rgb="FF000000"/>
      <name val="微软雅黑"/>
      <charset val="134"/>
    </font>
    <font>
      <b/>
      <sz val="16"/>
      <color theme="4" tint="-0.25"/>
      <name val="微软雅黑"/>
      <charset val="134"/>
    </font>
    <font>
      <sz val="8"/>
      <color theme="0" tint="-0.25"/>
      <name val="微软雅黑"/>
      <charset val="134"/>
    </font>
    <font>
      <sz val="10"/>
      <color theme="0" tint="-0.35"/>
      <name val="微软雅黑"/>
      <charset val="134"/>
    </font>
    <font>
      <sz val="5"/>
      <color rgb="FFF7F7EB"/>
      <name val="微软雅黑"/>
      <charset val="134"/>
    </font>
    <font>
      <sz val="12"/>
      <color theme="0" tint="-0.5"/>
      <name val="微软雅黑"/>
      <charset val="134"/>
    </font>
    <font>
      <b/>
      <sz val="12"/>
      <color theme="7" tint="-0.25"/>
      <name val="微软雅黑"/>
      <charset val="134"/>
    </font>
    <font>
      <b/>
      <sz val="12"/>
      <color theme="0" tint="-0.5"/>
      <name val="微软雅黑"/>
      <charset val="134"/>
    </font>
    <font>
      <b/>
      <sz val="12"/>
      <color theme="0"/>
      <name val="微软雅黑"/>
      <charset val="134"/>
    </font>
    <font>
      <b/>
      <sz val="16"/>
      <color theme="9"/>
      <name val="微软雅黑"/>
      <charset val="134"/>
    </font>
    <font>
      <b/>
      <sz val="14"/>
      <color theme="9"/>
      <name val="微软雅黑"/>
      <charset val="134"/>
    </font>
    <font>
      <sz val="12"/>
      <name val="微软雅黑"/>
      <charset val="134"/>
    </font>
    <font>
      <sz val="12"/>
      <color theme="0" tint="-0.25"/>
      <name val="微软雅黑"/>
      <charset val="134"/>
    </font>
    <font>
      <b/>
      <sz val="12"/>
      <color theme="4"/>
      <name val="微软雅黑"/>
      <charset val="134"/>
    </font>
    <font>
      <b/>
      <sz val="12"/>
      <color theme="9"/>
      <name val="微软雅黑"/>
      <charset val="134"/>
    </font>
    <font>
      <b/>
      <sz val="10"/>
      <color theme="7" tint="-0.25"/>
      <name val="微软雅黑"/>
      <charset val="134"/>
    </font>
    <font>
      <b/>
      <sz val="9"/>
      <color theme="4"/>
      <name val="微软雅黑"/>
      <charset val="134"/>
    </font>
    <font>
      <sz val="10"/>
      <color theme="7" tint="-0.25"/>
      <name val="微软雅黑"/>
      <charset val="134"/>
    </font>
    <font>
      <sz val="9"/>
      <color theme="0" tint="-0.5"/>
      <name val="微软雅黑"/>
      <charset val="134"/>
    </font>
    <font>
      <b/>
      <sz val="11"/>
      <color theme="4"/>
      <name val="微软雅黑"/>
      <charset val="134"/>
    </font>
    <font>
      <b/>
      <sz val="14"/>
      <color theme="7" tint="-0.25"/>
      <name val="微软雅黑"/>
      <charset val="134"/>
    </font>
    <font>
      <u/>
      <sz val="8"/>
      <color theme="1"/>
      <name val="微软雅黑"/>
      <charset val="134"/>
    </font>
    <font>
      <b/>
      <sz val="10"/>
      <color theme="4" tint="-0.25"/>
      <name val="微软雅黑"/>
      <charset val="134"/>
    </font>
    <font>
      <sz val="7"/>
      <color theme="0"/>
      <name val="微软雅黑"/>
      <charset val="134"/>
    </font>
    <font>
      <sz val="7"/>
      <color theme="0" tint="-0.5"/>
      <name val="微软雅黑"/>
      <charset val="134"/>
    </font>
    <font>
      <sz val="10.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name val="Arial"/>
      <charset val="134"/>
    </font>
  </fonts>
  <fills count="45">
    <fill>
      <patternFill patternType="none"/>
    </fill>
    <fill>
      <patternFill patternType="gray125"/>
    </fill>
    <fill>
      <patternFill patternType="solid">
        <fgColor rgb="FFF7F7EB"/>
        <bgColor indexed="64"/>
      </patternFill>
    </fill>
    <fill>
      <patternFill patternType="solid">
        <fgColor theme="5" tint="-0.5"/>
        <bgColor indexed="64"/>
      </patternFill>
    </fill>
    <fill>
      <patternFill patternType="solid">
        <fgColor theme="0"/>
        <bgColor indexed="64"/>
      </patternFill>
    </fill>
    <fill>
      <patternFill patternType="solid">
        <fgColor theme="8" tint="0.8"/>
        <bgColor indexed="64"/>
      </patternFill>
    </fill>
    <fill>
      <patternFill patternType="solid">
        <fgColor theme="4" tint="0.8"/>
        <bgColor indexed="64"/>
      </patternFill>
    </fill>
    <fill>
      <patternFill patternType="solid">
        <fgColor theme="0" tint="-0.5"/>
        <bgColor indexed="64"/>
      </patternFill>
    </fill>
    <fill>
      <patternFill patternType="solid">
        <fgColor theme="0" tint="-0.05"/>
        <bgColor indexed="64"/>
      </patternFill>
    </fill>
    <fill>
      <patternFill patternType="solid">
        <fgColor theme="0" tint="-0.15"/>
        <bgColor indexed="64"/>
      </patternFill>
    </fill>
    <fill>
      <patternFill patternType="solid">
        <fgColor theme="7" tint="0.8"/>
        <bgColor indexed="64"/>
      </patternFill>
    </fill>
    <fill>
      <patternFill patternType="solid">
        <fgColor theme="4" tint="-0.5"/>
        <bgColor indexed="64"/>
      </patternFill>
    </fill>
    <fill>
      <patternFill patternType="solid">
        <fgColor theme="0" tint="-0.25"/>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 diagonalUp="1">
      <left/>
      <right/>
      <top/>
      <bottom/>
      <diagonal style="medium">
        <color auto="1"/>
      </diagonal>
    </border>
    <border diagonalUp="1">
      <left/>
      <right/>
      <top style="medium">
        <color auto="1"/>
      </top>
      <bottom style="medium">
        <color auto="1"/>
      </bottom>
      <diagonal style="medium">
        <color auto="1"/>
      </diagonal>
    </border>
    <border>
      <left/>
      <right/>
      <top style="medium">
        <color auto="1"/>
      </top>
      <bottom style="medium">
        <color auto="1"/>
      </bottom>
      <diagonal/>
    </border>
    <border diagonalDown="1">
      <left/>
      <right/>
      <top/>
      <bottom style="medium">
        <color auto="1"/>
      </bottom>
      <diagonal style="medium">
        <color auto="1"/>
      </diagonal>
    </border>
    <border diagonalUp="1">
      <left/>
      <right/>
      <top style="medium">
        <color auto="1"/>
      </top>
      <bottom/>
      <diagonal style="medium">
        <color auto="1"/>
      </diagonal>
    </border>
    <border diagonalUp="1">
      <left/>
      <right/>
      <top/>
      <bottom style="medium">
        <color auto="1"/>
      </bottom>
      <diagonal style="medium">
        <color auto="1"/>
      </diagonal>
    </border>
    <border diagonalDown="1">
      <left/>
      <right/>
      <top/>
      <bottom/>
      <diagonal style="medium">
        <color auto="1"/>
      </diagonal>
    </border>
    <border>
      <left style="medium">
        <color auto="1"/>
      </left>
      <right style="medium">
        <color auto="1"/>
      </right>
      <top/>
      <bottom/>
      <diagonal/>
    </border>
    <border diagonalDown="1">
      <left/>
      <right style="medium">
        <color auto="1"/>
      </right>
      <top/>
      <bottom/>
      <diagonal style="medium">
        <color auto="1"/>
      </diagonal>
    </border>
    <border diagonalUp="1">
      <left style="medium">
        <color auto="1"/>
      </left>
      <right/>
      <top/>
      <bottom/>
      <diagonal style="medium">
        <color auto="1"/>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diagonalDown="1">
      <left/>
      <right/>
      <top/>
      <bottom/>
      <diagonal style="thin">
        <color auto="1"/>
      </diagonal>
    </border>
    <border>
      <left/>
      <right style="thin">
        <color theme="0" tint="-0.25"/>
      </right>
      <top style="thin">
        <color theme="0" tint="-0.25"/>
      </top>
      <bottom style="thin">
        <color theme="0" tint="-0.25"/>
      </bottom>
      <diagonal/>
    </border>
    <border>
      <left/>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style="thin">
        <color auto="1"/>
      </left>
      <right/>
      <top/>
      <bottom style="thin">
        <color auto="1"/>
      </bottom>
      <diagonal/>
    </border>
    <border>
      <left style="thin">
        <color theme="0" tint="-0.5"/>
      </left>
      <right style="thin">
        <color theme="0" tint="-0.5"/>
      </right>
      <top style="thin">
        <color theme="0" tint="-0.5"/>
      </top>
      <bottom style="thin">
        <color theme="0" tint="-0.5"/>
      </bottom>
      <diagonal/>
    </border>
    <border>
      <left style="thin">
        <color theme="0" tint="-0.5"/>
      </left>
      <right/>
      <top style="thin">
        <color theme="0" tint="-0.5"/>
      </top>
      <bottom style="thin">
        <color theme="0" tint="-0.5"/>
      </bottom>
      <diagonal/>
    </border>
    <border>
      <left/>
      <right/>
      <top style="thin">
        <color theme="0" tint="-0.5"/>
      </top>
      <bottom style="thin">
        <color theme="0" tint="-0.5"/>
      </bottom>
      <diagonal/>
    </border>
    <border>
      <left/>
      <right style="thin">
        <color theme="0" tint="-0.5"/>
      </right>
      <top style="thin">
        <color theme="0" tint="-0.5"/>
      </top>
      <bottom style="thin">
        <color theme="0" tint="-0.5"/>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0" fillId="14" borderId="46" applyNumberFormat="0" applyFont="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6" fillId="0" borderId="47" applyNumberFormat="0" applyFill="0" applyAlignment="0" applyProtection="0">
      <alignment vertical="center"/>
    </xf>
    <xf numFmtId="0" fontId="97" fillId="0" borderId="47" applyNumberFormat="0" applyFill="0" applyAlignment="0" applyProtection="0">
      <alignment vertical="center"/>
    </xf>
    <xf numFmtId="0" fontId="98" fillId="0" borderId="48" applyNumberFormat="0" applyFill="0" applyAlignment="0" applyProtection="0">
      <alignment vertical="center"/>
    </xf>
    <xf numFmtId="0" fontId="98" fillId="0" borderId="0" applyNumberFormat="0" applyFill="0" applyBorder="0" applyAlignment="0" applyProtection="0">
      <alignment vertical="center"/>
    </xf>
    <xf numFmtId="0" fontId="99" fillId="15" borderId="49" applyNumberFormat="0" applyAlignment="0" applyProtection="0">
      <alignment vertical="center"/>
    </xf>
    <xf numFmtId="0" fontId="100" fillId="16" borderId="50" applyNumberFormat="0" applyAlignment="0" applyProtection="0">
      <alignment vertical="center"/>
    </xf>
    <xf numFmtId="0" fontId="101" fillId="16" borderId="49" applyNumberFormat="0" applyAlignment="0" applyProtection="0">
      <alignment vertical="center"/>
    </xf>
    <xf numFmtId="0" fontId="102" fillId="17" borderId="51" applyNumberFormat="0" applyAlignment="0" applyProtection="0">
      <alignment vertical="center"/>
    </xf>
    <xf numFmtId="0" fontId="103" fillId="0" borderId="52" applyNumberFormat="0" applyFill="0" applyAlignment="0" applyProtection="0">
      <alignment vertical="center"/>
    </xf>
    <xf numFmtId="0" fontId="104" fillId="0" borderId="53" applyNumberFormat="0" applyFill="0" applyAlignment="0" applyProtection="0">
      <alignment vertical="center"/>
    </xf>
    <xf numFmtId="0" fontId="105" fillId="18" borderId="0" applyNumberFormat="0" applyBorder="0" applyAlignment="0" applyProtection="0">
      <alignment vertical="center"/>
    </xf>
    <xf numFmtId="0" fontId="106" fillId="19" borderId="0" applyNumberFormat="0" applyBorder="0" applyAlignment="0" applyProtection="0">
      <alignment vertical="center"/>
    </xf>
    <xf numFmtId="0" fontId="107" fillId="20" borderId="0" applyNumberFormat="0" applyBorder="0" applyAlignment="0" applyProtection="0">
      <alignment vertical="center"/>
    </xf>
    <xf numFmtId="0" fontId="108" fillId="21" borderId="0" applyNumberFormat="0" applyBorder="0" applyAlignment="0" applyProtection="0">
      <alignment vertical="center"/>
    </xf>
    <xf numFmtId="0" fontId="109" fillId="22" borderId="0" applyNumberFormat="0" applyBorder="0" applyAlignment="0" applyProtection="0">
      <alignment vertical="center"/>
    </xf>
    <xf numFmtId="0" fontId="109" fillId="23" borderId="0" applyNumberFormat="0" applyBorder="0" applyAlignment="0" applyProtection="0">
      <alignment vertical="center"/>
    </xf>
    <xf numFmtId="0" fontId="108" fillId="24" borderId="0" applyNumberFormat="0" applyBorder="0" applyAlignment="0" applyProtection="0">
      <alignment vertical="center"/>
    </xf>
    <xf numFmtId="0" fontId="108" fillId="25" borderId="0" applyNumberFormat="0" applyBorder="0" applyAlignment="0" applyProtection="0">
      <alignment vertical="center"/>
    </xf>
    <xf numFmtId="0" fontId="109" fillId="26" borderId="0" applyNumberFormat="0" applyBorder="0" applyAlignment="0" applyProtection="0">
      <alignment vertical="center"/>
    </xf>
    <xf numFmtId="0" fontId="109" fillId="27" borderId="0" applyNumberFormat="0" applyBorder="0" applyAlignment="0" applyProtection="0">
      <alignment vertical="center"/>
    </xf>
    <xf numFmtId="0" fontId="108" fillId="28" borderId="0" applyNumberFormat="0" applyBorder="0" applyAlignment="0" applyProtection="0">
      <alignment vertical="center"/>
    </xf>
    <xf numFmtId="0" fontId="108" fillId="29" borderId="0" applyNumberFormat="0" applyBorder="0" applyAlignment="0" applyProtection="0">
      <alignment vertical="center"/>
    </xf>
    <xf numFmtId="0" fontId="109" fillId="30" borderId="0" applyNumberFormat="0" applyBorder="0" applyAlignment="0" applyProtection="0">
      <alignment vertical="center"/>
    </xf>
    <xf numFmtId="0" fontId="109" fillId="31" borderId="0" applyNumberFormat="0" applyBorder="0" applyAlignment="0" applyProtection="0">
      <alignment vertical="center"/>
    </xf>
    <xf numFmtId="0" fontId="108" fillId="32" borderId="0" applyNumberFormat="0" applyBorder="0" applyAlignment="0" applyProtection="0">
      <alignment vertical="center"/>
    </xf>
    <xf numFmtId="0" fontId="108" fillId="33" borderId="0" applyNumberFormat="0" applyBorder="0" applyAlignment="0" applyProtection="0">
      <alignment vertical="center"/>
    </xf>
    <xf numFmtId="0" fontId="109" fillId="34" borderId="0" applyNumberFormat="0" applyBorder="0" applyAlignment="0" applyProtection="0">
      <alignment vertical="center"/>
    </xf>
    <xf numFmtId="0" fontId="109" fillId="35" borderId="0" applyNumberFormat="0" applyBorder="0" applyAlignment="0" applyProtection="0">
      <alignment vertical="center"/>
    </xf>
    <xf numFmtId="0" fontId="108" fillId="36" borderId="0" applyNumberFormat="0" applyBorder="0" applyAlignment="0" applyProtection="0">
      <alignment vertical="center"/>
    </xf>
    <xf numFmtId="0" fontId="108" fillId="37" borderId="0" applyNumberFormat="0" applyBorder="0" applyAlignment="0" applyProtection="0">
      <alignment vertical="center"/>
    </xf>
    <xf numFmtId="0" fontId="109" fillId="38" borderId="0" applyNumberFormat="0" applyBorder="0" applyAlignment="0" applyProtection="0">
      <alignment vertical="center"/>
    </xf>
    <xf numFmtId="0" fontId="109" fillId="39" borderId="0" applyNumberFormat="0" applyBorder="0" applyAlignment="0" applyProtection="0">
      <alignment vertical="center"/>
    </xf>
    <xf numFmtId="0" fontId="108" fillId="40" borderId="0" applyNumberFormat="0" applyBorder="0" applyAlignment="0" applyProtection="0">
      <alignment vertical="center"/>
    </xf>
    <xf numFmtId="0" fontId="108" fillId="41" borderId="0" applyNumberFormat="0" applyBorder="0" applyAlignment="0" applyProtection="0">
      <alignment vertical="center"/>
    </xf>
    <xf numFmtId="0" fontId="109" fillId="42" borderId="0" applyNumberFormat="0" applyBorder="0" applyAlignment="0" applyProtection="0">
      <alignment vertical="center"/>
    </xf>
    <xf numFmtId="0" fontId="109" fillId="43" borderId="0" applyNumberFormat="0" applyBorder="0" applyAlignment="0" applyProtection="0">
      <alignment vertical="center"/>
    </xf>
    <xf numFmtId="0" fontId="108" fillId="44" borderId="0" applyNumberFormat="0" applyBorder="0" applyAlignment="0" applyProtection="0">
      <alignment vertical="center"/>
    </xf>
  </cellStyleXfs>
  <cellXfs count="489">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2" borderId="0" xfId="0" applyFill="1">
      <alignment vertical="center"/>
    </xf>
    <xf numFmtId="0" fontId="2" fillId="3" borderId="0" xfId="0" applyFont="1" applyFill="1" applyBorder="1" applyAlignment="1">
      <alignment horizontal="center" vertical="center"/>
    </xf>
    <xf numFmtId="0" fontId="2" fillId="3" borderId="0" xfId="0" applyFont="1" applyFill="1" applyAlignment="1">
      <alignment vertical="center"/>
    </xf>
    <xf numFmtId="0" fontId="3" fillId="4" borderId="0" xfId="0" applyNumberFormat="1" applyFont="1" applyFill="1" applyAlignment="1"/>
    <xf numFmtId="0" fontId="3" fillId="4" borderId="0" xfId="0" applyNumberFormat="1" applyFont="1" applyFill="1" applyAlignment="1">
      <alignment horizontal="center"/>
    </xf>
    <xf numFmtId="0" fontId="3" fillId="4" borderId="1" xfId="0" applyNumberFormat="1" applyFont="1" applyFill="1" applyBorder="1" applyAlignment="1"/>
    <xf numFmtId="0" fontId="3" fillId="4" borderId="1" xfId="0" applyNumberFormat="1" applyFont="1" applyFill="1" applyBorder="1" applyAlignment="1">
      <alignment horizontal="center"/>
    </xf>
    <xf numFmtId="0" fontId="3" fillId="4" borderId="0" xfId="0" applyFont="1" applyFill="1" applyAlignment="1"/>
    <xf numFmtId="0" fontId="0" fillId="4" borderId="0" xfId="0" applyFill="1" applyAlignment="1"/>
    <xf numFmtId="0" fontId="0" fillId="4" borderId="0" xfId="0" applyFill="1" applyAlignment="1">
      <alignment wrapText="1"/>
    </xf>
    <xf numFmtId="0" fontId="3"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justify" wrapText="1"/>
    </xf>
    <xf numFmtId="0" fontId="5" fillId="0" borderId="0" xfId="0" applyFont="1" applyAlignment="1">
      <alignment horizontal="center" vertical="center" wrapText="1"/>
    </xf>
    <xf numFmtId="58" fontId="5" fillId="0" borderId="0" xfId="0" applyNumberFormat="1" applyFont="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0" fontId="6" fillId="0" borderId="0" xfId="0" applyFont="1" applyAlignment="1">
      <alignment horizontal="center" vertical="center" wrapText="1"/>
    </xf>
    <xf numFmtId="0" fontId="5" fillId="5" borderId="1" xfId="0" applyFont="1" applyFill="1" applyBorder="1" applyAlignment="1">
      <alignment horizontal="center" vertical="center" wrapText="1"/>
    </xf>
    <xf numFmtId="0" fontId="6" fillId="0" borderId="1" xfId="0" applyFont="1" applyBorder="1" applyAlignment="1">
      <alignment vertical="center" wrapText="1"/>
    </xf>
    <xf numFmtId="0" fontId="7" fillId="5"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0" fontId="1"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9" fillId="0" borderId="0" xfId="0" applyFont="1" applyAlignment="1">
      <alignment horizontal="center" wrapText="1"/>
    </xf>
    <xf numFmtId="0" fontId="10" fillId="0" borderId="0" xfId="0" applyFont="1" applyAlignment="1">
      <alignment horizontal="center" vertical="center" wrapText="1"/>
    </xf>
    <xf numFmtId="0" fontId="11" fillId="5" borderId="1" xfId="0" applyFont="1" applyFill="1" applyBorder="1" applyAlignment="1">
      <alignment horizontal="center" vertical="center" wrapText="1"/>
    </xf>
    <xf numFmtId="0" fontId="7" fillId="0" borderId="1" xfId="0"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wrapText="1"/>
    </xf>
    <xf numFmtId="0" fontId="7" fillId="6" borderId="1" xfId="0" applyFont="1" applyFill="1" applyBorder="1" applyAlignment="1" applyProtection="1">
      <alignment horizontal="center" vertical="center" wrapText="1"/>
    </xf>
    <xf numFmtId="0" fontId="5" fillId="0" borderId="0" xfId="0" applyFont="1" applyBorder="1" applyAlignment="1">
      <alignment vertical="center" wrapText="1"/>
    </xf>
    <xf numFmtId="0" fontId="12" fillId="0" borderId="0" xfId="0" applyFont="1" applyAlignment="1">
      <alignment horizontal="center" vertical="top" wrapText="1"/>
    </xf>
    <xf numFmtId="0" fontId="1" fillId="0" borderId="0" xfId="0" applyFont="1" applyAlignment="1">
      <alignment horizontal="left" vertical="center" wrapText="1"/>
    </xf>
    <xf numFmtId="0" fontId="6" fillId="0" borderId="0" xfId="0" applyFont="1" applyAlignment="1">
      <alignment vertical="center" wrapText="1"/>
    </xf>
    <xf numFmtId="0" fontId="13" fillId="0" borderId="0" xfId="0" applyFont="1" applyAlignment="1">
      <alignment horizontal="center" vertical="center" wrapText="1"/>
    </xf>
    <xf numFmtId="0" fontId="14" fillId="5" borderId="1" xfId="0" applyFont="1" applyFill="1" applyBorder="1" applyAlignment="1" applyProtection="1">
      <alignment horizontal="center" vertical="center" wrapText="1"/>
      <protection locked="0"/>
    </xf>
    <xf numFmtId="0" fontId="14" fillId="6" borderId="1" xfId="0" applyFont="1" applyFill="1" applyBorder="1" applyAlignment="1" applyProtection="1">
      <alignment horizontal="left" vertical="center" wrapText="1"/>
      <protection locked="0"/>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2" fillId="7" borderId="1" xfId="0" applyFont="1" applyFill="1" applyBorder="1" applyAlignment="1">
      <alignment horizontal="center" vertical="center" wrapText="1"/>
    </xf>
    <xf numFmtId="0" fontId="7" fillId="4" borderId="1" xfId="0" applyFont="1" applyFill="1" applyBorder="1" applyAlignment="1" applyProtection="1">
      <alignment horizontal="center" vertical="center" wrapText="1"/>
      <protection locked="0"/>
    </xf>
    <xf numFmtId="0" fontId="1" fillId="2" borderId="0" xfId="0" applyFont="1" applyFill="1" applyAlignment="1">
      <alignment horizontal="center" vertical="center" wrapText="1"/>
    </xf>
    <xf numFmtId="0" fontId="15" fillId="2" borderId="0" xfId="0" applyFont="1" applyFill="1" applyAlignment="1">
      <alignment horizontal="center" wrapText="1"/>
    </xf>
    <xf numFmtId="0" fontId="16" fillId="2" borderId="0" xfId="0" applyFont="1" applyFill="1" applyAlignment="1">
      <alignment horizontal="center" wrapText="1"/>
    </xf>
    <xf numFmtId="0" fontId="16" fillId="2" borderId="0" xfId="0" applyFont="1" applyFill="1" applyAlignment="1"/>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left" vertical="center" wrapText="1"/>
      <protection locked="0"/>
    </xf>
    <xf numFmtId="0" fontId="17" fillId="2" borderId="0" xfId="0" applyFont="1" applyFill="1" applyAlignment="1">
      <alignment horizontal="center" vertical="center" wrapText="1"/>
    </xf>
    <xf numFmtId="0" fontId="1" fillId="4" borderId="2" xfId="0" applyFont="1" applyFill="1" applyBorder="1" applyAlignment="1" applyProtection="1">
      <alignment horizontal="left" vertical="center" wrapText="1"/>
      <protection locked="0"/>
    </xf>
    <xf numFmtId="0" fontId="1" fillId="4" borderId="3" xfId="0" applyFont="1" applyFill="1" applyBorder="1" applyAlignment="1" applyProtection="1">
      <alignment horizontal="left" vertical="center" wrapText="1"/>
      <protection locked="0"/>
    </xf>
    <xf numFmtId="0" fontId="1" fillId="4" borderId="4" xfId="0" applyFont="1" applyFill="1" applyBorder="1" applyAlignment="1" applyProtection="1">
      <alignment horizontal="left" vertical="center" wrapText="1"/>
      <protection locked="0"/>
    </xf>
    <xf numFmtId="0" fontId="1" fillId="8" borderId="1" xfId="0" applyFont="1" applyFill="1" applyBorder="1" applyAlignment="1" applyProtection="1">
      <alignment horizontal="center" vertical="center" wrapText="1"/>
      <protection locked="0"/>
    </xf>
    <xf numFmtId="0" fontId="1" fillId="8" borderId="1" xfId="0" applyFont="1" applyFill="1" applyBorder="1" applyAlignment="1" applyProtection="1">
      <alignment horizontal="left" vertical="center" wrapText="1"/>
      <protection locked="0"/>
    </xf>
    <xf numFmtId="0" fontId="1" fillId="8" borderId="2" xfId="0" applyFont="1" applyFill="1" applyBorder="1" applyAlignment="1" applyProtection="1">
      <alignment horizontal="left" vertical="center" wrapText="1"/>
      <protection locked="0"/>
    </xf>
    <xf numFmtId="0" fontId="1" fillId="8" borderId="3" xfId="0" applyFont="1" applyFill="1" applyBorder="1" applyAlignment="1" applyProtection="1">
      <alignment horizontal="left" vertical="center" wrapText="1"/>
      <protection locked="0"/>
    </xf>
    <xf numFmtId="0" fontId="1" fillId="8" borderId="4" xfId="0" applyFont="1" applyFill="1" applyBorder="1" applyAlignment="1" applyProtection="1">
      <alignment horizontal="left" vertical="center" wrapText="1"/>
      <protection locked="0"/>
    </xf>
    <xf numFmtId="0" fontId="3" fillId="4" borderId="0" xfId="0" applyFont="1" applyFill="1" applyAlignment="1" applyProtection="1">
      <protection locked="0"/>
    </xf>
    <xf numFmtId="0" fontId="0" fillId="4" borderId="0" xfId="0" applyFill="1" applyAlignment="1" applyProtection="1">
      <protection locked="0"/>
    </xf>
    <xf numFmtId="0" fontId="18" fillId="4" borderId="0" xfId="0" applyFont="1" applyFill="1" applyAlignment="1" applyProtection="1">
      <protection locked="0"/>
    </xf>
    <xf numFmtId="0" fontId="19" fillId="4" borderId="0" xfId="0" applyFont="1" applyFill="1" applyAlignment="1" applyProtection="1">
      <protection locked="0"/>
    </xf>
    <xf numFmtId="0" fontId="20" fillId="4" borderId="0" xfId="0" applyFont="1" applyFill="1" applyAlignment="1" applyProtection="1">
      <alignment horizontal="left" vertical="center"/>
      <protection locked="0"/>
    </xf>
    <xf numFmtId="0" fontId="21" fillId="4" borderId="0" xfId="0" applyFont="1" applyFill="1" applyAlignment="1" applyProtection="1">
      <alignment horizontal="center" vertical="center"/>
    </xf>
    <xf numFmtId="0" fontId="22" fillId="4" borderId="0" xfId="0" applyFont="1" applyFill="1" applyAlignment="1" applyProtection="1">
      <alignment horizontal="center" vertical="center"/>
      <protection locked="0"/>
    </xf>
    <xf numFmtId="0" fontId="23" fillId="4" borderId="0" xfId="0" applyFont="1" applyFill="1" applyAlignment="1" applyProtection="1">
      <alignment horizontal="left" vertical="top" wrapText="1"/>
    </xf>
    <xf numFmtId="0" fontId="22" fillId="4" borderId="5" xfId="0" applyFont="1" applyFill="1" applyBorder="1" applyAlignment="1" applyProtection="1">
      <alignment horizontal="center" vertical="center"/>
      <protection locked="0"/>
    </xf>
    <xf numFmtId="0" fontId="22" fillId="4" borderId="6" xfId="0" applyFont="1" applyFill="1" applyBorder="1" applyAlignment="1" applyProtection="1">
      <alignment horizontal="center" vertical="center"/>
      <protection locked="0"/>
    </xf>
    <xf numFmtId="0" fontId="0" fillId="4" borderId="7" xfId="0" applyFill="1" applyBorder="1" applyAlignment="1" applyProtection="1">
      <protection locked="0"/>
    </xf>
    <xf numFmtId="0" fontId="19" fillId="4" borderId="7" xfId="0" applyFont="1" applyFill="1" applyBorder="1" applyAlignment="1" applyProtection="1">
      <protection locked="0"/>
    </xf>
    <xf numFmtId="0" fontId="0" fillId="4" borderId="6" xfId="0" applyFill="1" applyBorder="1" applyAlignment="1" applyProtection="1">
      <protection locked="0"/>
    </xf>
    <xf numFmtId="0" fontId="22" fillId="4" borderId="8" xfId="0" applyFont="1" applyFill="1" applyBorder="1" applyAlignment="1" applyProtection="1">
      <alignment horizontal="center" vertical="center"/>
      <protection locked="0"/>
    </xf>
    <xf numFmtId="0" fontId="22" fillId="4" borderId="9" xfId="0" applyFont="1" applyFill="1" applyBorder="1" applyAlignment="1" applyProtection="1">
      <alignment horizontal="center" vertical="center"/>
      <protection locked="0"/>
    </xf>
    <xf numFmtId="0" fontId="0" fillId="4" borderId="10" xfId="0" applyFill="1" applyBorder="1" applyAlignment="1" applyProtection="1">
      <protection locked="0"/>
    </xf>
    <xf numFmtId="0" fontId="22" fillId="4" borderId="11" xfId="0" applyFont="1" applyFill="1" applyBorder="1" applyAlignment="1" applyProtection="1">
      <alignment horizontal="center" vertical="center"/>
      <protection locked="0"/>
    </xf>
    <xf numFmtId="0" fontId="24" fillId="4" borderId="0" xfId="0" applyFont="1" applyFill="1" applyAlignment="1" applyProtection="1">
      <alignment horizontal="center" vertical="center"/>
      <protection locked="0"/>
    </xf>
    <xf numFmtId="0" fontId="24" fillId="4" borderId="10" xfId="0" applyFont="1" applyFill="1" applyBorder="1" applyAlignment="1" applyProtection="1">
      <alignment horizontal="center" vertical="center"/>
      <protection locked="0"/>
    </xf>
    <xf numFmtId="0" fontId="22" fillId="4" borderId="0" xfId="0" applyFont="1" applyFill="1" applyAlignment="1" applyProtection="1">
      <alignment horizontal="center" vertical="center"/>
    </xf>
    <xf numFmtId="0" fontId="25" fillId="4" borderId="0" xfId="0" applyFont="1" applyFill="1" applyAlignment="1" applyProtection="1">
      <alignment horizontal="center" vertical="center"/>
    </xf>
    <xf numFmtId="0" fontId="22" fillId="4" borderId="5" xfId="0" applyFont="1" applyFill="1" applyBorder="1" applyAlignment="1" applyProtection="1">
      <alignment horizontal="center" vertical="center"/>
    </xf>
    <xf numFmtId="0" fontId="22" fillId="4" borderId="6" xfId="0" applyFont="1" applyFill="1" applyBorder="1" applyAlignment="1" applyProtection="1">
      <alignment horizontal="center" vertical="center"/>
    </xf>
    <xf numFmtId="0" fontId="22" fillId="4" borderId="12" xfId="0" applyFont="1" applyFill="1" applyBorder="1" applyAlignment="1" applyProtection="1">
      <alignment horizontal="center"/>
      <protection locked="0"/>
    </xf>
    <xf numFmtId="0" fontId="22" fillId="4" borderId="10" xfId="0" applyFont="1" applyFill="1" applyBorder="1" applyAlignment="1" applyProtection="1">
      <alignment horizontal="center" vertical="center"/>
      <protection locked="0"/>
    </xf>
    <xf numFmtId="0" fontId="22" fillId="4" borderId="8" xfId="0" applyFont="1" applyFill="1" applyBorder="1" applyAlignment="1" applyProtection="1">
      <alignment horizontal="center" vertical="center"/>
    </xf>
    <xf numFmtId="0" fontId="22" fillId="4" borderId="9" xfId="0" applyFont="1" applyFill="1" applyBorder="1" applyAlignment="1" applyProtection="1">
      <alignment horizontal="center" vertical="center"/>
    </xf>
    <xf numFmtId="0" fontId="22" fillId="4" borderId="13" xfId="0" applyFont="1" applyFill="1" applyBorder="1" applyAlignment="1" applyProtection="1">
      <alignment horizontal="center"/>
      <protection locked="0"/>
    </xf>
    <xf numFmtId="0" fontId="26" fillId="4" borderId="0" xfId="0" applyFont="1" applyFill="1" applyAlignment="1" applyProtection="1">
      <alignment horizontal="left" vertical="top" wrapText="1"/>
    </xf>
    <xf numFmtId="0" fontId="27" fillId="4" borderId="11" xfId="0" applyFont="1" applyFill="1" applyBorder="1" applyAlignment="1" applyProtection="1">
      <alignment horizontal="center" vertical="center"/>
      <protection locked="0"/>
    </xf>
    <xf numFmtId="0" fontId="27" fillId="4" borderId="10" xfId="0" applyFont="1" applyFill="1" applyBorder="1" applyAlignment="1" applyProtection="1">
      <alignment horizontal="center" vertical="center"/>
      <protection locked="0"/>
    </xf>
    <xf numFmtId="0" fontId="27" fillId="4" borderId="0" xfId="0" applyFont="1" applyFill="1" applyAlignment="1" applyProtection="1">
      <alignment horizontal="center" vertical="center"/>
    </xf>
    <xf numFmtId="0" fontId="28" fillId="4" borderId="0" xfId="0" applyFont="1" applyFill="1" applyBorder="1" applyAlignment="1" applyProtection="1">
      <alignment vertical="center"/>
    </xf>
    <xf numFmtId="0" fontId="22" fillId="4" borderId="14" xfId="0" applyFont="1" applyFill="1" applyBorder="1" applyAlignment="1" applyProtection="1">
      <alignment horizontal="center" vertical="center"/>
      <protection locked="0"/>
    </xf>
    <xf numFmtId="0" fontId="28" fillId="4" borderId="0" xfId="0" applyFont="1" applyFill="1" applyBorder="1" applyAlignment="1" applyProtection="1">
      <alignment vertical="center"/>
      <protection locked="0"/>
    </xf>
    <xf numFmtId="0" fontId="22" fillId="4" borderId="0" xfId="0" applyFont="1" applyFill="1" applyBorder="1" applyAlignment="1" applyProtection="1">
      <alignment horizontal="center"/>
    </xf>
    <xf numFmtId="0" fontId="22" fillId="4" borderId="0" xfId="0" applyFont="1" applyFill="1" applyBorder="1" applyAlignment="1" applyProtection="1">
      <alignment horizontal="center"/>
      <protection locked="0"/>
    </xf>
    <xf numFmtId="0" fontId="27" fillId="4" borderId="1" xfId="0" applyFont="1" applyFill="1" applyBorder="1" applyAlignment="1" applyProtection="1">
      <alignment horizontal="center" vertical="center"/>
    </xf>
    <xf numFmtId="0" fontId="22" fillId="4" borderId="15" xfId="0" applyFont="1" applyFill="1" applyBorder="1" applyAlignment="1" applyProtection="1">
      <alignment vertical="center"/>
    </xf>
    <xf numFmtId="0" fontId="22" fillId="4" borderId="15" xfId="0" applyFont="1" applyFill="1" applyBorder="1" applyAlignment="1" applyProtection="1">
      <alignment vertical="center"/>
      <protection locked="0"/>
    </xf>
    <xf numFmtId="0" fontId="3" fillId="4" borderId="16" xfId="0" applyFont="1" applyFill="1" applyBorder="1" applyAlignment="1" applyProtection="1">
      <protection locked="0"/>
    </xf>
    <xf numFmtId="0" fontId="3" fillId="4" borderId="7" xfId="0" applyFont="1" applyFill="1" applyBorder="1" applyAlignment="1" applyProtection="1">
      <protection locked="0"/>
    </xf>
    <xf numFmtId="0" fontId="3" fillId="4" borderId="17" xfId="0" applyFont="1" applyFill="1" applyBorder="1" applyAlignment="1" applyProtection="1">
      <protection locked="0"/>
    </xf>
    <xf numFmtId="0" fontId="3" fillId="4" borderId="18" xfId="0" applyFont="1" applyFill="1" applyBorder="1" applyAlignment="1" applyProtection="1">
      <protection locked="0"/>
    </xf>
    <xf numFmtId="0" fontId="3" fillId="4" borderId="19" xfId="0" applyFont="1" applyFill="1" applyBorder="1" applyAlignment="1" applyProtection="1">
      <protection locked="0"/>
    </xf>
    <xf numFmtId="0" fontId="22" fillId="4" borderId="0" xfId="0" applyFont="1" applyFill="1" applyAlignment="1" applyProtection="1">
      <alignment horizontal="center"/>
      <protection locked="0"/>
    </xf>
    <xf numFmtId="0" fontId="3" fillId="4" borderId="20" xfId="0" applyFont="1" applyFill="1" applyBorder="1" applyAlignment="1" applyProtection="1">
      <protection locked="0"/>
    </xf>
    <xf numFmtId="0" fontId="3" fillId="4" borderId="0" xfId="0" applyFont="1" applyFill="1" applyBorder="1" applyAlignment="1" applyProtection="1">
      <protection locked="0"/>
    </xf>
    <xf numFmtId="0" fontId="3" fillId="4" borderId="21" xfId="0" applyFont="1" applyFill="1" applyBorder="1" applyAlignment="1" applyProtection="1">
      <protection locked="0"/>
    </xf>
    <xf numFmtId="0" fontId="29" fillId="4" borderId="7" xfId="0" applyFont="1" applyFill="1" applyBorder="1" applyAlignment="1" applyProtection="1">
      <alignment horizontal="right"/>
    </xf>
    <xf numFmtId="0" fontId="3" fillId="4" borderId="6" xfId="0" applyFont="1" applyFill="1" applyBorder="1" applyAlignment="1" applyProtection="1">
      <protection locked="0"/>
    </xf>
    <xf numFmtId="0" fontId="22" fillId="4" borderId="0" xfId="0" applyFont="1" applyFill="1" applyBorder="1" applyAlignment="1" applyProtection="1">
      <alignment vertical="top"/>
      <protection locked="0"/>
    </xf>
    <xf numFmtId="0" fontId="3" fillId="4" borderId="11" xfId="0" applyFont="1" applyFill="1" applyBorder="1" applyAlignment="1" applyProtection="1">
      <protection locked="0"/>
    </xf>
    <xf numFmtId="0" fontId="30" fillId="4" borderId="7" xfId="0" applyFont="1" applyFill="1" applyBorder="1" applyAlignment="1" applyProtection="1">
      <alignment horizontal="center" vertical="center"/>
      <protection locked="0"/>
    </xf>
    <xf numFmtId="0" fontId="31" fillId="4" borderId="6" xfId="0" applyFont="1" applyFill="1" applyBorder="1" applyAlignment="1" applyProtection="1">
      <alignment horizontal="center" vertical="center"/>
      <protection locked="0"/>
    </xf>
    <xf numFmtId="0" fontId="3" fillId="4" borderId="10" xfId="0" applyFont="1" applyFill="1" applyBorder="1" applyAlignment="1" applyProtection="1">
      <protection locked="0"/>
    </xf>
    <xf numFmtId="0" fontId="32" fillId="4" borderId="0" xfId="0" applyFont="1" applyFill="1" applyBorder="1" applyAlignment="1" applyProtection="1">
      <alignment horizontal="center" vertical="center"/>
    </xf>
    <xf numFmtId="0" fontId="31" fillId="4" borderId="0" xfId="0" applyFont="1" applyFill="1" applyBorder="1" applyAlignment="1" applyProtection="1">
      <alignment horizontal="center" vertical="center"/>
      <protection locked="0"/>
    </xf>
    <xf numFmtId="0" fontId="31" fillId="4" borderId="10" xfId="0" applyFont="1" applyFill="1" applyBorder="1" applyAlignment="1" applyProtection="1">
      <alignment horizontal="center" vertical="center"/>
      <protection locked="0"/>
    </xf>
    <xf numFmtId="0" fontId="3" fillId="4" borderId="22" xfId="0" applyFont="1" applyFill="1" applyBorder="1" applyAlignment="1" applyProtection="1">
      <alignment horizontal="center"/>
      <protection locked="0"/>
    </xf>
    <xf numFmtId="0" fontId="3" fillId="4" borderId="16" xfId="0" applyFont="1" applyFill="1" applyBorder="1" applyAlignment="1" applyProtection="1">
      <alignment horizontal="center"/>
      <protection locked="0"/>
    </xf>
    <xf numFmtId="0" fontId="3" fillId="4" borderId="5" xfId="0" applyFont="1" applyFill="1" applyBorder="1" applyAlignment="1" applyProtection="1">
      <protection locked="0"/>
    </xf>
    <xf numFmtId="0" fontId="3" fillId="4" borderId="23" xfId="0" applyFont="1" applyFill="1" applyBorder="1" applyAlignment="1" applyProtection="1">
      <protection locked="0"/>
    </xf>
    <xf numFmtId="0" fontId="33" fillId="0" borderId="0" xfId="0" applyFont="1" applyFill="1" applyAlignment="1" applyProtection="1">
      <alignment horizontal="center" vertical="center"/>
      <protection locked="0"/>
    </xf>
    <xf numFmtId="0" fontId="20" fillId="4" borderId="0" xfId="0" applyFont="1" applyFill="1" applyAlignment="1" applyProtection="1">
      <alignment horizontal="left" vertical="center"/>
    </xf>
    <xf numFmtId="0" fontId="20" fillId="4" borderId="0" xfId="0" applyFont="1" applyFill="1" applyAlignment="1" applyProtection="1">
      <alignment horizontal="right" vertical="center"/>
    </xf>
    <xf numFmtId="0" fontId="20" fillId="4" borderId="0" xfId="0" applyFont="1" applyFill="1" applyAlignment="1" applyProtection="1">
      <alignment horizontal="center" vertical="center"/>
    </xf>
    <xf numFmtId="0" fontId="34" fillId="4" borderId="0" xfId="0" applyFont="1" applyFill="1" applyAlignment="1" applyProtection="1">
      <alignment horizontal="center" vertical="center"/>
    </xf>
    <xf numFmtId="0" fontId="35" fillId="4" borderId="0" xfId="0" applyFont="1" applyFill="1" applyAlignment="1" applyProtection="1">
      <alignment horizontal="left" vertical="center"/>
    </xf>
    <xf numFmtId="0" fontId="34" fillId="4" borderId="0" xfId="0" applyFont="1" applyFill="1" applyBorder="1" applyAlignment="1" applyProtection="1">
      <alignment horizontal="center" vertical="center"/>
    </xf>
    <xf numFmtId="0" fontId="36" fillId="4" borderId="0" xfId="0" applyFont="1" applyFill="1" applyBorder="1" applyAlignment="1" applyProtection="1">
      <alignment horizontal="center" vertical="center"/>
    </xf>
    <xf numFmtId="0" fontId="18" fillId="4" borderId="0" xfId="0" applyFont="1" applyFill="1" applyBorder="1" applyAlignment="1" applyProtection="1"/>
    <xf numFmtId="0" fontId="23" fillId="4" borderId="0" xfId="0" applyFont="1" applyFill="1" applyBorder="1" applyAlignment="1" applyProtection="1">
      <alignment horizontal="left" vertical="top" wrapText="1"/>
    </xf>
    <xf numFmtId="0" fontId="37" fillId="4" borderId="0" xfId="0" applyFont="1" applyFill="1" applyBorder="1" applyAlignment="1" applyProtection="1">
      <alignment horizontal="left" vertical="top"/>
    </xf>
    <xf numFmtId="0" fontId="3" fillId="4" borderId="24" xfId="0" applyFont="1" applyFill="1" applyBorder="1" applyAlignment="1" applyProtection="1">
      <protection locked="0"/>
    </xf>
    <xf numFmtId="0" fontId="38" fillId="4" borderId="0" xfId="0" applyFont="1" applyFill="1" applyAlignment="1" applyProtection="1">
      <alignment horizontal="center" vertical="center"/>
    </xf>
    <xf numFmtId="0" fontId="3" fillId="4" borderId="24" xfId="0" applyFont="1" applyFill="1" applyBorder="1" applyAlignment="1" applyProtection="1">
      <alignment horizontal="center"/>
      <protection locked="0"/>
    </xf>
    <xf numFmtId="0" fontId="3" fillId="4" borderId="15" xfId="0" applyFont="1" applyFill="1" applyBorder="1" applyAlignment="1" applyProtection="1">
      <protection locked="0"/>
    </xf>
    <xf numFmtId="0" fontId="3" fillId="4" borderId="25" xfId="0" applyFont="1" applyFill="1" applyBorder="1" applyAlignment="1" applyProtection="1">
      <protection locked="0"/>
    </xf>
    <xf numFmtId="0" fontId="3" fillId="4" borderId="22" xfId="0" applyFont="1" applyFill="1" applyBorder="1" applyAlignment="1" applyProtection="1">
      <protection locked="0"/>
    </xf>
    <xf numFmtId="0" fontId="39" fillId="4" borderId="7" xfId="0" applyFont="1" applyFill="1" applyBorder="1" applyAlignment="1" applyProtection="1">
      <alignment horizontal="center"/>
    </xf>
    <xf numFmtId="0" fontId="39" fillId="4" borderId="6" xfId="0" applyFont="1" applyFill="1" applyBorder="1" applyAlignment="1" applyProtection="1">
      <alignment horizontal="center"/>
    </xf>
    <xf numFmtId="0" fontId="32" fillId="4" borderId="0" xfId="0" applyFont="1" applyFill="1" applyBorder="1" applyAlignment="1" applyProtection="1">
      <alignment vertical="center"/>
    </xf>
    <xf numFmtId="0" fontId="40" fillId="4" borderId="0" xfId="0" applyFont="1" applyFill="1" applyAlignment="1" applyProtection="1">
      <alignment horizontal="center" vertical="center"/>
    </xf>
    <xf numFmtId="0" fontId="32" fillId="4" borderId="0" xfId="0" applyFont="1" applyFill="1" applyAlignment="1" applyProtection="1">
      <alignment horizontal="center" vertical="center"/>
    </xf>
    <xf numFmtId="0" fontId="32" fillId="4" borderId="0" xfId="0" applyFont="1" applyFill="1" applyAlignment="1" applyProtection="1">
      <alignment vertical="center"/>
    </xf>
    <xf numFmtId="0" fontId="32" fillId="4" borderId="0" xfId="0" applyFont="1" applyFill="1" applyAlignment="1" applyProtection="1">
      <alignment horizontal="right" vertical="center"/>
    </xf>
    <xf numFmtId="0" fontId="0" fillId="4" borderId="0" xfId="0" applyFill="1" applyAlignment="1" applyProtection="1"/>
    <xf numFmtId="0" fontId="35" fillId="4" borderId="0" xfId="0" applyFont="1" applyFill="1" applyAlignment="1" applyProtection="1">
      <alignment vertical="center"/>
    </xf>
    <xf numFmtId="0" fontId="41" fillId="4" borderId="0" xfId="0" applyFont="1" applyFill="1" applyAlignment="1" applyProtection="1">
      <alignment horizontal="left" vertical="center"/>
    </xf>
    <xf numFmtId="0" fontId="41" fillId="4" borderId="0" xfId="0" applyFont="1" applyFill="1" applyAlignment="1" applyProtection="1">
      <alignment horizontal="left" vertical="center" wrapText="1"/>
    </xf>
    <xf numFmtId="0" fontId="42" fillId="4" borderId="0" xfId="0" applyFont="1" applyFill="1" applyAlignment="1" applyProtection="1">
      <alignment horizontal="left" vertical="top"/>
    </xf>
    <xf numFmtId="0" fontId="43" fillId="4" borderId="0" xfId="0" applyFont="1" applyFill="1" applyAlignment="1" applyProtection="1">
      <alignment horizontal="left" vertical="top" wrapText="1"/>
    </xf>
    <xf numFmtId="0" fontId="3" fillId="4" borderId="1" xfId="0" applyFont="1" applyFill="1" applyBorder="1" applyAlignment="1"/>
    <xf numFmtId="0" fontId="5" fillId="4" borderId="0" xfId="0" applyFont="1" applyFill="1" applyAlignment="1">
      <alignment horizontal="center" vertical="center" wrapText="1"/>
    </xf>
    <xf numFmtId="1" fontId="5" fillId="4" borderId="0" xfId="0" applyNumberFormat="1" applyFont="1" applyFill="1" applyAlignment="1">
      <alignment horizontal="center" vertical="center" wrapText="1"/>
    </xf>
    <xf numFmtId="0" fontId="5" fillId="4" borderId="26"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44" fillId="4" borderId="1" xfId="0" applyFont="1" applyFill="1" applyBorder="1" applyAlignment="1">
      <alignment horizontal="center" vertical="center" wrapText="1"/>
    </xf>
    <xf numFmtId="0" fontId="44" fillId="4" borderId="30" xfId="0" applyFont="1" applyFill="1" applyBorder="1" applyAlignment="1">
      <alignment horizontal="center" vertical="center" wrapText="1"/>
    </xf>
    <xf numFmtId="0" fontId="1" fillId="4" borderId="28" xfId="0" applyFont="1" applyFill="1" applyBorder="1" applyAlignment="1">
      <alignment horizontal="center" vertical="center" wrapText="1"/>
    </xf>
    <xf numFmtId="1" fontId="1" fillId="4" borderId="31" xfId="0" applyNumberFormat="1"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7" xfId="0" applyFont="1" applyFill="1" applyBorder="1" applyAlignment="1">
      <alignment horizontal="center" vertical="center" wrapText="1"/>
    </xf>
    <xf numFmtId="1" fontId="1" fillId="4" borderId="27" xfId="0" applyNumberFormat="1" applyFont="1" applyFill="1" applyBorder="1" applyAlignment="1">
      <alignment horizontal="center" vertical="center" wrapText="1"/>
    </xf>
    <xf numFmtId="0" fontId="1" fillId="4" borderId="28" xfId="0" applyFont="1" applyFill="1" applyBorder="1" applyAlignment="1" applyProtection="1">
      <alignment horizontal="center" vertical="center" wrapText="1"/>
    </xf>
    <xf numFmtId="0" fontId="45" fillId="4" borderId="27" xfId="0" applyFont="1" applyFill="1" applyBorder="1" applyAlignment="1" applyProtection="1">
      <alignment horizontal="center" vertical="center" wrapText="1"/>
    </xf>
    <xf numFmtId="0" fontId="1" fillId="4" borderId="28" xfId="0" applyFont="1" applyFill="1" applyBorder="1" applyAlignment="1" applyProtection="1">
      <alignment horizontal="center" vertical="center" wrapText="1"/>
      <protection locked="0"/>
    </xf>
    <xf numFmtId="0" fontId="1" fillId="4" borderId="32" xfId="0" applyFont="1" applyFill="1" applyBorder="1" applyAlignment="1">
      <alignment horizontal="center" vertical="center" wrapText="1"/>
    </xf>
    <xf numFmtId="1" fontId="1" fillId="4" borderId="32" xfId="0" applyNumberFormat="1" applyFont="1" applyFill="1" applyBorder="1" applyAlignment="1">
      <alignment horizontal="center" vertical="center" wrapText="1"/>
    </xf>
    <xf numFmtId="0" fontId="1" fillId="4" borderId="33" xfId="0" applyFont="1" applyFill="1" applyBorder="1" applyAlignment="1" applyProtection="1">
      <alignment horizontal="center" vertical="center" wrapText="1"/>
    </xf>
    <xf numFmtId="0" fontId="45" fillId="4" borderId="32" xfId="0" applyFont="1" applyFill="1" applyBorder="1" applyAlignment="1" applyProtection="1">
      <alignment horizontal="center" vertical="center" wrapText="1"/>
    </xf>
    <xf numFmtId="0" fontId="1" fillId="4" borderId="33" xfId="0" applyFont="1" applyFill="1" applyBorder="1" applyAlignment="1" applyProtection="1">
      <alignment horizontal="center" vertical="center" wrapText="1"/>
      <protection locked="0"/>
    </xf>
    <xf numFmtId="0" fontId="46" fillId="4" borderId="0" xfId="0" applyFont="1" applyFill="1" applyAlignment="1">
      <alignment horizontal="center" vertical="center" wrapText="1"/>
    </xf>
    <xf numFmtId="1" fontId="46" fillId="4" borderId="0" xfId="0" applyNumberFormat="1" applyFont="1" applyFill="1" applyAlignment="1">
      <alignment horizontal="center" vertical="center" wrapText="1"/>
    </xf>
    <xf numFmtId="0" fontId="47" fillId="4" borderId="26" xfId="0" applyFont="1" applyFill="1" applyBorder="1" applyAlignment="1">
      <alignment horizontal="center" vertical="center" wrapText="1"/>
    </xf>
    <xf numFmtId="0" fontId="47" fillId="4" borderId="27" xfId="0" applyFont="1" applyFill="1" applyBorder="1" applyAlignment="1">
      <alignment horizontal="center" vertical="center" wrapText="1"/>
    </xf>
    <xf numFmtId="0" fontId="5" fillId="4" borderId="34" xfId="0" applyFont="1" applyFill="1" applyBorder="1" applyAlignment="1">
      <alignment horizontal="center" vertical="center" wrapText="1"/>
    </xf>
    <xf numFmtId="176" fontId="46" fillId="4" borderId="35" xfId="0" applyNumberFormat="1" applyFont="1" applyFill="1" applyBorder="1" applyAlignment="1">
      <alignment horizontal="center" vertical="center" wrapText="1"/>
    </xf>
    <xf numFmtId="1" fontId="46" fillId="4" borderId="35" xfId="0" applyNumberFormat="1" applyFont="1" applyFill="1" applyBorder="1" applyAlignment="1">
      <alignment horizontal="center" vertical="center" wrapText="1"/>
    </xf>
    <xf numFmtId="1" fontId="2" fillId="4" borderId="36" xfId="0" applyNumberFormat="1" applyFont="1" applyFill="1" applyBorder="1" applyAlignment="1">
      <alignment horizontal="center" vertical="center" wrapText="1"/>
    </xf>
    <xf numFmtId="0" fontId="46" fillId="4" borderId="35" xfId="0" applyFont="1" applyFill="1" applyBorder="1" applyAlignment="1" applyProtection="1">
      <alignment horizontal="center" vertical="center" wrapText="1"/>
      <protection locked="0"/>
    </xf>
    <xf numFmtId="176" fontId="46" fillId="4" borderId="37" xfId="0" applyNumberFormat="1" applyFont="1" applyFill="1" applyBorder="1" applyAlignment="1">
      <alignment horizontal="center" vertical="center" wrapText="1"/>
    </xf>
    <xf numFmtId="1" fontId="46" fillId="4" borderId="37" xfId="0" applyNumberFormat="1" applyFont="1" applyFill="1" applyBorder="1" applyAlignment="1">
      <alignment horizontal="center" vertical="center" wrapText="1"/>
    </xf>
    <xf numFmtId="1" fontId="2" fillId="4" borderId="38" xfId="0" applyNumberFormat="1" applyFont="1" applyFill="1" applyBorder="1" applyAlignment="1">
      <alignment horizontal="center" vertical="center" wrapText="1"/>
    </xf>
    <xf numFmtId="0" fontId="10" fillId="4" borderId="0" xfId="0" applyFont="1" applyFill="1" applyAlignment="1">
      <alignment horizontal="center" vertical="center" wrapText="1"/>
    </xf>
    <xf numFmtId="0" fontId="4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26" xfId="0" applyFont="1" applyFill="1" applyBorder="1" applyAlignment="1">
      <alignment horizontal="left" vertical="top" wrapText="1"/>
    </xf>
    <xf numFmtId="0" fontId="5" fillId="4" borderId="27" xfId="0" applyFont="1" applyFill="1" applyBorder="1" applyAlignment="1">
      <alignment horizontal="left" vertical="top" wrapText="1"/>
    </xf>
    <xf numFmtId="0" fontId="5" fillId="4" borderId="28" xfId="0" applyFont="1" applyFill="1" applyBorder="1" applyAlignment="1">
      <alignment horizontal="left" vertical="top" wrapText="1"/>
    </xf>
    <xf numFmtId="0" fontId="5" fillId="4" borderId="29" xfId="0" applyFont="1" applyFill="1" applyBorder="1" applyAlignment="1">
      <alignment horizontal="left" vertical="top" wrapText="1"/>
    </xf>
    <xf numFmtId="0" fontId="5" fillId="4" borderId="0" xfId="0" applyFont="1" applyFill="1" applyAlignment="1">
      <alignment horizontal="left" vertical="top" wrapText="1"/>
    </xf>
    <xf numFmtId="0" fontId="5" fillId="4" borderId="30" xfId="0" applyFont="1" applyFill="1" applyBorder="1" applyAlignment="1">
      <alignment horizontal="left" vertical="top" wrapText="1"/>
    </xf>
    <xf numFmtId="0" fontId="5" fillId="4" borderId="39" xfId="0" applyFont="1" applyFill="1" applyBorder="1" applyAlignment="1">
      <alignment horizontal="left" vertical="top" wrapText="1"/>
    </xf>
    <xf numFmtId="0" fontId="5" fillId="4" borderId="32" xfId="0" applyFont="1" applyFill="1" applyBorder="1" applyAlignment="1">
      <alignment horizontal="left" vertical="top" wrapText="1"/>
    </xf>
    <xf numFmtId="0" fontId="5" fillId="4" borderId="33" xfId="0" applyFont="1" applyFill="1" applyBorder="1" applyAlignment="1">
      <alignment horizontal="left" vertical="top" wrapText="1"/>
    </xf>
    <xf numFmtId="0" fontId="5" fillId="4" borderId="39"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2" borderId="0" xfId="0" applyFont="1" applyFill="1" applyAlignment="1">
      <alignment horizontal="center" vertical="center" wrapText="1"/>
    </xf>
    <xf numFmtId="0" fontId="2" fillId="3" borderId="0" xfId="0" applyFont="1" applyFill="1" applyBorder="1" applyAlignment="1">
      <alignment horizontal="center" vertical="center" wrapText="1"/>
    </xf>
    <xf numFmtId="0" fontId="2" fillId="7" borderId="0" xfId="0" applyFont="1" applyFill="1" applyAlignment="1">
      <alignment horizontal="center" vertical="center" wrapText="1"/>
    </xf>
    <xf numFmtId="0" fontId="48" fillId="9" borderId="1" xfId="0" applyFont="1" applyFill="1" applyBorder="1" applyAlignment="1">
      <alignment horizontal="center" vertical="center" wrapText="1"/>
    </xf>
    <xf numFmtId="0" fontId="49" fillId="2" borderId="0" xfId="0" applyFont="1" applyFill="1" applyAlignment="1">
      <alignment horizontal="center" vertical="center" wrapText="1"/>
    </xf>
    <xf numFmtId="0" fontId="14" fillId="4" borderId="1" xfId="0" applyFont="1" applyFill="1" applyBorder="1" applyAlignment="1" applyProtection="1">
      <alignment horizontal="center" vertical="center" wrapText="1"/>
      <protection locked="0"/>
    </xf>
    <xf numFmtId="0" fontId="14" fillId="8"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left" vertical="center" wrapText="1"/>
      <protection locked="0"/>
    </xf>
    <xf numFmtId="0" fontId="48" fillId="8" borderId="1" xfId="0" applyFont="1" applyFill="1" applyBorder="1" applyAlignment="1" applyProtection="1">
      <alignment horizontal="center" vertical="center" wrapText="1"/>
      <protection locked="0"/>
    </xf>
    <xf numFmtId="0" fontId="14" fillId="2" borderId="0" xfId="0" applyFont="1" applyFill="1" applyAlignment="1">
      <alignment horizontal="center" vertical="center" wrapText="1"/>
    </xf>
    <xf numFmtId="0" fontId="48" fillId="6" borderId="1" xfId="0" applyFont="1" applyFill="1" applyBorder="1" applyAlignment="1" applyProtection="1">
      <alignment horizontal="center" vertical="center" wrapText="1"/>
      <protection locked="0"/>
    </xf>
    <xf numFmtId="0" fontId="50" fillId="7" borderId="1" xfId="0" applyFont="1" applyFill="1" applyBorder="1" applyAlignment="1">
      <alignment horizontal="center" vertical="center" wrapText="1"/>
    </xf>
    <xf numFmtId="0" fontId="50" fillId="7" borderId="2"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50" fillId="7" borderId="4"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50" fillId="7" borderId="0" xfId="0" applyFont="1" applyFill="1" applyAlignment="1">
      <alignment horizontal="center" vertical="center" wrapText="1"/>
    </xf>
    <xf numFmtId="0" fontId="2" fillId="11" borderId="0" xfId="0" applyFont="1" applyFill="1" applyAlignment="1">
      <alignment horizontal="center" vertical="center" wrapText="1"/>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2" borderId="0" xfId="0" applyFont="1" applyFill="1" applyBorder="1" applyAlignment="1">
      <alignment horizontal="center" vertical="center"/>
    </xf>
    <xf numFmtId="0" fontId="16" fillId="2" borderId="0" xfId="0" applyFont="1" applyFill="1" applyAlignment="1">
      <alignment horizontal="center"/>
    </xf>
    <xf numFmtId="0" fontId="16" fillId="2" borderId="0" xfId="0" applyFont="1" applyFill="1" applyBorder="1" applyAlignment="1">
      <alignment horizontal="center"/>
    </xf>
    <xf numFmtId="0" fontId="51" fillId="4" borderId="40" xfId="0" applyFont="1" applyFill="1" applyBorder="1" applyAlignment="1">
      <alignment horizontal="center" vertical="center"/>
    </xf>
    <xf numFmtId="0" fontId="6" fillId="4" borderId="41" xfId="0" applyFont="1" applyFill="1" applyBorder="1" applyAlignment="1" applyProtection="1">
      <alignment horizontal="center" vertical="center"/>
      <protection locked="0"/>
    </xf>
    <xf numFmtId="0" fontId="6" fillId="4" borderId="42" xfId="0" applyFont="1" applyFill="1" applyBorder="1" applyAlignment="1" applyProtection="1">
      <alignment horizontal="center" vertical="center"/>
      <protection locked="0"/>
    </xf>
    <xf numFmtId="0" fontId="6" fillId="4" borderId="43" xfId="0" applyFont="1" applyFill="1" applyBorder="1" applyAlignment="1" applyProtection="1">
      <alignment horizontal="center" vertical="center"/>
      <protection locked="0"/>
    </xf>
    <xf numFmtId="0" fontId="6" fillId="4" borderId="40" xfId="0" applyFont="1" applyFill="1" applyBorder="1" applyAlignment="1" applyProtection="1">
      <alignment horizontal="left" vertical="center"/>
      <protection locked="0"/>
    </xf>
    <xf numFmtId="0" fontId="6" fillId="4" borderId="40" xfId="0" applyFont="1" applyFill="1" applyBorder="1" applyAlignment="1" applyProtection="1">
      <alignment horizontal="center" vertical="center"/>
      <protection locked="0"/>
    </xf>
    <xf numFmtId="0" fontId="52" fillId="12" borderId="40" xfId="0" applyFont="1" applyFill="1" applyBorder="1" applyAlignment="1">
      <alignment horizontal="center" vertical="center" wrapText="1"/>
    </xf>
    <xf numFmtId="0" fontId="51" fillId="8" borderId="40" xfId="0" applyFont="1" applyFill="1" applyBorder="1" applyAlignment="1">
      <alignment horizontal="center" vertical="center"/>
    </xf>
    <xf numFmtId="0" fontId="6" fillId="8" borderId="41" xfId="0" applyFont="1" applyFill="1" applyBorder="1" applyAlignment="1" applyProtection="1">
      <alignment horizontal="center" vertical="center"/>
      <protection locked="0"/>
    </xf>
    <xf numFmtId="0" fontId="6" fillId="8" borderId="42" xfId="0" applyFont="1" applyFill="1" applyBorder="1" applyAlignment="1" applyProtection="1">
      <alignment horizontal="center" vertical="center"/>
      <protection locked="0"/>
    </xf>
    <xf numFmtId="0" fontId="6" fillId="8" borderId="43" xfId="0" applyFont="1" applyFill="1" applyBorder="1" applyAlignment="1" applyProtection="1">
      <alignment horizontal="center" vertical="center"/>
      <protection locked="0"/>
    </xf>
    <xf numFmtId="0" fontId="6" fillId="8" borderId="40" xfId="0" applyFont="1" applyFill="1" applyBorder="1" applyAlignment="1" applyProtection="1">
      <alignment horizontal="left" vertical="center"/>
      <protection locked="0"/>
    </xf>
    <xf numFmtId="0" fontId="6" fillId="8" borderId="40" xfId="0" applyFont="1" applyFill="1" applyBorder="1" applyAlignment="1" applyProtection="1">
      <alignment horizontal="center" vertical="center"/>
      <protection locked="0"/>
    </xf>
    <xf numFmtId="0" fontId="53" fillId="12" borderId="40" xfId="0" applyFont="1" applyFill="1" applyBorder="1" applyAlignment="1">
      <alignment horizontal="center" vertical="center" wrapText="1"/>
    </xf>
    <xf numFmtId="0" fontId="54" fillId="12" borderId="40" xfId="0" applyFont="1" applyFill="1" applyBorder="1" applyAlignment="1">
      <alignment horizontal="center" vertical="center" wrapText="1"/>
    </xf>
    <xf numFmtId="0" fontId="55" fillId="12" borderId="40" xfId="0" applyFont="1" applyFill="1" applyBorder="1" applyAlignment="1">
      <alignment horizontal="center" vertical="center" wrapText="1"/>
    </xf>
    <xf numFmtId="0" fontId="56" fillId="12" borderId="40" xfId="0" applyFont="1" applyFill="1" applyBorder="1" applyAlignment="1">
      <alignment horizontal="center" vertical="center" wrapText="1"/>
    </xf>
    <xf numFmtId="0" fontId="14" fillId="0" borderId="0" xfId="0" applyFont="1">
      <alignment vertical="center"/>
    </xf>
    <xf numFmtId="0" fontId="14" fillId="0" borderId="0" xfId="0" applyFont="1" applyBorder="1">
      <alignment vertical="center"/>
    </xf>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4" fillId="0" borderId="0" xfId="0" applyFont="1" applyBorder="1" applyAlignment="1">
      <alignment horizontal="center" vertical="center"/>
    </xf>
    <xf numFmtId="0" fontId="14" fillId="0" borderId="0" xfId="0" applyFont="1" applyAlignment="1">
      <alignment horizontal="center" vertical="center"/>
    </xf>
    <xf numFmtId="0" fontId="14" fillId="0" borderId="0" xfId="0" applyNumberFormat="1" applyFont="1" applyFill="1" applyBorder="1" applyAlignment="1">
      <alignment horizontal="center" vertical="top"/>
    </xf>
    <xf numFmtId="0" fontId="14" fillId="0" borderId="0" xfId="0" applyFont="1" applyAlignment="1">
      <alignment vertical="center" wrapText="1"/>
    </xf>
    <xf numFmtId="0" fontId="14" fillId="0" borderId="1" xfId="0" applyFont="1" applyFill="1" applyBorder="1">
      <alignment vertical="center"/>
    </xf>
    <xf numFmtId="0" fontId="14" fillId="0" borderId="2" xfId="0" applyFont="1" applyFill="1" applyBorder="1">
      <alignment vertical="center"/>
    </xf>
    <xf numFmtId="0" fontId="57" fillId="0" borderId="1" xfId="0" applyFont="1" applyFill="1" applyBorder="1" applyAlignment="1">
      <alignment horizontal="justify" vertical="top" wrapText="1"/>
    </xf>
    <xf numFmtId="0" fontId="14" fillId="0" borderId="1" xfId="0" applyFont="1" applyFill="1" applyBorder="1" applyAlignment="1">
      <alignment horizontal="center" vertical="center"/>
    </xf>
    <xf numFmtId="0" fontId="14" fillId="0" borderId="1" xfId="0" applyFont="1" applyFill="1" applyBorder="1" applyAlignment="1">
      <alignment vertical="center"/>
    </xf>
    <xf numFmtId="0" fontId="14" fillId="0" borderId="26" xfId="0" applyFont="1" applyFill="1" applyBorder="1">
      <alignment vertical="center"/>
    </xf>
    <xf numFmtId="0" fontId="14"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0" xfId="0" applyFont="1" applyFill="1" applyBorder="1">
      <alignment vertical="center"/>
    </xf>
    <xf numFmtId="0" fontId="14" fillId="0" borderId="1" xfId="0" applyFont="1" applyFill="1" applyBorder="1" applyAlignment="1">
      <alignment horizontal="justify" vertical="top" wrapText="1"/>
    </xf>
    <xf numFmtId="0" fontId="14" fillId="0" borderId="27" xfId="0" applyFont="1" applyFill="1" applyBorder="1" applyAlignment="1">
      <alignment horizontal="center" vertical="center" wrapText="1"/>
    </xf>
    <xf numFmtId="0" fontId="6" fillId="0" borderId="0" xfId="0" applyFont="1" applyAlignment="1">
      <alignment horizontal="center" vertical="center"/>
    </xf>
    <xf numFmtId="0" fontId="14" fillId="0" borderId="0" xfId="0" applyFont="1" applyFill="1" applyAlignment="1">
      <alignment horizontal="center" vertical="center" wrapText="1"/>
    </xf>
    <xf numFmtId="0" fontId="14" fillId="0" borderId="0" xfId="0" applyFont="1" applyFill="1">
      <alignment vertical="center"/>
    </xf>
    <xf numFmtId="0" fontId="14" fillId="0" borderId="1" xfId="0" applyFont="1" applyBorder="1">
      <alignment vertical="center"/>
    </xf>
    <xf numFmtId="0" fontId="14" fillId="0" borderId="1" xfId="0" applyFont="1" applyFill="1" applyBorder="1" applyAlignment="1">
      <alignment horizontal="right" vertical="center"/>
    </xf>
    <xf numFmtId="0" fontId="14" fillId="0" borderId="2" xfId="0"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1" xfId="0" applyFont="1" applyFill="1" applyBorder="1" applyAlignment="1">
      <alignment horizontal="justify" vertical="top" wrapText="1"/>
    </xf>
    <xf numFmtId="0" fontId="14" fillId="8" borderId="0" xfId="0" applyFont="1" applyFill="1" applyAlignment="1">
      <alignment horizontal="center" vertical="center" wrapText="1"/>
    </xf>
    <xf numFmtId="0" fontId="14" fillId="12"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0" borderId="4" xfId="0" applyFont="1" applyFill="1" applyBorder="1" applyAlignment="1">
      <alignment horizontal="justify" vertical="top" wrapText="1"/>
    </xf>
    <xf numFmtId="0" fontId="14" fillId="0" borderId="1" xfId="0" applyFont="1" applyBorder="1" applyAlignment="1">
      <alignment vertical="center" wrapText="1"/>
    </xf>
    <xf numFmtId="0" fontId="14" fillId="10"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1" xfId="0" applyFont="1" applyFill="1" applyBorder="1">
      <alignment vertical="center"/>
    </xf>
    <xf numFmtId="0" fontId="14" fillId="8" borderId="31" xfId="0" applyFont="1" applyFill="1" applyBorder="1" applyAlignment="1">
      <alignment horizontal="center" vertical="center" wrapText="1"/>
    </xf>
    <xf numFmtId="0" fontId="14" fillId="8" borderId="44" xfId="0" applyFont="1" applyFill="1" applyBorder="1" applyAlignment="1">
      <alignment horizontal="center" vertical="center" wrapText="1"/>
    </xf>
    <xf numFmtId="0" fontId="58" fillId="0" borderId="1" xfId="0" applyFont="1" applyBorder="1" applyAlignment="1">
      <alignment horizontal="center" vertical="center"/>
    </xf>
    <xf numFmtId="0" fontId="59" fillId="0" borderId="1" xfId="0" applyFont="1" applyBorder="1" applyAlignment="1">
      <alignment horizontal="center" vertical="center"/>
    </xf>
    <xf numFmtId="0" fontId="60" fillId="0" borderId="1" xfId="0" applyFont="1" applyBorder="1" applyAlignment="1">
      <alignment horizontal="center" vertical="center"/>
    </xf>
    <xf numFmtId="0" fontId="61" fillId="0" borderId="1" xfId="0" applyFont="1" applyBorder="1" applyAlignment="1">
      <alignment horizontal="center" vertical="center"/>
    </xf>
    <xf numFmtId="0" fontId="14" fillId="8" borderId="45" xfId="0" applyFont="1" applyFill="1" applyBorder="1" applyAlignment="1">
      <alignment horizontal="center" vertical="center" wrapText="1"/>
    </xf>
    <xf numFmtId="0" fontId="62" fillId="0" borderId="1" xfId="0" applyFont="1" applyBorder="1" applyAlignment="1">
      <alignment horizontal="center" vertical="center"/>
    </xf>
    <xf numFmtId="0" fontId="63" fillId="0" borderId="1" xfId="0" applyFont="1" applyBorder="1" applyAlignment="1">
      <alignment horizontal="center" vertical="center"/>
    </xf>
    <xf numFmtId="0" fontId="64" fillId="0" borderId="1" xfId="0" applyFont="1" applyBorder="1" applyAlignment="1">
      <alignment horizontal="center" vertical="center"/>
    </xf>
    <xf numFmtId="0" fontId="14" fillId="0" borderId="0" xfId="0" applyFont="1" applyAlignment="1">
      <alignment vertical="center"/>
    </xf>
    <xf numFmtId="0" fontId="14" fillId="0" borderId="0" xfId="0" applyFont="1" applyFill="1" applyAlignment="1">
      <alignment horizontal="center" vertical="center"/>
    </xf>
    <xf numFmtId="0" fontId="14" fillId="0" borderId="0" xfId="0" applyFont="1" applyAlignment="1">
      <alignment horizontal="center"/>
    </xf>
    <xf numFmtId="0" fontId="65" fillId="0" borderId="1" xfId="0" applyFont="1" applyFill="1" applyBorder="1" applyAlignment="1">
      <alignment horizontal="center" vertical="center" wrapText="1"/>
    </xf>
    <xf numFmtId="0" fontId="14" fillId="9" borderId="0" xfId="0" applyFont="1" applyFill="1" applyAlignment="1">
      <alignment horizontal="center" vertical="center"/>
    </xf>
    <xf numFmtId="0" fontId="13" fillId="3" borderId="0" xfId="0" applyFont="1" applyFill="1" applyAlignment="1">
      <alignment horizontal="right" vertical="center" wrapText="1"/>
    </xf>
    <xf numFmtId="49" fontId="1" fillId="4" borderId="1" xfId="0" applyNumberFormat="1" applyFont="1" applyFill="1" applyBorder="1" applyAlignment="1" applyProtection="1">
      <alignment horizontal="center" vertical="center" wrapText="1"/>
      <protection locked="0"/>
    </xf>
    <xf numFmtId="0" fontId="46" fillId="2" borderId="0" xfId="0" applyFont="1" applyFill="1" applyAlignment="1">
      <alignment horizontal="center" vertical="center" wrapText="1"/>
    </xf>
    <xf numFmtId="0" fontId="66" fillId="10" borderId="1" xfId="0" applyFont="1" applyFill="1" applyBorder="1" applyAlignment="1">
      <alignment horizontal="center" vertical="center" wrapText="1"/>
    </xf>
    <xf numFmtId="0" fontId="67" fillId="4" borderId="1" xfId="0" applyFont="1" applyFill="1" applyBorder="1" applyAlignment="1" applyProtection="1">
      <alignment horizontal="center" vertical="top" wrapText="1"/>
      <protection locked="0"/>
    </xf>
    <xf numFmtId="0" fontId="1" fillId="4" borderId="2" xfId="0"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6" fillId="4" borderId="3" xfId="0" applyFont="1" applyFill="1" applyBorder="1" applyAlignment="1" applyProtection="1">
      <alignment horizontal="right" vertical="center" wrapText="1"/>
    </xf>
    <xf numFmtId="0" fontId="6" fillId="4" borderId="4" xfId="0" applyFont="1" applyFill="1" applyBorder="1" applyAlignment="1" applyProtection="1">
      <alignment horizontal="left" vertical="center" wrapText="1"/>
    </xf>
    <xf numFmtId="0" fontId="7" fillId="2" borderId="0" xfId="0" applyFont="1" applyFill="1" applyAlignment="1">
      <alignment vertical="center" wrapText="1"/>
    </xf>
    <xf numFmtId="0" fontId="1" fillId="2" borderId="0" xfId="0" applyFont="1" applyFill="1" applyBorder="1" applyAlignment="1">
      <alignment vertical="center" wrapText="1"/>
    </xf>
    <xf numFmtId="0" fontId="2" fillId="2" borderId="0" xfId="0" applyFont="1" applyFill="1" applyBorder="1" applyAlignment="1">
      <alignment vertical="center" wrapText="1"/>
    </xf>
    <xf numFmtId="0" fontId="1" fillId="2" borderId="0" xfId="0" applyFont="1" applyFill="1" applyAlignment="1">
      <alignment vertical="center" wrapText="1"/>
    </xf>
    <xf numFmtId="0" fontId="16" fillId="2" borderId="0" xfId="0" applyFont="1" applyFill="1" applyAlignment="1">
      <alignment horizontal="left"/>
    </xf>
    <xf numFmtId="0" fontId="15" fillId="2" borderId="0" xfId="0" applyFont="1" applyFill="1" applyAlignment="1">
      <alignment wrapText="1"/>
    </xf>
    <xf numFmtId="0" fontId="68" fillId="2" borderId="0" xfId="0" applyFont="1" applyFill="1" applyAlignment="1">
      <alignment horizontal="center" vertical="center" wrapText="1"/>
    </xf>
    <xf numFmtId="0" fontId="67" fillId="2" borderId="0" xfId="0" applyFont="1" applyFill="1" applyAlignment="1">
      <alignment horizontal="center" wrapText="1"/>
    </xf>
    <xf numFmtId="0" fontId="1" fillId="2" borderId="0" xfId="0" applyFont="1" applyFill="1" applyBorder="1" applyAlignment="1">
      <alignment horizontal="center" vertical="center" wrapText="1"/>
    </xf>
    <xf numFmtId="0" fontId="69" fillId="2" borderId="0" xfId="0" applyFont="1" applyFill="1" applyAlignment="1" applyProtection="1">
      <alignment horizontal="center" vertical="center" wrapText="1"/>
      <protection locked="0"/>
    </xf>
    <xf numFmtId="0" fontId="1" fillId="2" borderId="0" xfId="0" applyFont="1" applyFill="1" applyBorder="1" applyAlignment="1" applyProtection="1">
      <alignment horizontal="center" vertical="center" wrapText="1"/>
    </xf>
    <xf numFmtId="0" fontId="11" fillId="13" borderId="1" xfId="0" applyFont="1" applyFill="1" applyBorder="1" applyAlignment="1">
      <alignment horizontal="center" vertical="center" wrapText="1"/>
    </xf>
    <xf numFmtId="0" fontId="70" fillId="2" borderId="0" xfId="0" applyFont="1" applyFill="1" applyAlignment="1">
      <alignment horizontal="center" vertical="center" wrapText="1"/>
    </xf>
    <xf numFmtId="0" fontId="71" fillId="10" borderId="1" xfId="0" applyFont="1" applyFill="1" applyBorder="1" applyAlignment="1">
      <alignment horizontal="center" vertical="center" wrapText="1"/>
    </xf>
    <xf numFmtId="0" fontId="72" fillId="9" borderId="1"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73" fillId="7" borderId="1" xfId="0" applyFont="1" applyFill="1" applyBorder="1" applyAlignment="1">
      <alignment horizontal="center" vertical="center" wrapText="1"/>
    </xf>
    <xf numFmtId="0" fontId="73" fillId="7" borderId="2" xfId="0" applyFont="1" applyFill="1" applyBorder="1" applyAlignment="1">
      <alignment horizontal="center" vertical="center" wrapText="1"/>
    </xf>
    <xf numFmtId="0" fontId="74" fillId="4" borderId="26" xfId="0" applyFont="1" applyFill="1" applyBorder="1" applyAlignment="1" applyProtection="1">
      <alignment horizontal="right" vertical="center" wrapText="1"/>
      <protection locked="0"/>
    </xf>
    <xf numFmtId="0" fontId="74" fillId="4" borderId="27" xfId="0" applyFont="1" applyFill="1" applyBorder="1" applyAlignment="1" applyProtection="1">
      <alignment horizontal="right" vertical="center" wrapText="1"/>
      <protection locked="0"/>
    </xf>
    <xf numFmtId="0" fontId="7" fillId="4" borderId="27" xfId="0" applyFont="1" applyFill="1" applyBorder="1" applyAlignment="1">
      <alignment horizontal="center" vertical="center" wrapText="1"/>
    </xf>
    <xf numFmtId="0" fontId="74" fillId="4" borderId="27" xfId="0" applyFont="1" applyFill="1" applyBorder="1" applyAlignment="1" applyProtection="1">
      <alignment horizontal="left" vertical="center" wrapText="1"/>
      <protection locked="0"/>
    </xf>
    <xf numFmtId="0" fontId="74" fillId="4" borderId="28" xfId="0" applyFont="1" applyFill="1" applyBorder="1" applyAlignment="1" applyProtection="1">
      <alignment horizontal="left" vertical="center" wrapText="1"/>
      <protection locked="0"/>
    </xf>
    <xf numFmtId="0" fontId="66" fillId="2" borderId="0" xfId="0" applyFont="1" applyFill="1" applyBorder="1" applyAlignment="1">
      <alignment vertical="center" wrapText="1"/>
    </xf>
    <xf numFmtId="0" fontId="73" fillId="7" borderId="26" xfId="0" applyFont="1" applyFill="1" applyBorder="1" applyAlignment="1">
      <alignment horizontal="center" vertical="center" wrapText="1"/>
    </xf>
    <xf numFmtId="0" fontId="74" fillId="4" borderId="29" xfId="0" applyFont="1" applyFill="1" applyBorder="1" applyAlignment="1" applyProtection="1">
      <alignment horizontal="right" vertical="center" wrapText="1"/>
      <protection locked="0"/>
    </xf>
    <xf numFmtId="0" fontId="74" fillId="4" borderId="0" xfId="0" applyFont="1" applyFill="1" applyBorder="1" applyAlignment="1" applyProtection="1">
      <alignment horizontal="right" vertical="center" wrapText="1"/>
      <protection locked="0"/>
    </xf>
    <xf numFmtId="0" fontId="7" fillId="4" borderId="0" xfId="0" applyFont="1" applyFill="1" applyBorder="1" applyAlignment="1">
      <alignment horizontal="center" vertical="center" wrapText="1"/>
    </xf>
    <xf numFmtId="0" fontId="74" fillId="4" borderId="32" xfId="0" applyFont="1" applyFill="1" applyBorder="1" applyAlignment="1" applyProtection="1">
      <alignment horizontal="left" vertical="center" wrapText="1"/>
      <protection locked="0"/>
    </xf>
    <xf numFmtId="0" fontId="74" fillId="4" borderId="33" xfId="0" applyFont="1" applyFill="1" applyBorder="1" applyAlignment="1" applyProtection="1">
      <alignment horizontal="left" vertical="center" wrapText="1"/>
      <protection locked="0"/>
    </xf>
    <xf numFmtId="0" fontId="73" fillId="7" borderId="27" xfId="0" applyFont="1" applyFill="1" applyBorder="1" applyAlignment="1">
      <alignment horizontal="center" vertical="center" wrapText="1"/>
    </xf>
    <xf numFmtId="0" fontId="75" fillId="4" borderId="26" xfId="0" applyFont="1" applyFill="1" applyBorder="1" applyAlignment="1" applyProtection="1">
      <alignment horizontal="right" vertical="center" wrapText="1"/>
      <protection locked="0"/>
    </xf>
    <xf numFmtId="0" fontId="75" fillId="4" borderId="27" xfId="0" applyFont="1" applyFill="1" applyBorder="1" applyAlignment="1" applyProtection="1">
      <alignment horizontal="right" vertical="center" wrapText="1"/>
      <protection locked="0"/>
    </xf>
    <xf numFmtId="0" fontId="75" fillId="4" borderId="27" xfId="0" applyFont="1" applyFill="1" applyBorder="1" applyAlignment="1" applyProtection="1">
      <alignment horizontal="left" vertical="center" wrapText="1"/>
    </xf>
    <xf numFmtId="0" fontId="75" fillId="4" borderId="28" xfId="0" applyFont="1" applyFill="1" applyBorder="1" applyAlignment="1" applyProtection="1">
      <alignment horizontal="left" vertical="center" wrapText="1"/>
    </xf>
    <xf numFmtId="177" fontId="76" fillId="4" borderId="27" xfId="0" applyNumberFormat="1" applyFont="1" applyFill="1" applyBorder="1" applyAlignment="1" applyProtection="1">
      <alignment horizontal="center" vertical="center" wrapText="1"/>
      <protection locked="0"/>
    </xf>
    <xf numFmtId="177" fontId="76" fillId="4" borderId="28" xfId="0" applyNumberFormat="1" applyFont="1" applyFill="1" applyBorder="1" applyAlignment="1" applyProtection="1">
      <alignment horizontal="center" vertical="center" wrapText="1"/>
      <protection locked="0"/>
    </xf>
    <xf numFmtId="0" fontId="73" fillId="7" borderId="39" xfId="0" applyFont="1" applyFill="1" applyBorder="1" applyAlignment="1">
      <alignment horizontal="center" vertical="center" wrapText="1"/>
    </xf>
    <xf numFmtId="0" fontId="73" fillId="7" borderId="32" xfId="0" applyFont="1" applyFill="1" applyBorder="1" applyAlignment="1">
      <alignment horizontal="center" vertical="center" wrapText="1"/>
    </xf>
    <xf numFmtId="0" fontId="75" fillId="4" borderId="39" xfId="0" applyFont="1" applyFill="1" applyBorder="1" applyAlignment="1" applyProtection="1">
      <alignment horizontal="right" vertical="center" wrapText="1"/>
      <protection locked="0"/>
    </xf>
    <xf numFmtId="0" fontId="75" fillId="4" borderId="32" xfId="0" applyFont="1" applyFill="1" applyBorder="1" applyAlignment="1" applyProtection="1">
      <alignment horizontal="right" vertical="center" wrapText="1"/>
      <protection locked="0"/>
    </xf>
    <xf numFmtId="0" fontId="7" fillId="4" borderId="32" xfId="0" applyFont="1" applyFill="1" applyBorder="1" applyAlignment="1">
      <alignment horizontal="center" vertical="center" wrapText="1"/>
    </xf>
    <xf numFmtId="0" fontId="75" fillId="4" borderId="32" xfId="0" applyFont="1" applyFill="1" applyBorder="1" applyAlignment="1" applyProtection="1">
      <alignment horizontal="left" vertical="center" wrapText="1"/>
    </xf>
    <xf numFmtId="0" fontId="75" fillId="4" borderId="33" xfId="0" applyFont="1" applyFill="1" applyBorder="1" applyAlignment="1" applyProtection="1">
      <alignment horizontal="left" vertical="center" wrapText="1"/>
    </xf>
    <xf numFmtId="177" fontId="76" fillId="4" borderId="32" xfId="0" applyNumberFormat="1" applyFont="1" applyFill="1" applyBorder="1" applyAlignment="1" applyProtection="1">
      <alignment horizontal="center" vertical="center" wrapText="1"/>
      <protection locked="0"/>
    </xf>
    <xf numFmtId="177" fontId="76" fillId="4" borderId="33" xfId="0" applyNumberFormat="1" applyFont="1" applyFill="1" applyBorder="1" applyAlignment="1" applyProtection="1">
      <alignment horizontal="center" vertical="center" wrapText="1"/>
      <protection locked="0"/>
    </xf>
    <xf numFmtId="0" fontId="16" fillId="2" borderId="0" xfId="0" applyFont="1" applyFill="1" applyAlignment="1">
      <alignment horizontal="center" vertical="top" wrapText="1"/>
    </xf>
    <xf numFmtId="0" fontId="77" fillId="2" borderId="0" xfId="0" applyFont="1" applyFill="1" applyAlignment="1">
      <alignment horizontal="center" vertical="center" wrapText="1"/>
    </xf>
    <xf numFmtId="0" fontId="78" fillId="4" borderId="1" xfId="0" applyFont="1" applyFill="1" applyBorder="1" applyAlignment="1" applyProtection="1">
      <alignment horizontal="center" vertical="center" wrapText="1"/>
      <protection locked="0"/>
    </xf>
    <xf numFmtId="0" fontId="13" fillId="7" borderId="1" xfId="0" applyFont="1" applyFill="1" applyBorder="1" applyAlignment="1">
      <alignment horizontal="center" vertical="center" wrapText="1"/>
    </xf>
    <xf numFmtId="0" fontId="79" fillId="4" borderId="1" xfId="0" applyFont="1" applyFill="1" applyBorder="1" applyAlignment="1" applyProtection="1">
      <alignment horizontal="center" vertical="center" wrapText="1"/>
      <protection locked="0"/>
    </xf>
    <xf numFmtId="0" fontId="1" fillId="6" borderId="1" xfId="0" applyFont="1" applyFill="1" applyBorder="1" applyAlignment="1" applyProtection="1">
      <alignment horizontal="center" vertical="center" wrapText="1"/>
      <protection locked="0"/>
    </xf>
    <xf numFmtId="178" fontId="7" fillId="4" borderId="1" xfId="0" applyNumberFormat="1" applyFont="1" applyFill="1" applyBorder="1" applyAlignment="1" applyProtection="1">
      <alignment horizontal="center" vertical="center" wrapText="1"/>
      <protection locked="0"/>
    </xf>
    <xf numFmtId="0" fontId="71" fillId="10" borderId="26" xfId="0" applyFont="1" applyFill="1" applyBorder="1" applyAlignment="1">
      <alignment horizontal="center" vertical="center" wrapText="1"/>
    </xf>
    <xf numFmtId="0" fontId="71" fillId="10" borderId="27" xfId="0" applyFont="1" applyFill="1" applyBorder="1" applyAlignment="1">
      <alignment horizontal="center" vertical="center" wrapText="1"/>
    </xf>
    <xf numFmtId="0" fontId="71" fillId="10" borderId="28" xfId="0" applyFont="1" applyFill="1" applyBorder="1" applyAlignment="1">
      <alignment horizontal="center" vertical="center" wrapText="1"/>
    </xf>
    <xf numFmtId="0" fontId="71" fillId="10" borderId="39" xfId="0" applyFont="1" applyFill="1" applyBorder="1" applyAlignment="1">
      <alignment horizontal="center" vertical="center" wrapText="1"/>
    </xf>
    <xf numFmtId="0" fontId="71" fillId="10" borderId="32" xfId="0" applyFont="1" applyFill="1" applyBorder="1" applyAlignment="1">
      <alignment horizontal="center" vertical="center" wrapText="1"/>
    </xf>
    <xf numFmtId="0" fontId="71" fillId="10" borderId="33" xfId="0" applyFont="1" applyFill="1" applyBorder="1" applyAlignment="1">
      <alignment horizontal="center" vertical="center" wrapText="1"/>
    </xf>
    <xf numFmtId="0" fontId="13" fillId="3" borderId="0" xfId="0" applyFont="1" applyFill="1" applyAlignment="1">
      <alignment horizontal="center" vertical="center" wrapText="1"/>
    </xf>
    <xf numFmtId="0" fontId="16" fillId="2" borderId="0" xfId="0" applyFont="1" applyFill="1" applyAlignment="1">
      <alignment wrapText="1"/>
    </xf>
    <xf numFmtId="0" fontId="16" fillId="2" borderId="0" xfId="0" applyFont="1" applyFill="1" applyAlignment="1">
      <alignment horizontal="right"/>
    </xf>
    <xf numFmtId="0" fontId="16" fillId="2" borderId="0" xfId="0" applyFont="1" applyFill="1" applyAlignment="1">
      <alignment horizontal="center" vertical="center" wrapText="1"/>
    </xf>
    <xf numFmtId="0" fontId="1" fillId="13" borderId="1" xfId="0" applyFont="1" applyFill="1" applyBorder="1" applyAlignment="1">
      <alignment horizontal="center" vertical="center" wrapText="1"/>
    </xf>
    <xf numFmtId="0" fontId="80" fillId="10" borderId="2" xfId="0" applyFont="1" applyFill="1" applyBorder="1" applyAlignment="1">
      <alignment horizontal="center" vertical="center" wrapText="1"/>
    </xf>
    <xf numFmtId="0" fontId="80" fillId="10" borderId="4" xfId="0" applyFont="1" applyFill="1" applyBorder="1" applyAlignment="1">
      <alignment horizontal="center" vertical="center" wrapText="1"/>
    </xf>
    <xf numFmtId="0" fontId="14" fillId="6" borderId="1" xfId="0" applyFont="1" applyFill="1" applyBorder="1" applyAlignment="1" applyProtection="1">
      <alignment horizontal="center" vertical="center" wrapText="1"/>
      <protection locked="0"/>
    </xf>
    <xf numFmtId="0" fontId="14" fillId="4" borderId="1" xfId="0" applyFont="1" applyFill="1" applyBorder="1" applyAlignment="1" applyProtection="1">
      <alignment horizontal="left" vertical="center" wrapText="1" indent="1"/>
      <protection locked="0"/>
    </xf>
    <xf numFmtId="179" fontId="14" fillId="4" borderId="1" xfId="0" applyNumberFormat="1" applyFont="1" applyFill="1" applyBorder="1" applyAlignment="1" applyProtection="1">
      <alignment horizontal="center" vertical="center" wrapText="1"/>
      <protection locked="0"/>
    </xf>
    <xf numFmtId="0" fontId="81" fillId="4" borderId="2" xfId="0" applyFont="1" applyFill="1" applyBorder="1" applyAlignment="1" applyProtection="1">
      <alignment horizontal="center" vertical="center" wrapText="1"/>
      <protection locked="0"/>
    </xf>
    <xf numFmtId="0" fontId="81" fillId="4" borderId="4" xfId="0" applyFont="1" applyFill="1" applyBorder="1" applyAlignment="1" applyProtection="1">
      <alignment horizontal="center" vertical="center" wrapText="1"/>
      <protection locked="0"/>
    </xf>
    <xf numFmtId="0" fontId="81" fillId="4" borderId="1" xfId="0" applyFont="1" applyFill="1" applyBorder="1" applyAlignment="1" applyProtection="1">
      <alignment horizontal="center" vertical="center" wrapText="1"/>
      <protection locked="0"/>
    </xf>
    <xf numFmtId="0" fontId="82" fillId="2" borderId="0" xfId="0" applyFont="1" applyFill="1" applyAlignment="1">
      <alignment horizontal="center" vertical="center" wrapText="1"/>
    </xf>
    <xf numFmtId="0" fontId="68" fillId="2" borderId="0" xfId="0" applyFont="1" applyFill="1" applyAlignment="1">
      <alignment horizontal="center" wrapText="1"/>
    </xf>
    <xf numFmtId="0" fontId="16" fillId="2" borderId="0" xfId="0" applyFont="1" applyFill="1" applyAlignment="1">
      <alignment horizontal="left" wrapText="1"/>
    </xf>
    <xf numFmtId="0" fontId="6" fillId="6" borderId="1" xfId="0" applyFont="1" applyFill="1" applyBorder="1" applyAlignment="1" applyProtection="1">
      <alignment horizontal="center" vertical="center" wrapText="1"/>
      <protection locked="0"/>
    </xf>
    <xf numFmtId="0" fontId="14" fillId="2" borderId="0" xfId="0" applyFont="1" applyFill="1" applyBorder="1" applyAlignment="1" applyProtection="1">
      <alignment horizontal="center" vertical="center" wrapText="1"/>
    </xf>
    <xf numFmtId="0" fontId="83" fillId="2" borderId="0" xfId="0" applyFont="1" applyFill="1" applyAlignment="1">
      <alignment horizontal="center" vertical="center" wrapText="1"/>
    </xf>
    <xf numFmtId="0" fontId="14" fillId="4" borderId="2" xfId="0" applyFont="1" applyFill="1" applyBorder="1" applyAlignment="1" applyProtection="1">
      <alignment horizontal="center" vertical="center" wrapText="1"/>
      <protection locked="0"/>
    </xf>
    <xf numFmtId="0" fontId="14" fillId="4" borderId="3" xfId="0" applyFont="1" applyFill="1" applyBorder="1" applyAlignment="1" applyProtection="1">
      <alignment horizontal="center" vertical="center" wrapText="1"/>
      <protection locked="0"/>
    </xf>
    <xf numFmtId="0" fontId="14" fillId="4" borderId="4"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4" fillId="8" borderId="1" xfId="0" applyFont="1" applyFill="1" applyBorder="1" applyAlignment="1" applyProtection="1">
      <alignment horizontal="left" vertical="center" wrapText="1" indent="1"/>
      <protection locked="0"/>
    </xf>
    <xf numFmtId="179" fontId="14" fillId="8" borderId="1" xfId="0" applyNumberFormat="1" applyFont="1" applyFill="1" applyBorder="1" applyAlignment="1" applyProtection="1">
      <alignment horizontal="center" vertical="center" wrapText="1"/>
      <protection locked="0"/>
    </xf>
    <xf numFmtId="0" fontId="14" fillId="8" borderId="2" xfId="0" applyFont="1" applyFill="1" applyBorder="1" applyAlignment="1" applyProtection="1">
      <alignment horizontal="center" vertical="center" wrapText="1"/>
      <protection locked="0"/>
    </xf>
    <xf numFmtId="0" fontId="14" fillId="8" borderId="3" xfId="0" applyFont="1" applyFill="1" applyBorder="1" applyAlignment="1" applyProtection="1">
      <alignment horizontal="center" vertical="center" wrapText="1"/>
      <protection locked="0"/>
    </xf>
    <xf numFmtId="0" fontId="14" fillId="8" borderId="4" xfId="0" applyFont="1" applyFill="1" applyBorder="1" applyAlignment="1" applyProtection="1">
      <alignment horizontal="center" vertical="center" wrapText="1"/>
      <protection locked="0"/>
    </xf>
    <xf numFmtId="0" fontId="1" fillId="8" borderId="2" xfId="0" applyFont="1" applyFill="1" applyBorder="1" applyAlignment="1" applyProtection="1">
      <alignment horizontal="center" vertical="center" wrapText="1"/>
      <protection locked="0"/>
    </xf>
    <xf numFmtId="0" fontId="1" fillId="8" borderId="4" xfId="0" applyFont="1" applyFill="1" applyBorder="1" applyAlignment="1" applyProtection="1">
      <alignment horizontal="center" vertical="center" wrapText="1"/>
      <protection locked="0"/>
    </xf>
    <xf numFmtId="0" fontId="6" fillId="2" borderId="0" xfId="0" applyFont="1" applyFill="1" applyAlignment="1">
      <alignment horizontal="center" vertical="center" wrapText="1"/>
    </xf>
    <xf numFmtId="0" fontId="14" fillId="4" borderId="4" xfId="0" applyFont="1" applyFill="1" applyBorder="1" applyAlignment="1" applyProtection="1">
      <alignment horizontal="left" vertical="center" wrapText="1"/>
      <protection locked="0"/>
    </xf>
    <xf numFmtId="0" fontId="14" fillId="4" borderId="1" xfId="0" applyFont="1" applyFill="1" applyBorder="1" applyAlignment="1" applyProtection="1">
      <alignment horizontal="left" vertical="center" wrapText="1"/>
      <protection locked="0"/>
    </xf>
    <xf numFmtId="0" fontId="8" fillId="4" borderId="1" xfId="0" applyFont="1" applyFill="1" applyBorder="1" applyAlignment="1" applyProtection="1">
      <alignment horizontal="center" vertical="center" wrapText="1"/>
      <protection locked="0"/>
    </xf>
    <xf numFmtId="0" fontId="14" fillId="8" borderId="33" xfId="0" applyFont="1" applyFill="1" applyBorder="1" applyAlignment="1" applyProtection="1">
      <alignment horizontal="left" vertical="center" wrapText="1"/>
      <protection locked="0"/>
    </xf>
    <xf numFmtId="0" fontId="14" fillId="8" borderId="45" xfId="0" applyFont="1" applyFill="1" applyBorder="1" applyAlignment="1" applyProtection="1">
      <alignment horizontal="left" vertical="center" wrapText="1"/>
      <protection locked="0"/>
    </xf>
    <xf numFmtId="0" fontId="8" fillId="8" borderId="1" xfId="0" applyFont="1" applyFill="1" applyBorder="1" applyAlignment="1" applyProtection="1">
      <alignment horizontal="center" vertical="center" wrapText="1"/>
      <protection locked="0"/>
    </xf>
    <xf numFmtId="0" fontId="2" fillId="3" borderId="1" xfId="0" applyFont="1" applyFill="1" applyBorder="1" applyAlignment="1">
      <alignment horizontal="center" vertical="center" wrapText="1"/>
    </xf>
    <xf numFmtId="0" fontId="84" fillId="4" borderId="2" xfId="0" applyFont="1" applyFill="1" applyBorder="1" applyAlignment="1" applyProtection="1">
      <alignment horizontal="right" vertical="center" wrapText="1"/>
      <protection locked="0"/>
    </xf>
    <xf numFmtId="0" fontId="84" fillId="4" borderId="3" xfId="0" applyFont="1" applyFill="1" applyBorder="1" applyAlignment="1" applyProtection="1">
      <alignment horizontal="right" vertical="center" wrapText="1"/>
      <protection locked="0"/>
    </xf>
    <xf numFmtId="0" fontId="68" fillId="4" borderId="3" xfId="0" applyFont="1" applyFill="1" applyBorder="1" applyAlignment="1">
      <alignment horizontal="center" vertical="center" wrapText="1"/>
    </xf>
    <xf numFmtId="0" fontId="84" fillId="4" borderId="3" xfId="0" applyFont="1" applyFill="1" applyBorder="1" applyAlignment="1" applyProtection="1">
      <alignment horizontal="left" vertical="center" wrapText="1"/>
      <protection locked="0"/>
    </xf>
    <xf numFmtId="0" fontId="84" fillId="4" borderId="4" xfId="0" applyFont="1" applyFill="1" applyBorder="1" applyAlignment="1" applyProtection="1">
      <alignment horizontal="left" vertical="center" wrapText="1"/>
      <protection locked="0"/>
    </xf>
    <xf numFmtId="0" fontId="85" fillId="10" borderId="1" xfId="0" applyFont="1" applyFill="1" applyBorder="1" applyAlignment="1">
      <alignment horizontal="center" vertical="center" wrapText="1"/>
    </xf>
    <xf numFmtId="0" fontId="16" fillId="2" borderId="0" xfId="0" applyFont="1" applyFill="1" applyAlignment="1">
      <alignment horizontal="right" wrapText="1"/>
    </xf>
    <xf numFmtId="180" fontId="86" fillId="2" borderId="0" xfId="0" applyNumberFormat="1" applyFont="1" applyFill="1" applyAlignment="1" applyProtection="1">
      <alignment horizontal="left" wrapText="1"/>
      <protection locked="0"/>
    </xf>
    <xf numFmtId="0" fontId="6" fillId="2" borderId="0" xfId="0" applyNumberFormat="1" applyFont="1" applyFill="1" applyAlignment="1">
      <alignment horizontal="center" wrapText="1"/>
    </xf>
    <xf numFmtId="0" fontId="52" fillId="12" borderId="2" xfId="0" applyFont="1" applyFill="1" applyBorder="1" applyAlignment="1">
      <alignment horizontal="center" vertical="center" wrapText="1"/>
    </xf>
    <xf numFmtId="0" fontId="52" fillId="12"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53" fillId="12" borderId="2" xfId="0" applyFont="1" applyFill="1" applyBorder="1" applyAlignment="1">
      <alignment horizontal="center" vertical="center" wrapText="1"/>
    </xf>
    <xf numFmtId="0" fontId="53" fillId="12" borderId="4"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87" fillId="4" borderId="1" xfId="0" applyFont="1" applyFill="1" applyBorder="1" applyAlignment="1">
      <alignment horizontal="center" vertical="center" wrapText="1"/>
    </xf>
    <xf numFmtId="0" fontId="1" fillId="9" borderId="1" xfId="0" applyNumberFormat="1" applyFont="1" applyFill="1" applyBorder="1" applyAlignment="1">
      <alignment horizontal="center" vertical="center" wrapText="1"/>
    </xf>
    <xf numFmtId="0" fontId="54" fillId="12" borderId="2" xfId="0" applyFont="1" applyFill="1" applyBorder="1" applyAlignment="1">
      <alignment horizontal="center" vertical="center" wrapText="1"/>
    </xf>
    <xf numFmtId="0" fontId="54" fillId="12" borderId="4" xfId="0" applyFont="1" applyFill="1" applyBorder="1" applyAlignment="1">
      <alignment horizontal="center" vertical="center" wrapText="1"/>
    </xf>
    <xf numFmtId="0" fontId="55" fillId="12" borderId="2" xfId="0" applyFont="1" applyFill="1" applyBorder="1" applyAlignment="1">
      <alignment horizontal="center" vertical="center" wrapText="1"/>
    </xf>
    <xf numFmtId="0" fontId="55" fillId="12"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56" fillId="12" borderId="2" xfId="0" applyFont="1" applyFill="1" applyBorder="1" applyAlignment="1">
      <alignment horizontal="center" vertical="center" wrapText="1"/>
    </xf>
    <xf numFmtId="0" fontId="56" fillId="12" borderId="4" xfId="0" applyFont="1" applyFill="1" applyBorder="1" applyAlignment="1">
      <alignment horizontal="center" vertical="center" wrapText="1"/>
    </xf>
    <xf numFmtId="0" fontId="46" fillId="2" borderId="0"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88" fillId="3"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pplyProtection="1">
      <alignment horizontal="center" vertical="center" wrapText="1"/>
      <protection locked="0"/>
    </xf>
    <xf numFmtId="0" fontId="6" fillId="2" borderId="0" xfId="0" applyFont="1" applyFill="1" applyAlignment="1">
      <alignment horizont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89" fillId="2" borderId="0" xfId="0" applyFont="1" applyFill="1" applyAlignment="1">
      <alignment wrapText="1"/>
    </xf>
    <xf numFmtId="0" fontId="6" fillId="4" borderId="1" xfId="0" applyFont="1" applyFill="1" applyBorder="1" applyAlignment="1">
      <alignment horizontal="left" vertical="top" wrapText="1"/>
    </xf>
    <xf numFmtId="0" fontId="14" fillId="8" borderId="1" xfId="0" applyFont="1" applyFill="1" applyBorder="1" applyAlignment="1" applyProtection="1">
      <alignment horizontal="left" vertical="center" wrapText="1"/>
      <protection locked="0"/>
    </xf>
    <xf numFmtId="0" fontId="14" fillId="8" borderId="31" xfId="0" applyFont="1" applyFill="1" applyBorder="1" applyAlignment="1" applyProtection="1">
      <alignment horizontal="center" vertical="center" wrapText="1"/>
      <protection locked="0"/>
    </xf>
    <xf numFmtId="0" fontId="14" fillId="8" borderId="26" xfId="0" applyFont="1" applyFill="1" applyBorder="1" applyAlignment="1" applyProtection="1">
      <alignment horizontal="center" vertical="center" wrapText="1"/>
      <protection locked="0"/>
    </xf>
    <xf numFmtId="0" fontId="14" fillId="8" borderId="27" xfId="0" applyFont="1" applyFill="1" applyBorder="1" applyAlignment="1" applyProtection="1">
      <alignment horizontal="center" vertical="center" wrapText="1"/>
      <protection locked="0"/>
    </xf>
    <xf numFmtId="0" fontId="14" fillId="8" borderId="28" xfId="0" applyFont="1" applyFill="1" applyBorder="1" applyAlignment="1" applyProtection="1">
      <alignment horizontal="center" vertical="center" wrapText="1"/>
      <protection locked="0"/>
    </xf>
    <xf numFmtId="0" fontId="14" fillId="8" borderId="26" xfId="0" applyFont="1" applyFill="1" applyBorder="1" applyAlignment="1" applyProtection="1">
      <alignment horizontal="left" vertical="center" wrapText="1"/>
      <protection locked="0"/>
    </xf>
    <xf numFmtId="0" fontId="14" fillId="8" borderId="27" xfId="0" applyFont="1" applyFill="1" applyBorder="1" applyAlignment="1" applyProtection="1">
      <alignment horizontal="left" vertical="center" wrapText="1"/>
      <protection locked="0"/>
    </xf>
    <xf numFmtId="0" fontId="14" fillId="8" borderId="28" xfId="0" applyFont="1" applyFill="1" applyBorder="1" applyAlignment="1" applyProtection="1">
      <alignment horizontal="left" vertical="center" wrapText="1"/>
      <protection locked="0"/>
    </xf>
    <xf numFmtId="0" fontId="14" fillId="4" borderId="31" xfId="0" applyFont="1" applyFill="1" applyBorder="1" applyAlignment="1" applyProtection="1">
      <alignment horizontal="center" vertical="center" wrapText="1"/>
      <protection locked="0"/>
    </xf>
    <xf numFmtId="0" fontId="14" fillId="4" borderId="26" xfId="0" applyFont="1" applyFill="1" applyBorder="1" applyAlignment="1" applyProtection="1">
      <alignment horizontal="center" vertical="center" wrapText="1"/>
      <protection locked="0"/>
    </xf>
    <xf numFmtId="0" fontId="14" fillId="4" borderId="27" xfId="0" applyFont="1" applyFill="1" applyBorder="1" applyAlignment="1" applyProtection="1">
      <alignment horizontal="center" vertical="center" wrapText="1"/>
      <protection locked="0"/>
    </xf>
    <xf numFmtId="0" fontId="14" fillId="4" borderId="28" xfId="0" applyFont="1" applyFill="1" applyBorder="1" applyAlignment="1" applyProtection="1">
      <alignment horizontal="center" vertical="center" wrapText="1"/>
      <protection locked="0"/>
    </xf>
    <xf numFmtId="0" fontId="14" fillId="4" borderId="26" xfId="0" applyFont="1" applyFill="1" applyBorder="1" applyAlignment="1" applyProtection="1">
      <alignment horizontal="left" vertical="center" wrapText="1"/>
      <protection locked="0"/>
    </xf>
    <xf numFmtId="0" fontId="14" fillId="4" borderId="27" xfId="0" applyFont="1" applyFill="1" applyBorder="1" applyAlignment="1" applyProtection="1">
      <alignment horizontal="left" vertical="center" wrapText="1"/>
      <protection locked="0"/>
    </xf>
    <xf numFmtId="0" fontId="14" fillId="4" borderId="28"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left" vertical="center" wrapText="1"/>
      <protection locked="0"/>
    </xf>
    <xf numFmtId="0" fontId="14" fillId="4" borderId="3" xfId="0" applyFont="1" applyFill="1" applyBorder="1" applyAlignment="1" applyProtection="1">
      <alignment horizontal="left" vertical="center" wrapText="1"/>
      <protection locked="0"/>
    </xf>
    <xf numFmtId="0" fontId="14" fillId="4" borderId="1" xfId="0" applyFont="1" applyFill="1" applyBorder="1" applyAlignment="1" applyProtection="1">
      <alignment horizontal="left" vertical="top" wrapText="1"/>
      <protection locked="0"/>
    </xf>
    <xf numFmtId="0" fontId="14" fillId="8" borderId="2" xfId="0" applyFont="1" applyFill="1" applyBorder="1" applyAlignment="1" applyProtection="1">
      <alignment horizontal="left" vertical="center" wrapText="1"/>
      <protection locked="0"/>
    </xf>
    <xf numFmtId="0" fontId="14" fillId="8" borderId="3" xfId="0" applyFont="1" applyFill="1" applyBorder="1" applyAlignment="1" applyProtection="1">
      <alignment horizontal="left" vertical="center" wrapText="1"/>
      <protection locked="0"/>
    </xf>
    <xf numFmtId="0" fontId="14" fillId="8" borderId="4" xfId="0" applyFont="1" applyFill="1" applyBorder="1" applyAlignment="1" applyProtection="1">
      <alignment horizontal="left" vertical="center" wrapText="1"/>
      <protection locked="0"/>
    </xf>
    <xf numFmtId="0" fontId="1" fillId="8" borderId="1" xfId="0" applyFont="1" applyFill="1" applyBorder="1" applyAlignment="1">
      <alignment horizontal="center" vertical="center" wrapText="1"/>
    </xf>
    <xf numFmtId="0" fontId="16" fillId="2" borderId="0" xfId="0" applyFont="1" applyFill="1" applyAlignment="1">
      <alignment horizontal="left" vertical="center" wrapText="1"/>
    </xf>
    <xf numFmtId="0" fontId="1" fillId="4" borderId="1" xfId="0" applyFont="1" applyFill="1" applyBorder="1" applyAlignment="1" applyProtection="1">
      <alignment horizontal="center" vertical="center" wrapText="1"/>
    </xf>
    <xf numFmtId="0" fontId="2" fillId="3" borderId="0" xfId="0" applyFont="1" applyFill="1" applyAlignment="1">
      <alignment horizontal="center" vertical="center"/>
    </xf>
    <xf numFmtId="0" fontId="2" fillId="7" borderId="1" xfId="0" applyFont="1" applyFill="1" applyBorder="1" applyAlignment="1">
      <alignment horizontal="center" vertical="center"/>
    </xf>
    <xf numFmtId="0" fontId="90"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90" fillId="8"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left" vertical="top" wrapText="1"/>
      <protection locked="0"/>
    </xf>
    <xf numFmtId="0" fontId="1" fillId="4" borderId="26" xfId="0" applyFont="1" applyFill="1" applyBorder="1" applyAlignment="1" applyProtection="1">
      <alignment horizontal="left" vertical="top" wrapText="1"/>
      <protection locked="0"/>
    </xf>
    <xf numFmtId="0" fontId="1" fillId="4" borderId="27" xfId="0" applyFont="1" applyFill="1" applyBorder="1" applyAlignment="1" applyProtection="1">
      <alignment horizontal="left" vertical="top" wrapText="1"/>
      <protection locked="0"/>
    </xf>
    <xf numFmtId="0" fontId="1" fillId="4" borderId="28" xfId="0" applyFont="1" applyFill="1" applyBorder="1" applyAlignment="1" applyProtection="1">
      <alignment horizontal="left" vertical="top" wrapText="1"/>
      <protection locked="0"/>
    </xf>
    <xf numFmtId="0" fontId="1" fillId="4" borderId="29"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30" xfId="0" applyFont="1" applyFill="1" applyBorder="1" applyAlignment="1" applyProtection="1">
      <alignment horizontal="left" vertical="top" wrapText="1"/>
      <protection locked="0"/>
    </xf>
    <xf numFmtId="0" fontId="1" fillId="8" borderId="1" xfId="0" applyFont="1" applyFill="1" applyBorder="1" applyAlignment="1" applyProtection="1">
      <alignment horizontal="center" vertical="center"/>
      <protection locked="0"/>
    </xf>
    <xf numFmtId="0" fontId="1" fillId="4" borderId="2" xfId="0" applyFont="1" applyFill="1" applyBorder="1" applyAlignment="1" applyProtection="1">
      <alignment horizontal="center" vertical="center"/>
      <protection locked="0"/>
    </xf>
    <xf numFmtId="0" fontId="1" fillId="4" borderId="3" xfId="0" applyFont="1" applyFill="1" applyBorder="1" applyAlignment="1" applyProtection="1">
      <alignment horizontal="center" vertical="center"/>
      <protection locked="0"/>
    </xf>
    <xf numFmtId="0" fontId="1" fillId="4" borderId="4" xfId="0" applyFont="1" applyFill="1" applyBorder="1" applyAlignment="1" applyProtection="1">
      <alignment horizontal="center" vertical="center"/>
      <protection locked="0"/>
    </xf>
    <xf numFmtId="0" fontId="1" fillId="8" borderId="2" xfId="0" applyFont="1" applyFill="1" applyBorder="1" applyAlignment="1" applyProtection="1">
      <alignment horizontal="center" vertical="center"/>
      <protection locked="0"/>
    </xf>
    <xf numFmtId="0" fontId="1" fillId="8" borderId="3" xfId="0" applyFont="1" applyFill="1" applyBorder="1" applyAlignment="1" applyProtection="1">
      <alignment horizontal="center" vertical="center"/>
      <protection locked="0"/>
    </xf>
    <xf numFmtId="0" fontId="1" fillId="8" borderId="4" xfId="0" applyFont="1" applyFill="1" applyBorder="1" applyAlignment="1" applyProtection="1">
      <alignment horizontal="center" vertical="center"/>
      <protection locked="0"/>
    </xf>
    <xf numFmtId="0" fontId="1" fillId="4" borderId="39" xfId="0" applyFont="1" applyFill="1" applyBorder="1" applyAlignment="1" applyProtection="1">
      <alignment horizontal="left" vertical="top" wrapText="1"/>
      <protection locked="0"/>
    </xf>
    <xf numFmtId="0" fontId="1" fillId="4" borderId="32" xfId="0" applyFont="1" applyFill="1" applyBorder="1" applyAlignment="1" applyProtection="1">
      <alignment horizontal="left" vertical="top" wrapText="1"/>
      <protection locked="0"/>
    </xf>
    <xf numFmtId="0" fontId="1" fillId="4" borderId="33" xfId="0" applyFont="1" applyFill="1" applyBorder="1" applyAlignment="1" applyProtection="1">
      <alignment horizontal="left" vertical="top" wrapText="1"/>
      <protection locked="0"/>
    </xf>
    <xf numFmtId="0" fontId="68" fillId="2" borderId="0" xfId="0" applyFont="1" applyFill="1" applyAlignment="1" quotePrefix="1">
      <alignment horizontal="center" vertical="center" wrapText="1"/>
    </xf>
    <xf numFmtId="0" fontId="5" fillId="0" borderId="0" xfId="0"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ont>
        <b val="1"/>
        <i val="0"/>
        <color rgb="FF00B0F0"/>
      </font>
    </dxf>
    <dxf>
      <font>
        <color rgb="FFDE0000"/>
      </font>
      <fill>
        <patternFill patternType="solid">
          <bgColor theme="0" tint="-0.35"/>
        </patternFill>
      </fill>
    </dxf>
    <dxf>
      <font>
        <color rgb="FFFE9C00"/>
      </font>
      <fill>
        <patternFill patternType="solid">
          <bgColor theme="0" tint="-0.15"/>
        </patternFill>
      </fill>
    </dxf>
    <dxf>
      <font>
        <color rgb="FF00E900"/>
      </font>
    </dxf>
    <dxf>
      <font>
        <color theme="1"/>
      </font>
      <fill>
        <patternFill patternType="solid">
          <bgColor theme="0" tint="-0.5"/>
        </patternFill>
      </fill>
    </dxf>
    <dxf>
      <font>
        <b val="1"/>
        <i val="0"/>
        <color theme="4"/>
      </font>
      <fill>
        <patternFill patternType="none"/>
      </fill>
    </dxf>
    <dxf>
      <font>
        <b val="1"/>
        <i val="0"/>
        <color theme="8" tint="-0.5"/>
      </font>
    </dxf>
    <dxf>
      <border>
        <left style="thin">
          <color rgb="FF00BA00"/>
        </left>
        <right style="thin">
          <color rgb="FF00BA00"/>
        </right>
        <top style="thin">
          <color rgb="FF00BA00"/>
        </top>
        <bottom style="thin">
          <color rgb="FF00BA00"/>
        </bottom>
      </border>
    </dxf>
    <dxf>
      <font>
        <b val="1"/>
        <i val="0"/>
        <color theme="1"/>
      </font>
    </dxf>
    <dxf>
      <font>
        <color rgb="FF00FF00"/>
      </font>
      <fill>
        <patternFill patternType="solid">
          <bgColor rgb="FF00FF00"/>
        </patternFill>
      </fill>
    </dxf>
  </dxfs>
  <tableStyles count="0" defaultTableStyle="TableStyleMedium2" defaultPivotStyle="PivotStyleLight16"/>
  <colors>
    <mruColors>
      <color rgb="00ABE1FF"/>
      <color rgb="00FF3939"/>
      <color rgb="00FF7777"/>
      <color rgb="0000E900"/>
      <color rgb="0000D800"/>
      <color rgb="0000BA00"/>
      <color rgb="00F7F7EB"/>
      <color rgb="00DE0000"/>
      <color rgb="00009F00"/>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00B0F0">
                  <a:alpha val="75000"/>
                </a:srgbClr>
              </a:solidFill>
              <a:round/>
            </a:ln>
            <a:effectLst/>
          </c:spPr>
          <c:marker>
            <c:symbol val="circle"/>
            <c:size val="5"/>
            <c:spPr>
              <a:solidFill>
                <a:srgbClr val="0070C0">
                  <a:alpha val="75000"/>
                </a:srgbClr>
              </a:solidFill>
              <a:ln w="9525">
                <a:noFill/>
              </a:ln>
              <a:effectLst/>
            </c:spPr>
          </c:marker>
          <c:dLbls>
            <c:spPr>
              <a:noFill/>
              <a:ln>
                <a:noFill/>
              </a:ln>
              <a:effectLst/>
            </c:spPr>
            <c:txPr>
              <a:bodyPr rot="0" spcFirstLastPara="0" vertOverflow="ellipsis" vert="horz" wrap="square" lIns="38100" tIns="19050" rIns="38100" bIns="19050" anchor="ctr" anchorCtr="1"/>
              <a:lstStyle/>
              <a:p>
                <a:pPr>
                  <a:defRPr lang="zh-CN" sz="6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法术书目录!$AG$40:$AG$57</c:f>
              <c:strCache>
                <c:ptCount val="18"/>
                <c:pt idx="0">
                  <c:v>运动</c:v>
                </c:pt>
                <c:pt idx="1">
                  <c:v>特技</c:v>
                </c:pt>
                <c:pt idx="2">
                  <c:v>巧手</c:v>
                </c:pt>
                <c:pt idx="3">
                  <c:v>隐匿</c:v>
                </c:pt>
                <c:pt idx="4">
                  <c:v>调查</c:v>
                </c:pt>
                <c:pt idx="5">
                  <c:v>奥秘</c:v>
                </c:pt>
                <c:pt idx="6">
                  <c:v>历史</c:v>
                </c:pt>
                <c:pt idx="7">
                  <c:v>自然</c:v>
                </c:pt>
                <c:pt idx="8">
                  <c:v>宗教</c:v>
                </c:pt>
                <c:pt idx="9">
                  <c:v>察觉</c:v>
                </c:pt>
                <c:pt idx="10">
                  <c:v>洞悉</c:v>
                </c:pt>
                <c:pt idx="11">
                  <c:v>驯养</c:v>
                </c:pt>
                <c:pt idx="12">
                  <c:v>医疗</c:v>
                </c:pt>
                <c:pt idx="13">
                  <c:v>生存</c:v>
                </c:pt>
                <c:pt idx="14">
                  <c:v>说服</c:v>
                </c:pt>
                <c:pt idx="15">
                  <c:v>欺诈</c:v>
                </c:pt>
                <c:pt idx="16">
                  <c:v>威吓</c:v>
                </c:pt>
                <c:pt idx="17">
                  <c:v>表演</c:v>
                </c:pt>
              </c:strCache>
            </c:strRef>
          </c:cat>
          <c:val>
            <c:numRef>
              <c:f>法术书目录!$AH$40:$AH$57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dLbls>
          <c:showLegendKey val="0"/>
          <c:showVal val="0"/>
          <c:showCatName val="0"/>
          <c:showSerName val="0"/>
          <c:showPercent val="0"/>
          <c:showBubbleSize val="0"/>
        </c:dLbls>
        <c:axId val="997996615"/>
        <c:axId val="630222631"/>
      </c:radarChart>
      <c:catAx>
        <c:axId val="9979966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30222631"/>
        <c:crosses val="autoZero"/>
        <c:auto val="1"/>
        <c:lblAlgn val="ctr"/>
        <c:lblOffset val="100"/>
        <c:noMultiLvlLbl val="0"/>
      </c:catAx>
      <c:valAx>
        <c:axId val="630222631"/>
        <c:scaling>
          <c:orientation val="minMax"/>
          <c:max val="20"/>
          <c:min val="-10"/>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97996615"/>
        <c:crosses val="autoZero"/>
        <c:crossBetween val="between"/>
      </c:valAx>
      <c:spPr>
        <a:noFill/>
        <a:ln>
          <a:noFill/>
        </a:ln>
        <a:effectLst/>
      </c:spPr>
    </c:plotArea>
    <c:plotVisOnly val="1"/>
    <c:dispBlanksAs val="gap"/>
    <c:showDLblsOverMax val="0"/>
    <c:extLst>
      <c:ext uri="{0b15fc19-7d7d-44ad-8c2d-2c3a37ce22c3}">
        <chartProps xmlns="https://web.wps.cn/et/2018/main" chartId="{78f5a6e3-c300-4384-9800-f80f2dda7840}"/>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"基础属性"</c:f>
              <c:strCache>
                <c:ptCount val="1"/>
                <c:pt idx="0">
                  <c:v>基础属性</c:v>
                </c:pt>
              </c:strCache>
            </c:strRef>
          </c:tx>
          <c:spPr>
            <a:solidFill>
              <a:srgbClr val="00B0F0">
                <a:alpha val="75000"/>
              </a:srgbClr>
            </a:solidFill>
            <a:ln>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法术书目录!$AG$36:$AL$36</c:f>
              <c:strCache>
                <c:ptCount val="6"/>
                <c:pt idx="0">
                  <c:v>力量</c:v>
                </c:pt>
                <c:pt idx="1">
                  <c:v>敏捷</c:v>
                </c:pt>
                <c:pt idx="2">
                  <c:v>体质</c:v>
                </c:pt>
                <c:pt idx="3">
                  <c:v>智力</c:v>
                </c:pt>
                <c:pt idx="4">
                  <c:v>感知</c:v>
                </c:pt>
                <c:pt idx="5">
                  <c:v>魅力</c:v>
                </c:pt>
              </c:strCache>
            </c:strRef>
          </c:cat>
          <c:val>
            <c:numRef>
              <c:f>法术书目录!$AG$37:$AL$37</c:f>
              <c:numCache>
                <c:formatCode>General</c:formatCode>
                <c:ptCount val="6"/>
                <c:pt idx="0">
                  <c:v>10</c:v>
                </c:pt>
                <c:pt idx="1">
                  <c:v>10</c:v>
                </c:pt>
                <c:pt idx="2">
                  <c:v>10</c:v>
                </c:pt>
                <c:pt idx="3">
                  <c:v>10</c:v>
                </c:pt>
                <c:pt idx="4">
                  <c:v>10</c:v>
                </c:pt>
                <c:pt idx="5">
                  <c:v>10</c:v>
                </c:pt>
              </c:numCache>
            </c:numRef>
          </c:val>
        </c:ser>
        <c:dLbls>
          <c:showLegendKey val="0"/>
          <c:showVal val="0"/>
          <c:showCatName val="0"/>
          <c:showSerName val="0"/>
          <c:showPercent val="0"/>
          <c:showBubbleSize val="0"/>
        </c:dLbls>
        <c:axId val="17485398"/>
        <c:axId val="602771328"/>
      </c:radarChart>
      <c:catAx>
        <c:axId val="17485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02771328"/>
        <c:crosses val="autoZero"/>
        <c:auto val="1"/>
        <c:lblAlgn val="ctr"/>
        <c:lblOffset val="100"/>
        <c:noMultiLvlLbl val="0"/>
      </c:catAx>
      <c:valAx>
        <c:axId val="602771328"/>
        <c:scaling>
          <c:orientation val="minMax"/>
          <c:max val="25"/>
        </c:scaling>
        <c:delete val="0"/>
        <c:axPos val="l"/>
        <c:majorGridlines>
          <c:spPr>
            <a:ln w="9525" cap="rnd"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7485398"/>
        <c:crosses val="autoZero"/>
        <c:crossBetween val="between"/>
      </c:valAx>
      <c:spPr>
        <a:noFill/>
        <a:ln>
          <a:noFill/>
        </a:ln>
        <a:effectLst/>
      </c:spPr>
    </c:plotArea>
    <c:plotVisOnly val="1"/>
    <c:dispBlanksAs val="gap"/>
    <c:showDLblsOverMax val="0"/>
    <c:extLst>
      <c:ext uri="{0b15fc19-7d7d-44ad-8c2d-2c3a37ce22c3}">
        <chartProps xmlns="https://web.wps.cn/et/2018/main" chartId="{3dc4bacb-a3f0-42dd-b8cd-a6aad9263789}"/>
      </c:ext>
    </c:extLst>
  </c:chart>
  <c:spPr>
    <a:solidFill>
      <a:schemeClr val="bg1"/>
    </a:solidFill>
    <a:ln w="9525" cap="flat" cmpd="sng" algn="ctr">
      <a:solidFill>
        <a:schemeClr val="tx1">
          <a:lumMod val="15000"/>
          <a:lumOff val="85000"/>
        </a:schemeClr>
      </a:solidFill>
      <a:round/>
    </a:ln>
    <a:effectLst/>
  </c:spPr>
  <c:txPr>
    <a:bodyPr/>
    <a:lstStyle/>
    <a:p>
      <a:pPr>
        <a:defRPr lang="zh-CN" sz="1000">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6" fmlaLink="X13" horiz="1" max="100" page="10" val="1"/>
</file>

<file path=xl/ctrlProps/ctrlProp2.xml><?xml version="1.0" encoding="utf-8"?>
<formControlPr xmlns="http://schemas.microsoft.com/office/spreadsheetml/2009/9/main" objectType="Spin" dx="16" fmlaLink="$Y$11" horiz="1" max="100" page="10" val="1"/>
</file>

<file path=xl/ctrlProps/ctrlProp3.xml><?xml version="1.0" encoding="utf-8"?>
<formControlPr xmlns="http://schemas.microsoft.com/office/spreadsheetml/2009/9/main" objectType="Spin" dx="16" fmlaLink="$AD$16" horiz="1" max="100" page="10" val="0"/>
</file>

<file path=xl/ctrlProps/ctrlProp4.xml><?xml version="1.0" encoding="utf-8"?>
<formControlPr xmlns="http://schemas.microsoft.com/office/spreadsheetml/2009/9/main" objectType="Spin" dx="16" fmlaLink="$X$16" horiz="1" max="100" page="10" val="0"/>
</file>

<file path=xl/ctrlProps/ctrlProp5.xml><?xml version="1.0" encoding="utf-8"?>
<formControlPr xmlns="http://schemas.microsoft.com/office/spreadsheetml/2009/9/main" objectType="CheckBox" fmlaLink="DB!$A$25" val="0"/>
</file>

<file path=xl/ctrlProps/ctrlProp6.xml><?xml version="1.0" encoding="utf-8"?>
<formControlPr xmlns="http://schemas.microsoft.com/office/spreadsheetml/2009/9/main" objectType="CheckBox" val="0"/>
</file>

<file path=xl/ctrlProps/ctrlProp7.xml><?xml version="1.0" encoding="utf-8"?>
<formControlPr xmlns="http://schemas.microsoft.com/office/spreadsheetml/2009/9/main" objectType="Spin" dx="16" fmlaLink="$AR$28" max="100" page="10" val="0"/>
</file>

<file path=xl/ctrlProps/ctrlProp8.xml><?xml version="1.0" encoding="utf-8"?>
<formControlPr xmlns="http://schemas.microsoft.com/office/spreadsheetml/2009/9/main" objectType="Spin" dx="16" fmlaLink="$AR$29" max="100" page="10" val="0"/>
</file>

<file path=xl/ctrlProps/ctrlProp9.xml><?xml version="1.0" encoding="utf-8"?>
<formControlPr xmlns="http://schemas.microsoft.com/office/spreadsheetml/2009/9/main" objectType="Spin" dx="16" fmlaLink="$AR$30" max="100" page="10" val="0"/>
</file>

<file path=xl/ctrlProps/ctrlProp10.xml><?xml version="1.0" encoding="utf-8"?>
<formControlPr xmlns="http://schemas.microsoft.com/office/spreadsheetml/2009/9/main" objectType="Spin" dx="16" fmlaLink="$AR$31" max="100" page="10" val="0"/>
</file>

<file path=xl/ctrlProps/ctrlProp11.xml><?xml version="1.0" encoding="utf-8"?>
<formControlPr xmlns="http://schemas.microsoft.com/office/spreadsheetml/2009/9/main" objectType="Spin" dx="16" fmlaLink="$AR$32" max="100" page="10" val="0"/>
</file>

<file path=xl/ctrlProps/ctrlProp12.xml><?xml version="1.0" encoding="utf-8"?>
<formControlPr xmlns="http://schemas.microsoft.com/office/spreadsheetml/2009/9/main" objectType="CheckBox" fmlaLink="$A$28" val="0"/>
</file>

<file path=xl/ctrlProps/ctrlProp13.xml><?xml version="1.0" encoding="utf-8"?>
<formControlPr xmlns="http://schemas.microsoft.com/office/spreadsheetml/2009/9/main" objectType="CheckBox" fmlaLink="$A$29" val="0"/>
</file>

<file path=xl/ctrlProps/ctrlProp14.xml><?xml version="1.0" encoding="utf-8"?>
<formControlPr xmlns="http://schemas.microsoft.com/office/spreadsheetml/2009/9/main" objectType="CheckBox" fmlaLink="$A$30" val="0"/>
</file>

<file path=xl/ctrlProps/ctrlProp15.xml><?xml version="1.0" encoding="utf-8"?>
<formControlPr xmlns="http://schemas.microsoft.com/office/spreadsheetml/2009/9/main" objectType="CheckBox" fmlaLink="$A$32" val="0"/>
</file>

<file path=xl/ctrlProps/ctrlProp16.xml><?xml version="1.0" encoding="utf-8"?>
<formControlPr xmlns="http://schemas.microsoft.com/office/spreadsheetml/2009/9/main" objectType="CheckBox" fmlaLink="$A$33" val="0"/>
</file>

<file path=xl/ctrlProps/ctrlProp17.xml><?xml version="1.0" encoding="utf-8"?>
<formControlPr xmlns="http://schemas.microsoft.com/office/spreadsheetml/2009/9/main" objectType="CheckBox" fmlaLink="$A$34" val="0"/>
</file>

<file path=xl/ctrlProps/ctrlProp18.xml><?xml version="1.0" encoding="utf-8"?>
<formControlPr xmlns="http://schemas.microsoft.com/office/spreadsheetml/2009/9/main" objectType="CheckBox" fmlaLink="$A$35" val="0"/>
</file>

<file path=xl/ctrlProps/ctrlProp19.xml><?xml version="1.0" encoding="utf-8"?>
<formControlPr xmlns="http://schemas.microsoft.com/office/spreadsheetml/2009/9/main" objectType="CheckBox" fmlaLink="$A$36" val="0"/>
</file>

<file path=xl/ctrlProps/ctrlProp20.xml><?xml version="1.0" encoding="utf-8"?>
<formControlPr xmlns="http://schemas.microsoft.com/office/spreadsheetml/2009/9/main" objectType="CheckBox" fmlaLink="$A$38" val="0"/>
</file>

<file path=xl/ctrlProps/ctrlProp21.xml><?xml version="1.0" encoding="utf-8"?>
<formControlPr xmlns="http://schemas.microsoft.com/office/spreadsheetml/2009/9/main" objectType="CheckBox" fmlaLink="$A$39" val="0"/>
</file>

<file path=xl/ctrlProps/ctrlProp22.xml><?xml version="1.0" encoding="utf-8"?>
<formControlPr xmlns="http://schemas.microsoft.com/office/spreadsheetml/2009/9/main" objectType="CheckBox" fmlaLink="$A$40" val="0"/>
</file>

<file path=xl/ctrlProps/ctrlProp23.xml><?xml version="1.0" encoding="utf-8"?>
<formControlPr xmlns="http://schemas.microsoft.com/office/spreadsheetml/2009/9/main" objectType="CheckBox" fmlaLink="$A$41" val="0"/>
</file>

<file path=xl/ctrlProps/ctrlProp24.xml><?xml version="1.0" encoding="utf-8"?>
<formControlPr xmlns="http://schemas.microsoft.com/office/spreadsheetml/2009/9/main" objectType="CheckBox" fmlaLink="$A$42" val="0"/>
</file>

<file path=xl/ctrlProps/ctrlProp25.xml><?xml version="1.0" encoding="utf-8"?>
<formControlPr xmlns="http://schemas.microsoft.com/office/spreadsheetml/2009/9/main" objectType="CheckBox" fmlaLink="$A$44" val="0"/>
</file>

<file path=xl/ctrlProps/ctrlProp26.xml><?xml version="1.0" encoding="utf-8"?>
<formControlPr xmlns="http://schemas.microsoft.com/office/spreadsheetml/2009/9/main" objectType="CheckBox" fmlaLink="$A$45" val="0"/>
</file>

<file path=xl/ctrlProps/ctrlProp27.xml><?xml version="1.0" encoding="utf-8"?>
<formControlPr xmlns="http://schemas.microsoft.com/office/spreadsheetml/2009/9/main" objectType="CheckBox" fmlaLink="$A$46" val="0"/>
</file>

<file path=xl/ctrlProps/ctrlProp28.xml><?xml version="1.0" encoding="utf-8"?>
<formControlPr xmlns="http://schemas.microsoft.com/office/spreadsheetml/2009/9/main" objectType="CheckBox" fmlaLink="$A$47" val="0"/>
</file>

<file path=xl/ctrlProps/ctrlProp29.xml><?xml version="1.0" encoding="utf-8"?>
<formControlPr xmlns="http://schemas.microsoft.com/office/spreadsheetml/2009/9/main" objectType="CheckBox" fmlaLink="$A$26" val="0"/>
</file>

<file path=xl/ctrlProps/ctrlProp30.xml><?xml version="1.0" encoding="utf-8"?>
<formControlPr xmlns="http://schemas.microsoft.com/office/spreadsheetml/2009/9/main" objectType="CheckBox" fmlaLink="$A$11" val="0"/>
</file>

<file path=xl/ctrlProps/ctrlProp31.xml><?xml version="1.0" encoding="utf-8"?>
<formControlPr xmlns="http://schemas.microsoft.com/office/spreadsheetml/2009/9/main" objectType="CheckBox" fmlaLink="$A$13" val="0"/>
</file>

<file path=xl/ctrlProps/ctrlProp32.xml><?xml version="1.0" encoding="utf-8"?>
<formControlPr xmlns="http://schemas.microsoft.com/office/spreadsheetml/2009/9/main" objectType="CheckBox" fmlaLink="$A$15" val="0"/>
</file>

<file path=xl/ctrlProps/ctrlProp33.xml><?xml version="1.0" encoding="utf-8"?>
<formControlPr xmlns="http://schemas.microsoft.com/office/spreadsheetml/2009/9/main" objectType="CheckBox" fmlaLink="$A$17" val="0"/>
</file>

<file path=xl/ctrlProps/ctrlProp34.xml><?xml version="1.0" encoding="utf-8"?>
<formControlPr xmlns="http://schemas.microsoft.com/office/spreadsheetml/2009/9/main" objectType="CheckBox" fmlaLink="$A$19" val="0"/>
</file>

<file path=xl/ctrlProps/ctrlProp35.xml><?xml version="1.0" encoding="utf-8"?>
<formControlPr xmlns="http://schemas.microsoft.com/office/spreadsheetml/2009/9/main" objectType="CheckBox" fmlaLink="$A$21" val="0"/>
</file>

<file path=xl/ctrlProps/ctrlProp36.xml><?xml version="1.0" encoding="utf-8"?>
<formControlPr xmlns="http://schemas.microsoft.com/office/spreadsheetml/2009/9/main" objectType="CheckBox" fmlaLink="$K$28" val="0"/>
</file>

<file path=xl/ctrlProps/ctrlProp37.xml><?xml version="1.0" encoding="utf-8"?>
<formControlPr xmlns="http://schemas.microsoft.com/office/spreadsheetml/2009/9/main" objectType="CheckBox" fmlaLink="$K$29" val="0"/>
</file>

<file path=xl/ctrlProps/ctrlProp38.xml><?xml version="1.0" encoding="utf-8"?>
<formControlPr xmlns="http://schemas.microsoft.com/office/spreadsheetml/2009/9/main" objectType="CheckBox" fmlaLink="$K$30" val="0"/>
</file>

<file path=xl/ctrlProps/ctrlProp39.xml><?xml version="1.0" encoding="utf-8"?>
<formControlPr xmlns="http://schemas.microsoft.com/office/spreadsheetml/2009/9/main" objectType="CheckBox" fmlaLink="$K$31" val="0"/>
</file>

<file path=xl/ctrlProps/ctrlProp40.xml><?xml version="1.0" encoding="utf-8"?>
<formControlPr xmlns="http://schemas.microsoft.com/office/spreadsheetml/2009/9/main" objectType="CheckBox" fmlaLink="$K$32" val="0"/>
</file>

<file path=xl/ctrlProps/ctrlProp41.xml><?xml version="1.0" encoding="utf-8"?>
<formControlPr xmlns="http://schemas.microsoft.com/office/spreadsheetml/2009/9/main" objectType="CheckBox" val="0"/>
</file>

<file path=xl/ctrlProps/ctrlProp42.xml><?xml version="1.0" encoding="utf-8"?>
<formControlPr xmlns="http://schemas.microsoft.com/office/spreadsheetml/2009/9/main" objectType="CheckBox" val="0"/>
</file>

<file path=xl/ctrlProps/ctrlProp43.xml><?xml version="1.0" encoding="utf-8"?>
<formControlPr xmlns="http://schemas.microsoft.com/office/spreadsheetml/2009/9/main" objectType="CheckBox" val="0"/>
</file>

<file path=xl/ctrlProps/ctrlProp44.xml><?xml version="1.0" encoding="utf-8"?>
<formControlPr xmlns="http://schemas.microsoft.com/office/spreadsheetml/2009/9/main" objectType="CheckBox" fmlaLink="法术书目录!$R$13" val="0"/>
</file>

<file path=xl/ctrlProps/ctrlProp45.xml><?xml version="1.0" encoding="utf-8"?>
<formControlPr xmlns="http://schemas.microsoft.com/office/spreadsheetml/2009/9/main" objectType="CheckBox" fmlaLink="法术书目录!$R$14" val="0"/>
</file>

<file path=xl/ctrlProps/ctrlProp46.xml><?xml version="1.0" encoding="utf-8"?>
<formControlPr xmlns="http://schemas.microsoft.com/office/spreadsheetml/2009/9/main" objectType="CheckBox" fmlaLink="法术书目录!$R$15" val="0"/>
</file>

<file path=xl/ctrlProps/ctrlProp47.xml><?xml version="1.0" encoding="utf-8"?>
<formControlPr xmlns="http://schemas.microsoft.com/office/spreadsheetml/2009/9/main" objectType="CheckBox" fmlaLink="法术书目录!$R$42" val="0"/>
</file>

<file path=xl/ctrlProps/ctrlProp48.xml><?xml version="1.0" encoding="utf-8"?>
<formControlPr xmlns="http://schemas.microsoft.com/office/spreadsheetml/2009/9/main" objectType="CheckBox" fmlaLink="法术书目录!$R$27" val="0"/>
</file>

<file path=xl/ctrlProps/ctrlProp49.xml><?xml version="1.0" encoding="utf-8"?>
<formControlPr xmlns="http://schemas.microsoft.com/office/spreadsheetml/2009/9/main" objectType="CheckBox" fmlaLink="法术书目录!$R$29" val="0"/>
</file>

<file path=xl/ctrlProps/ctrlProp50.xml><?xml version="1.0" encoding="utf-8"?>
<formControlPr xmlns="http://schemas.microsoft.com/office/spreadsheetml/2009/9/main" objectType="CheckBox" fmlaLink="法术书目录!$R$30" val="0"/>
</file>

<file path=xl/ctrlProps/ctrlProp51.xml><?xml version="1.0" encoding="utf-8"?>
<formControlPr xmlns="http://schemas.microsoft.com/office/spreadsheetml/2009/9/main" objectType="CheckBox" fmlaLink="法术书目录!$R$31" val="0"/>
</file>

<file path=xl/ctrlProps/ctrlProp52.xml><?xml version="1.0" encoding="utf-8"?>
<formControlPr xmlns="http://schemas.microsoft.com/office/spreadsheetml/2009/9/main" objectType="CheckBox" fmlaLink="法术书目录!$R$32" val="0"/>
</file>

<file path=xl/ctrlProps/ctrlProp53.xml><?xml version="1.0" encoding="utf-8"?>
<formControlPr xmlns="http://schemas.microsoft.com/office/spreadsheetml/2009/9/main" objectType="CheckBox" fmlaLink="法术书目录!$R$34" val="0"/>
</file>

<file path=xl/ctrlProps/ctrlProp54.xml><?xml version="1.0" encoding="utf-8"?>
<formControlPr xmlns="http://schemas.microsoft.com/office/spreadsheetml/2009/9/main" objectType="CheckBox" fmlaLink="法术书目录!$R$35" val="0"/>
</file>

<file path=xl/ctrlProps/ctrlProp55.xml><?xml version="1.0" encoding="utf-8"?>
<formControlPr xmlns="http://schemas.microsoft.com/office/spreadsheetml/2009/9/main" objectType="CheckBox" fmlaLink="法术书目录!$R$36" val="0"/>
</file>

<file path=xl/ctrlProps/ctrlProp56.xml><?xml version="1.0" encoding="utf-8"?>
<formControlPr xmlns="http://schemas.microsoft.com/office/spreadsheetml/2009/9/main" objectType="CheckBox" fmlaLink="法术书目录!$R$37" val="0"/>
</file>

<file path=xl/ctrlProps/ctrlProp57.xml><?xml version="1.0" encoding="utf-8"?>
<formControlPr xmlns="http://schemas.microsoft.com/office/spreadsheetml/2009/9/main" objectType="CheckBox" fmlaLink="法术书目录!$R$38" val="0"/>
</file>

<file path=xl/ctrlProps/ctrlProp58.xml><?xml version="1.0" encoding="utf-8"?>
<formControlPr xmlns="http://schemas.microsoft.com/office/spreadsheetml/2009/9/main" objectType="CheckBox" fmlaLink="法术书目录!$R$39" val="0"/>
</file>

<file path=xl/ctrlProps/ctrlProp59.xml><?xml version="1.0" encoding="utf-8"?>
<formControlPr xmlns="http://schemas.microsoft.com/office/spreadsheetml/2009/9/main" objectType="CheckBox" fmlaLink="法术书目录!$R$40" val="0"/>
</file>

<file path=xl/ctrlProps/ctrlProp60.xml><?xml version="1.0" encoding="utf-8"?>
<formControlPr xmlns="http://schemas.microsoft.com/office/spreadsheetml/2009/9/main" objectType="CheckBox" fmlaLink="法术书目录!$R$41" val="0"/>
</file>

<file path=xl/ctrlProps/ctrlProp61.xml><?xml version="1.0" encoding="utf-8"?>
<formControlPr xmlns="http://schemas.microsoft.com/office/spreadsheetml/2009/9/main" objectType="CheckBox" fmlaLink="法术书目录!$R$28" val="0"/>
</file>

<file path=xl/ctrlProps/ctrlProp62.xml><?xml version="1.0" encoding="utf-8"?>
<formControlPr xmlns="http://schemas.microsoft.com/office/spreadsheetml/2009/9/main" objectType="CheckBox" fmlaLink="法术书目录!$R$33" val="0"/>
</file>

<file path=xl/ctrlProps/ctrlProp63.xml><?xml version="1.0" encoding="utf-8"?>
<formControlPr xmlns="http://schemas.microsoft.com/office/spreadsheetml/2009/9/main" objectType="CheckBox" fmlaLink="法术书目录!$R$28" val="0"/>
</file>

<file path=xl/ctrlProps/ctrlProp64.xml><?xml version="1.0" encoding="utf-8"?>
<formControlPr xmlns="http://schemas.microsoft.com/office/spreadsheetml/2009/9/main" objectType="CheckBox" fmlaLink="法术书目录!$R$33" val="0"/>
</file>

<file path=xl/ctrlProps/ctrlProp65.xml><?xml version="1.0" encoding="utf-8"?>
<formControlPr xmlns="http://schemas.microsoft.com/office/spreadsheetml/2009/9/main" objectType="CheckBox" fmlaLink="法术书目录!$R$28" val="0"/>
</file>

<file path=xl/ctrlProps/ctrlProp66.xml><?xml version="1.0" encoding="utf-8"?>
<formControlPr xmlns="http://schemas.microsoft.com/office/spreadsheetml/2009/9/main" objectType="CheckBox" fmlaLink="法术书目录!$R$27" val="0"/>
</file>

<file path=xl/ctrlProps/ctrlProp67.xml><?xml version="1.0" encoding="utf-8"?>
<formControlPr xmlns="http://schemas.microsoft.com/office/spreadsheetml/2009/9/main" objectType="CheckBox" fmlaLink="法术书目录!$R$28" val="0"/>
</file>

<file path=xl/ctrlProps/ctrlProp68.xml><?xml version="1.0" encoding="utf-8"?>
<formControlPr xmlns="http://schemas.microsoft.com/office/spreadsheetml/2009/9/main" objectType="CheckBox" fmlaLink="法术书目录!$R$33" val="0"/>
</file>

<file path=xl/ctrlProps/ctrlProp69.xml><?xml version="1.0" encoding="utf-8"?>
<formControlPr xmlns="http://schemas.microsoft.com/office/spreadsheetml/2009/9/main" objectType="Spin" dx="16" fmlaLink="法术书目录!$O$1" max="90" page="10" val="1"/>
</file>

<file path=xl/ctrlProps/ctrlProp70.xml><?xml version="1.0" encoding="utf-8"?>
<formControlPr xmlns="http://schemas.microsoft.com/office/spreadsheetml/2009/9/main" objectType="Spin" dx="16" fmlaLink="法术书目录!$O$2" max="90" page="10" val="1"/>
</file>

<file path=xl/ctrlProps/ctrlProp71.xml><?xml version="1.0" encoding="utf-8"?>
<formControlPr xmlns="http://schemas.microsoft.com/office/spreadsheetml/2009/9/main" objectType="Spin" dx="16" fmlaLink="法术书目录!$O$3" max="90" page="10" val="1"/>
</file>

<file path=xl/ctrlProps/ctrlProp72.xml><?xml version="1.0" encoding="utf-8"?>
<formControlPr xmlns="http://schemas.microsoft.com/office/spreadsheetml/2009/9/main" objectType="CheckBox" val="0"/>
</file>

<file path=xl/ctrlProps/ctrlProp73.xml><?xml version="1.0" encoding="utf-8"?>
<formControlPr xmlns="http://schemas.microsoft.com/office/spreadsheetml/2009/9/main" objectType="CheckBox" val="0"/>
</file>

<file path=xl/ctrlProps/ctrlProp74.xml><?xml version="1.0" encoding="utf-8"?>
<formControlPr xmlns="http://schemas.microsoft.com/office/spreadsheetml/2009/9/main" objectType="CheckBox" val="0"/>
</file>

<file path=xl/ctrlProps/ctrlProp75.xml><?xml version="1.0" encoding="utf-8"?>
<formControlPr xmlns="http://schemas.microsoft.com/office/spreadsheetml/2009/9/main" objectType="CheckBox" val="0"/>
</file>

<file path=xl/ctrlProps/ctrlProp76.xml><?xml version="1.0" encoding="utf-8"?>
<formControlPr xmlns="http://schemas.microsoft.com/office/spreadsheetml/2009/9/main" objectType="CheckBox" val="0"/>
</file>

<file path=xl/ctrlProps/ctrlProp77.xml><?xml version="1.0" encoding="utf-8"?>
<formControlPr xmlns="http://schemas.microsoft.com/office/spreadsheetml/2009/9/main" objectType="CheckBox" val="0"/>
</file>

<file path=xl/ctrlProps/ctrlProp78.xml><?xml version="1.0" encoding="utf-8"?>
<formControlPr xmlns="http://schemas.microsoft.com/office/spreadsheetml/2009/9/main" objectType="CheckBox" val="0"/>
</file>

<file path=xl/ctrlProps/ctrlProp79.xml><?xml version="1.0" encoding="utf-8"?>
<formControlPr xmlns="http://schemas.microsoft.com/office/spreadsheetml/2009/9/main" objectType="CheckBox" val="0"/>
</file>

<file path=xl/ctrlProps/ctrlProp80.xml><?xml version="1.0" encoding="utf-8"?>
<formControlPr xmlns="http://schemas.microsoft.com/office/spreadsheetml/2009/9/main" objectType="CheckBox" val="0"/>
</file>

<file path=xl/ctrlProps/ctrlProp81.xml><?xml version="1.0" encoding="utf-8"?>
<formControlPr xmlns="http://schemas.microsoft.com/office/spreadsheetml/2009/9/main" objectType="CheckBox" val="0"/>
</file>

<file path=xl/ctrlProps/ctrlProp82.xml><?xml version="1.0" encoding="utf-8"?>
<formControlPr xmlns="http://schemas.microsoft.com/office/spreadsheetml/2009/9/main" objectType="CheckBox" val="0"/>
</file>

<file path=xl/ctrlProps/ctrlProp83.xml><?xml version="1.0" encoding="utf-8"?>
<formControlPr xmlns="http://schemas.microsoft.com/office/spreadsheetml/2009/9/main" objectType="CheckBox" val="0"/>
</file>

<file path=xl/ctrlProps/ctrlProp84.xml><?xml version="1.0" encoding="utf-8"?>
<formControlPr xmlns="http://schemas.microsoft.com/office/spreadsheetml/2009/9/main" objectType="CheckBox" val="0"/>
</file>

<file path=xl/ctrlProps/ctrlProp85.xml><?xml version="1.0" encoding="utf-8"?>
<formControlPr xmlns="http://schemas.microsoft.com/office/spreadsheetml/2009/9/main" objectType="CheckBox" val="0"/>
</file>

<file path=xl/ctrlProps/ctrlProp86.xml><?xml version="1.0" encoding="utf-8"?>
<formControlPr xmlns="http://schemas.microsoft.com/office/spreadsheetml/2009/9/main" objectType="CheckBox" val="0"/>
</file>

<file path=xl/ctrlProps/ctrlProp87.xml><?xml version="1.0" encoding="utf-8"?>
<formControlPr xmlns="http://schemas.microsoft.com/office/spreadsheetml/2009/9/main" objectType="CheckBox" val="0"/>
</file>

<file path=xl/ctrlProps/ctrlProp88.xml><?xml version="1.0" encoding="utf-8"?>
<formControlPr xmlns="http://schemas.microsoft.com/office/spreadsheetml/2009/9/main" objectType="CheckBox" val="0"/>
</file>

<file path=xl/ctrlProps/ctrlProp89.xml><?xml version="1.0" encoding="utf-8"?>
<formControlPr xmlns="http://schemas.microsoft.com/office/spreadsheetml/2009/9/main" objectType="CheckBox" val="0"/>
</file>

<file path=xl/ctrlProps/ctrlProp90.xml><?xml version="1.0" encoding="utf-8"?>
<formControlPr xmlns="http://schemas.microsoft.com/office/spreadsheetml/2009/9/main" objectType="CheckBox" val="0"/>
</file>

<file path=xl/ctrlProps/ctrlProp91.xml><?xml version="1.0" encoding="utf-8"?>
<formControlPr xmlns="http://schemas.microsoft.com/office/spreadsheetml/2009/9/main" objectType="CheckBox" val="0"/>
</file>

<file path=xl/ctrlProps/ctrlProp92.xml><?xml version="1.0" encoding="utf-8"?>
<formControlPr xmlns="http://schemas.microsoft.com/office/spreadsheetml/2009/9/main" objectType="CheckBox" val="0"/>
</file>

<file path=xl/ctrlProps/ctrlProp93.xml><?xml version="1.0" encoding="utf-8"?>
<formControlPr xmlns="http://schemas.microsoft.com/office/spreadsheetml/2009/9/main" objectType="CheckBox" val="0"/>
</file>

<file path=xl/ctrlProps/ctrlProp94.xml><?xml version="1.0" encoding="utf-8"?>
<formControlPr xmlns="http://schemas.microsoft.com/office/spreadsheetml/2009/9/main" objectType="CheckBox" val="0"/>
</file>

<file path=xl/ctrlProps/ctrlProp95.xml><?xml version="1.0" encoding="utf-8"?>
<formControlPr xmlns="http://schemas.microsoft.com/office/spreadsheetml/2009/9/main" objectType="CheckBox" val="0"/>
</file>

<file path=xl/ctrlProps/ctrlProp96.xml><?xml version="1.0" encoding="utf-8"?>
<formControlPr xmlns="http://schemas.microsoft.com/office/spreadsheetml/2009/9/main" objectType="CheckBox" val="0"/>
</file>

<file path=xl/ctrlProps/ctrlProp97.xml><?xml version="1.0" encoding="utf-8"?>
<formControlPr xmlns="http://schemas.microsoft.com/office/spreadsheetml/2009/9/main" objectType="CheckBox" val="0"/>
</file>

<file path=xl/ctrlProps/ctrlProp98.xml><?xml version="1.0" encoding="utf-8"?>
<formControlPr xmlns="http://schemas.microsoft.com/office/spreadsheetml/2009/9/main" objectType="CheckBox" val="0"/>
</file>

<file path=xl/ctrlProps/ctrlProp99.xml><?xml version="1.0" encoding="utf-8"?>
<formControlPr xmlns="http://schemas.microsoft.com/office/spreadsheetml/2009/9/main" objectType="CheckBox" val="0"/>
</file>

<file path=xl/ctrlProps/ctrlProp100.xml><?xml version="1.0" encoding="utf-8"?>
<formControlPr xmlns="http://schemas.microsoft.com/office/spreadsheetml/2009/9/main" objectType="CheckBox" val="0"/>
</file>

<file path=xl/ctrlProps/ctrlProp101.xml><?xml version="1.0" encoding="utf-8"?>
<formControlPr xmlns="http://schemas.microsoft.com/office/spreadsheetml/2009/9/main" objectType="CheckBox" val="0"/>
</file>

<file path=xl/ctrlProps/ctrlProp102.xml><?xml version="1.0" encoding="utf-8"?>
<formControlPr xmlns="http://schemas.microsoft.com/office/spreadsheetml/2009/9/main" objectType="CheckBox" val="0"/>
</file>

<file path=xl/ctrlProps/ctrlProp103.xml><?xml version="1.0" encoding="utf-8"?>
<formControlPr xmlns="http://schemas.microsoft.com/office/spreadsheetml/2009/9/main" objectType="CheckBox" val="0"/>
</file>

<file path=xl/ctrlProps/ctrlProp104.xml><?xml version="1.0" encoding="utf-8"?>
<formControlPr xmlns="http://schemas.microsoft.com/office/spreadsheetml/2009/9/main" objectType="CheckBox" val="0"/>
</file>

<file path=xl/ctrlProps/ctrlProp105.xml><?xml version="1.0" encoding="utf-8"?>
<formControlPr xmlns="http://schemas.microsoft.com/office/spreadsheetml/2009/9/main" objectType="CheckBox" val="0"/>
</file>

<file path=xl/ctrlProps/ctrlProp106.xml><?xml version="1.0" encoding="utf-8"?>
<formControlPr xmlns="http://schemas.microsoft.com/office/spreadsheetml/2009/9/main" objectType="CheckBox" val="0"/>
</file>

<file path=xl/ctrlProps/ctrlProp107.xml><?xml version="1.0" encoding="utf-8"?>
<formControlPr xmlns="http://schemas.microsoft.com/office/spreadsheetml/2009/9/main" objectType="CheckBox" val="0"/>
</file>

<file path=xl/ctrlProps/ctrlProp108.xml><?xml version="1.0" encoding="utf-8"?>
<formControlPr xmlns="http://schemas.microsoft.com/office/spreadsheetml/2009/9/main" objectType="CheckBox" val="0"/>
</file>

<file path=xl/ctrlProps/ctrlProp109.xml><?xml version="1.0" encoding="utf-8"?>
<formControlPr xmlns="http://schemas.microsoft.com/office/spreadsheetml/2009/9/main" objectType="CheckBox" val="0"/>
</file>

<file path=xl/ctrlProps/ctrlProp110.xml><?xml version="1.0" encoding="utf-8"?>
<formControlPr xmlns="http://schemas.microsoft.com/office/spreadsheetml/2009/9/main" objectType="CheckBox" val="0"/>
</file>

<file path=xl/ctrlProps/ctrlProp111.xml><?xml version="1.0" encoding="utf-8"?>
<formControlPr xmlns="http://schemas.microsoft.com/office/spreadsheetml/2009/9/main" objectType="CheckBox" val="0"/>
</file>

<file path=xl/ctrlProps/ctrlProp112.xml><?xml version="1.0" encoding="utf-8"?>
<formControlPr xmlns="http://schemas.microsoft.com/office/spreadsheetml/2009/9/main" objectType="CheckBox" val="0"/>
</file>

<file path=xl/ctrlProps/ctrlProp113.xml><?xml version="1.0" encoding="utf-8"?>
<formControlPr xmlns="http://schemas.microsoft.com/office/spreadsheetml/2009/9/main" objectType="CheckBox" val="0"/>
</file>

<file path=xl/ctrlProps/ctrlProp114.xml><?xml version="1.0" encoding="utf-8"?>
<formControlPr xmlns="http://schemas.microsoft.com/office/spreadsheetml/2009/9/main" objectType="CheckBox" val="0"/>
</file>

<file path=xl/ctrlProps/ctrlProp115.xml><?xml version="1.0" encoding="utf-8"?>
<formControlPr xmlns="http://schemas.microsoft.com/office/spreadsheetml/2009/9/main" objectType="CheckBox" val="0"/>
</file>

<file path=xl/ctrlProps/ctrlProp116.xml><?xml version="1.0" encoding="utf-8"?>
<formControlPr xmlns="http://schemas.microsoft.com/office/spreadsheetml/2009/9/main" objectType="CheckBox" val="0"/>
</file>

<file path=xl/ctrlProps/ctrlProp117.xml><?xml version="1.0" encoding="utf-8"?>
<formControlPr xmlns="http://schemas.microsoft.com/office/spreadsheetml/2009/9/main" objectType="CheckBox" val="0"/>
</file>

<file path=xl/ctrlProps/ctrlProp118.xml><?xml version="1.0" encoding="utf-8"?>
<formControlPr xmlns="http://schemas.microsoft.com/office/spreadsheetml/2009/9/main" objectType="CheckBox" val="0"/>
</file>

<file path=xl/ctrlProps/ctrlProp119.xml><?xml version="1.0" encoding="utf-8"?>
<formControlPr xmlns="http://schemas.microsoft.com/office/spreadsheetml/2009/9/main" objectType="CheckBox" val="0"/>
</file>

<file path=xl/ctrlProps/ctrlProp120.xml><?xml version="1.0" encoding="utf-8"?>
<formControlPr xmlns="http://schemas.microsoft.com/office/spreadsheetml/2009/9/main" objectType="CheckBox" val="0"/>
</file>

<file path=xl/ctrlProps/ctrlProp121.xml><?xml version="1.0" encoding="utf-8"?>
<formControlPr xmlns="http://schemas.microsoft.com/office/spreadsheetml/2009/9/main" objectType="CheckBox"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31</xdr:col>
          <xdr:colOff>0</xdr:colOff>
          <xdr:row>12</xdr:row>
          <xdr:rowOff>0</xdr:rowOff>
        </xdr:from>
        <xdr:to>
          <xdr:col>32</xdr:col>
          <xdr:colOff>36830</xdr:colOff>
          <xdr:row>13</xdr:row>
          <xdr:rowOff>92075</xdr:rowOff>
        </xdr:to>
        <xdr:sp>
          <xdr:nvSpPr>
            <xdr:cNvPr id="2061" name="Spinner 13" hidden="1">
              <a:extLst>
                <a:ext uri="{63B3BB69-23CF-44E3-9099-C40C66FF867C}">
                  <a14:compatExt spid="_x0000_s2061"/>
                </a:ext>
              </a:extLst>
            </xdr:cNvPr>
            <xdr:cNvSpPr/>
          </xdr:nvSpPr>
          <xdr:spPr>
            <a:xfrm>
              <a:off x="5098415" y="22352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10</xdr:row>
          <xdr:rowOff>0</xdr:rowOff>
        </xdr:from>
        <xdr:to>
          <xdr:col>32</xdr:col>
          <xdr:colOff>36830</xdr:colOff>
          <xdr:row>11</xdr:row>
          <xdr:rowOff>92075</xdr:rowOff>
        </xdr:to>
        <xdr:sp>
          <xdr:nvSpPr>
            <xdr:cNvPr id="2062" name="Spinner 14" hidden="1">
              <a:extLst>
                <a:ext uri="{63B3BB69-23CF-44E3-9099-C40C66FF867C}">
                  <a14:compatExt spid="_x0000_s2062"/>
                </a:ext>
              </a:extLst>
            </xdr:cNvPr>
            <xdr:cNvSpPr/>
          </xdr:nvSpPr>
          <xdr:spPr>
            <a:xfrm>
              <a:off x="5098415" y="19177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15</xdr:row>
          <xdr:rowOff>0</xdr:rowOff>
        </xdr:from>
        <xdr:to>
          <xdr:col>32</xdr:col>
          <xdr:colOff>36830</xdr:colOff>
          <xdr:row>16</xdr:row>
          <xdr:rowOff>206375</xdr:rowOff>
        </xdr:to>
        <xdr:sp>
          <xdr:nvSpPr>
            <xdr:cNvPr id="2064" name="Spinner 16" hidden="1">
              <a:extLst>
                <a:ext uri="{63B3BB69-23CF-44E3-9099-C40C66FF867C}">
                  <a14:compatExt spid="_x0000_s2064"/>
                </a:ext>
              </a:extLst>
            </xdr:cNvPr>
            <xdr:cNvSpPr/>
          </xdr:nvSpPr>
          <xdr:spPr>
            <a:xfrm>
              <a:off x="5098415" y="27686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15</xdr:row>
          <xdr:rowOff>0</xdr:rowOff>
        </xdr:from>
        <xdr:to>
          <xdr:col>26</xdr:col>
          <xdr:colOff>36830</xdr:colOff>
          <xdr:row>16</xdr:row>
          <xdr:rowOff>206375</xdr:rowOff>
        </xdr:to>
        <xdr:sp>
          <xdr:nvSpPr>
            <xdr:cNvPr id="2065" name="Spinner 17" hidden="1">
              <a:extLst>
                <a:ext uri="{63B3BB69-23CF-44E3-9099-C40C66FF867C}">
                  <a14:compatExt spid="_x0000_s2065"/>
                </a:ext>
              </a:extLst>
            </xdr:cNvPr>
            <xdr:cNvSpPr/>
          </xdr:nvSpPr>
          <xdr:spPr>
            <a:xfrm>
              <a:off x="4111625" y="27686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13</xdr:row>
          <xdr:rowOff>85725</xdr:rowOff>
        </xdr:from>
        <xdr:to>
          <xdr:col>15</xdr:col>
          <xdr:colOff>85725</xdr:colOff>
          <xdr:row>15</xdr:row>
          <xdr:rowOff>3175</xdr:rowOff>
        </xdr:to>
        <xdr:sp>
          <xdr:nvSpPr>
            <xdr:cNvPr id="2067" name="Check Box 19" hidden="1">
              <a:extLst>
                <a:ext uri="{63B3BB69-23CF-44E3-9099-C40C66FF867C}">
                  <a14:compatExt spid="_x0000_s2067"/>
                </a:ext>
              </a:extLst>
            </xdr:cNvPr>
            <xdr:cNvSpPr/>
          </xdr:nvSpPr>
          <xdr:spPr>
            <a:xfrm>
              <a:off x="2157095" y="2536825"/>
              <a:ext cx="395605" cy="234950"/>
            </a:xfrm>
            <a:prstGeom prst="rect">
              <a:avLst/>
            </a:prstGeom>
          </xdr:spPr>
          <xdr:txBody>
            <a:bodyPr wrap="square" anchor="ctr" upright="1">
              <a:noAutofit/>
            </a:bodyPr>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盾牌</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26670</xdr:colOff>
          <xdr:row>24</xdr:row>
          <xdr:rowOff>206375</xdr:rowOff>
        </xdr:from>
        <xdr:to>
          <xdr:col>36</xdr:col>
          <xdr:colOff>93345</xdr:colOff>
          <xdr:row>25</xdr:row>
          <xdr:rowOff>210820</xdr:rowOff>
        </xdr:to>
        <xdr:sp>
          <xdr:nvSpPr>
            <xdr:cNvPr id="2068" name="Check Box 20" hidden="1">
              <a:extLst>
                <a:ext uri="{63B3BB69-23CF-44E3-9099-C40C66FF867C}">
                  <a14:compatExt spid="_x0000_s2068"/>
                </a:ext>
              </a:extLst>
            </xdr:cNvPr>
            <xdr:cNvSpPr/>
          </xdr:nvSpPr>
          <xdr:spPr>
            <a:xfrm>
              <a:off x="5618480" y="4346575"/>
              <a:ext cx="395605" cy="220345"/>
            </a:xfrm>
            <a:prstGeom prst="rect">
              <a:avLst/>
            </a:prstGeom>
          </xdr:spPr>
          <xdr:txBody>
            <a:bodyPr wrap="square" anchor="ctr" upright="1">
              <a:noAutofit/>
            </a:bodyPr>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劣势</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27</xdr:row>
          <xdr:rowOff>0</xdr:rowOff>
        </xdr:from>
        <xdr:to>
          <xdr:col>46</xdr:col>
          <xdr:colOff>0</xdr:colOff>
          <xdr:row>27</xdr:row>
          <xdr:rowOff>206375</xdr:rowOff>
        </xdr:to>
        <xdr:sp>
          <xdr:nvSpPr>
            <xdr:cNvPr id="2071" name="Spinner 23" hidden="1">
              <a:extLst>
                <a:ext uri="{63B3BB69-23CF-44E3-9099-C40C66FF867C}">
                  <a14:compatExt spid="_x0000_s2071"/>
                </a:ext>
              </a:extLst>
            </xdr:cNvPr>
            <xdr:cNvSpPr/>
          </xdr:nvSpPr>
          <xdr:spPr>
            <a:xfrm>
              <a:off x="7400925" y="47879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28</xdr:row>
          <xdr:rowOff>0</xdr:rowOff>
        </xdr:from>
        <xdr:to>
          <xdr:col>46</xdr:col>
          <xdr:colOff>0</xdr:colOff>
          <xdr:row>28</xdr:row>
          <xdr:rowOff>206375</xdr:rowOff>
        </xdr:to>
        <xdr:sp>
          <xdr:nvSpPr>
            <xdr:cNvPr id="2076" name="Spinner 28" hidden="1">
              <a:extLst>
                <a:ext uri="{63B3BB69-23CF-44E3-9099-C40C66FF867C}">
                  <a14:compatExt spid="_x0000_s2076"/>
                </a:ext>
              </a:extLst>
            </xdr:cNvPr>
            <xdr:cNvSpPr/>
          </xdr:nvSpPr>
          <xdr:spPr>
            <a:xfrm>
              <a:off x="7400925" y="50038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29</xdr:row>
          <xdr:rowOff>0</xdr:rowOff>
        </xdr:from>
        <xdr:to>
          <xdr:col>46</xdr:col>
          <xdr:colOff>0</xdr:colOff>
          <xdr:row>29</xdr:row>
          <xdr:rowOff>206375</xdr:rowOff>
        </xdr:to>
        <xdr:sp>
          <xdr:nvSpPr>
            <xdr:cNvPr id="2077" name="Spinner 29" hidden="1">
              <a:extLst>
                <a:ext uri="{63B3BB69-23CF-44E3-9099-C40C66FF867C}">
                  <a14:compatExt spid="_x0000_s2077"/>
                </a:ext>
              </a:extLst>
            </xdr:cNvPr>
            <xdr:cNvSpPr/>
          </xdr:nvSpPr>
          <xdr:spPr>
            <a:xfrm>
              <a:off x="7400925" y="52197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30</xdr:row>
          <xdr:rowOff>0</xdr:rowOff>
        </xdr:from>
        <xdr:to>
          <xdr:col>46</xdr:col>
          <xdr:colOff>0</xdr:colOff>
          <xdr:row>30</xdr:row>
          <xdr:rowOff>206375</xdr:rowOff>
        </xdr:to>
        <xdr:sp>
          <xdr:nvSpPr>
            <xdr:cNvPr id="2078" name="Spinner 30" hidden="1">
              <a:extLst>
                <a:ext uri="{63B3BB69-23CF-44E3-9099-C40C66FF867C}">
                  <a14:compatExt spid="_x0000_s2078"/>
                </a:ext>
              </a:extLst>
            </xdr:cNvPr>
            <xdr:cNvSpPr/>
          </xdr:nvSpPr>
          <xdr:spPr>
            <a:xfrm>
              <a:off x="7400925" y="54356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31</xdr:row>
          <xdr:rowOff>0</xdr:rowOff>
        </xdr:from>
        <xdr:to>
          <xdr:col>46</xdr:col>
          <xdr:colOff>0</xdr:colOff>
          <xdr:row>31</xdr:row>
          <xdr:rowOff>206375</xdr:rowOff>
        </xdr:to>
        <xdr:sp>
          <xdr:nvSpPr>
            <xdr:cNvPr id="2079" name="Spinner 31" hidden="1">
              <a:extLst>
                <a:ext uri="{63B3BB69-23CF-44E3-9099-C40C66FF867C}">
                  <a14:compatExt spid="_x0000_s2079"/>
                </a:ext>
              </a:extLst>
            </xdr:cNvPr>
            <xdr:cNvSpPr/>
          </xdr:nvSpPr>
          <xdr:spPr>
            <a:xfrm>
              <a:off x="7400925" y="5651500"/>
              <a:ext cx="164465" cy="206375"/>
            </a:xfrm>
            <a:prstGeom prst="rect">
              <a:avLst/>
            </a:prstGeom>
          </xdr:spPr>
        </xdr:sp>
        <xdr:clientData/>
      </xdr:twoCellAnchor>
    </mc:Choice>
    <mc:Fallback/>
  </mc:AlternateContent>
  <xdr:twoCellAnchor>
    <xdr:from>
      <xdr:col>24</xdr:col>
      <xdr:colOff>0</xdr:colOff>
      <xdr:row>124</xdr:row>
      <xdr:rowOff>0</xdr:rowOff>
    </xdr:from>
    <xdr:to>
      <xdr:col>45</xdr:col>
      <xdr:colOff>13970</xdr:colOff>
      <xdr:row>135</xdr:row>
      <xdr:rowOff>203200</xdr:rowOff>
    </xdr:to>
    <xdr:graphicFrame>
      <xdr:nvGraphicFramePr>
        <xdr:cNvPr id="8" name="图表 7"/>
        <xdr:cNvGraphicFramePr/>
      </xdr:nvGraphicFramePr>
      <xdr:xfrm>
        <a:off x="3947160" y="25730200"/>
        <a:ext cx="3467735" cy="2432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137</xdr:row>
      <xdr:rowOff>0</xdr:rowOff>
    </xdr:from>
    <xdr:to>
      <xdr:col>23</xdr:col>
      <xdr:colOff>3810</xdr:colOff>
      <xdr:row>153</xdr:row>
      <xdr:rowOff>199390</xdr:rowOff>
    </xdr:to>
    <xdr:graphicFrame>
      <xdr:nvGraphicFramePr>
        <xdr:cNvPr id="10" name="图表 9"/>
        <xdr:cNvGraphicFramePr/>
      </xdr:nvGraphicFramePr>
      <xdr:xfrm>
        <a:off x="164465" y="28346400"/>
        <a:ext cx="3622040" cy="3130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25400</xdr:colOff>
          <xdr:row>27</xdr:row>
          <xdr:rowOff>0</xdr:rowOff>
        </xdr:from>
        <xdr:to>
          <xdr:col>2</xdr:col>
          <xdr:colOff>92075</xdr:colOff>
          <xdr:row>28</xdr:row>
          <xdr:rowOff>0</xdr:rowOff>
        </xdr:to>
        <xdr:sp>
          <xdr:nvSpPr>
            <xdr:cNvPr id="2117" name="Check Box 69" hidden="1">
              <a:extLst>
                <a:ext uri="{63B3BB69-23CF-44E3-9099-C40C66FF867C}">
                  <a14:compatExt spid="_x0000_s2117"/>
                </a:ext>
              </a:extLst>
            </xdr:cNvPr>
            <xdr:cNvSpPr/>
          </xdr:nvSpPr>
          <xdr:spPr>
            <a:xfrm>
              <a:off x="189865" y="4787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28</xdr:row>
          <xdr:rowOff>0</xdr:rowOff>
        </xdr:from>
        <xdr:to>
          <xdr:col>2</xdr:col>
          <xdr:colOff>92075</xdr:colOff>
          <xdr:row>29</xdr:row>
          <xdr:rowOff>0</xdr:rowOff>
        </xdr:to>
        <xdr:sp>
          <xdr:nvSpPr>
            <xdr:cNvPr id="2126" name="Check Box 78" hidden="1">
              <a:extLst>
                <a:ext uri="{63B3BB69-23CF-44E3-9099-C40C66FF867C}">
                  <a14:compatExt spid="_x0000_s2126"/>
                </a:ext>
              </a:extLst>
            </xdr:cNvPr>
            <xdr:cNvSpPr/>
          </xdr:nvSpPr>
          <xdr:spPr>
            <a:xfrm>
              <a:off x="189865" y="5003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29</xdr:row>
          <xdr:rowOff>0</xdr:rowOff>
        </xdr:from>
        <xdr:to>
          <xdr:col>2</xdr:col>
          <xdr:colOff>92075</xdr:colOff>
          <xdr:row>30</xdr:row>
          <xdr:rowOff>0</xdr:rowOff>
        </xdr:to>
        <xdr:sp>
          <xdr:nvSpPr>
            <xdr:cNvPr id="2128" name="Check Box 80" hidden="1">
              <a:extLst>
                <a:ext uri="{63B3BB69-23CF-44E3-9099-C40C66FF867C}">
                  <a14:compatExt spid="_x0000_s2128"/>
                </a:ext>
              </a:extLst>
            </xdr:cNvPr>
            <xdr:cNvSpPr/>
          </xdr:nvSpPr>
          <xdr:spPr>
            <a:xfrm>
              <a:off x="189865" y="5219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31</xdr:row>
          <xdr:rowOff>0</xdr:rowOff>
        </xdr:from>
        <xdr:to>
          <xdr:col>2</xdr:col>
          <xdr:colOff>92075</xdr:colOff>
          <xdr:row>32</xdr:row>
          <xdr:rowOff>0</xdr:rowOff>
        </xdr:to>
        <xdr:sp>
          <xdr:nvSpPr>
            <xdr:cNvPr id="2130" name="Check Box 82" hidden="1">
              <a:extLst>
                <a:ext uri="{63B3BB69-23CF-44E3-9099-C40C66FF867C}">
                  <a14:compatExt spid="_x0000_s2130"/>
                </a:ext>
              </a:extLst>
            </xdr:cNvPr>
            <xdr:cNvSpPr/>
          </xdr:nvSpPr>
          <xdr:spPr>
            <a:xfrm>
              <a:off x="189865" y="5651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32</xdr:row>
          <xdr:rowOff>0</xdr:rowOff>
        </xdr:from>
        <xdr:to>
          <xdr:col>2</xdr:col>
          <xdr:colOff>92075</xdr:colOff>
          <xdr:row>33</xdr:row>
          <xdr:rowOff>0</xdr:rowOff>
        </xdr:to>
        <xdr:sp>
          <xdr:nvSpPr>
            <xdr:cNvPr id="2132" name="Check Box 84" hidden="1">
              <a:extLst>
                <a:ext uri="{63B3BB69-23CF-44E3-9099-C40C66FF867C}">
                  <a14:compatExt spid="_x0000_s2132"/>
                </a:ext>
              </a:extLst>
            </xdr:cNvPr>
            <xdr:cNvSpPr/>
          </xdr:nvSpPr>
          <xdr:spPr>
            <a:xfrm>
              <a:off x="189865" y="58674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33</xdr:row>
          <xdr:rowOff>0</xdr:rowOff>
        </xdr:from>
        <xdr:to>
          <xdr:col>2</xdr:col>
          <xdr:colOff>92075</xdr:colOff>
          <xdr:row>34</xdr:row>
          <xdr:rowOff>0</xdr:rowOff>
        </xdr:to>
        <xdr:sp>
          <xdr:nvSpPr>
            <xdr:cNvPr id="2134" name="Check Box 86" hidden="1">
              <a:extLst>
                <a:ext uri="{63B3BB69-23CF-44E3-9099-C40C66FF867C}">
                  <a14:compatExt spid="_x0000_s2134"/>
                </a:ext>
              </a:extLst>
            </xdr:cNvPr>
            <xdr:cNvSpPr/>
          </xdr:nvSpPr>
          <xdr:spPr>
            <a:xfrm>
              <a:off x="189865" y="60833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34</xdr:row>
          <xdr:rowOff>0</xdr:rowOff>
        </xdr:from>
        <xdr:to>
          <xdr:col>2</xdr:col>
          <xdr:colOff>92075</xdr:colOff>
          <xdr:row>35</xdr:row>
          <xdr:rowOff>0</xdr:rowOff>
        </xdr:to>
        <xdr:sp>
          <xdr:nvSpPr>
            <xdr:cNvPr id="2136" name="Check Box 88" hidden="1">
              <a:extLst>
                <a:ext uri="{63B3BB69-23CF-44E3-9099-C40C66FF867C}">
                  <a14:compatExt spid="_x0000_s2136"/>
                </a:ext>
              </a:extLst>
            </xdr:cNvPr>
            <xdr:cNvSpPr/>
          </xdr:nvSpPr>
          <xdr:spPr>
            <a:xfrm>
              <a:off x="189865" y="62992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0</xdr:rowOff>
        </xdr:from>
        <xdr:to>
          <xdr:col>2</xdr:col>
          <xdr:colOff>92075</xdr:colOff>
          <xdr:row>36</xdr:row>
          <xdr:rowOff>0</xdr:rowOff>
        </xdr:to>
        <xdr:sp>
          <xdr:nvSpPr>
            <xdr:cNvPr id="2138" name="Check Box 90" hidden="1">
              <a:extLst>
                <a:ext uri="{63B3BB69-23CF-44E3-9099-C40C66FF867C}">
                  <a14:compatExt spid="_x0000_s2138"/>
                </a:ext>
              </a:extLst>
            </xdr:cNvPr>
            <xdr:cNvSpPr/>
          </xdr:nvSpPr>
          <xdr:spPr>
            <a:xfrm>
              <a:off x="189865" y="6515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37</xdr:row>
          <xdr:rowOff>0</xdr:rowOff>
        </xdr:from>
        <xdr:to>
          <xdr:col>2</xdr:col>
          <xdr:colOff>92075</xdr:colOff>
          <xdr:row>38</xdr:row>
          <xdr:rowOff>0</xdr:rowOff>
        </xdr:to>
        <xdr:sp>
          <xdr:nvSpPr>
            <xdr:cNvPr id="2140" name="Check Box 92" hidden="1">
              <a:extLst>
                <a:ext uri="{63B3BB69-23CF-44E3-9099-C40C66FF867C}">
                  <a14:compatExt spid="_x0000_s2140"/>
                </a:ext>
              </a:extLst>
            </xdr:cNvPr>
            <xdr:cNvSpPr/>
          </xdr:nvSpPr>
          <xdr:spPr>
            <a:xfrm>
              <a:off x="189865" y="6946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0</xdr:rowOff>
        </xdr:from>
        <xdr:to>
          <xdr:col>2</xdr:col>
          <xdr:colOff>92075</xdr:colOff>
          <xdr:row>39</xdr:row>
          <xdr:rowOff>0</xdr:rowOff>
        </xdr:to>
        <xdr:sp>
          <xdr:nvSpPr>
            <xdr:cNvPr id="2142" name="Check Box 94" hidden="1">
              <a:extLst>
                <a:ext uri="{63B3BB69-23CF-44E3-9099-C40C66FF867C}">
                  <a14:compatExt spid="_x0000_s2142"/>
                </a:ext>
              </a:extLst>
            </xdr:cNvPr>
            <xdr:cNvSpPr/>
          </xdr:nvSpPr>
          <xdr:spPr>
            <a:xfrm>
              <a:off x="189865" y="7162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39</xdr:row>
          <xdr:rowOff>0</xdr:rowOff>
        </xdr:from>
        <xdr:to>
          <xdr:col>2</xdr:col>
          <xdr:colOff>92075</xdr:colOff>
          <xdr:row>40</xdr:row>
          <xdr:rowOff>0</xdr:rowOff>
        </xdr:to>
        <xdr:sp>
          <xdr:nvSpPr>
            <xdr:cNvPr id="2144" name="Check Box 96" hidden="1">
              <a:extLst>
                <a:ext uri="{63B3BB69-23CF-44E3-9099-C40C66FF867C}">
                  <a14:compatExt spid="_x0000_s2144"/>
                </a:ext>
              </a:extLst>
            </xdr:cNvPr>
            <xdr:cNvSpPr/>
          </xdr:nvSpPr>
          <xdr:spPr>
            <a:xfrm>
              <a:off x="189865" y="7378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40</xdr:row>
          <xdr:rowOff>0</xdr:rowOff>
        </xdr:from>
        <xdr:to>
          <xdr:col>2</xdr:col>
          <xdr:colOff>92075</xdr:colOff>
          <xdr:row>41</xdr:row>
          <xdr:rowOff>0</xdr:rowOff>
        </xdr:to>
        <xdr:sp>
          <xdr:nvSpPr>
            <xdr:cNvPr id="2146" name="Check Box 98" hidden="1">
              <a:extLst>
                <a:ext uri="{63B3BB69-23CF-44E3-9099-C40C66FF867C}">
                  <a14:compatExt spid="_x0000_s2146"/>
                </a:ext>
              </a:extLst>
            </xdr:cNvPr>
            <xdr:cNvSpPr/>
          </xdr:nvSpPr>
          <xdr:spPr>
            <a:xfrm>
              <a:off x="189865" y="759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41</xdr:row>
          <xdr:rowOff>0</xdr:rowOff>
        </xdr:from>
        <xdr:to>
          <xdr:col>2</xdr:col>
          <xdr:colOff>92075</xdr:colOff>
          <xdr:row>42</xdr:row>
          <xdr:rowOff>0</xdr:rowOff>
        </xdr:to>
        <xdr:sp>
          <xdr:nvSpPr>
            <xdr:cNvPr id="2148" name="Check Box 100" hidden="1">
              <a:extLst>
                <a:ext uri="{63B3BB69-23CF-44E3-9099-C40C66FF867C}">
                  <a14:compatExt spid="_x0000_s2148"/>
                </a:ext>
              </a:extLst>
            </xdr:cNvPr>
            <xdr:cNvSpPr/>
          </xdr:nvSpPr>
          <xdr:spPr>
            <a:xfrm>
              <a:off x="189865" y="7810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43</xdr:row>
          <xdr:rowOff>0</xdr:rowOff>
        </xdr:from>
        <xdr:to>
          <xdr:col>2</xdr:col>
          <xdr:colOff>92075</xdr:colOff>
          <xdr:row>44</xdr:row>
          <xdr:rowOff>0</xdr:rowOff>
        </xdr:to>
        <xdr:sp>
          <xdr:nvSpPr>
            <xdr:cNvPr id="2150" name="Check Box 102" hidden="1">
              <a:extLst>
                <a:ext uri="{63B3BB69-23CF-44E3-9099-C40C66FF867C}">
                  <a14:compatExt spid="_x0000_s2150"/>
                </a:ext>
              </a:extLst>
            </xdr:cNvPr>
            <xdr:cNvSpPr/>
          </xdr:nvSpPr>
          <xdr:spPr>
            <a:xfrm>
              <a:off x="189865" y="82423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44</xdr:row>
          <xdr:rowOff>0</xdr:rowOff>
        </xdr:from>
        <xdr:to>
          <xdr:col>2</xdr:col>
          <xdr:colOff>92075</xdr:colOff>
          <xdr:row>45</xdr:row>
          <xdr:rowOff>0</xdr:rowOff>
        </xdr:to>
        <xdr:sp>
          <xdr:nvSpPr>
            <xdr:cNvPr id="2152" name="Check Box 104" hidden="1">
              <a:extLst>
                <a:ext uri="{63B3BB69-23CF-44E3-9099-C40C66FF867C}">
                  <a14:compatExt spid="_x0000_s2152"/>
                </a:ext>
              </a:extLst>
            </xdr:cNvPr>
            <xdr:cNvSpPr/>
          </xdr:nvSpPr>
          <xdr:spPr>
            <a:xfrm>
              <a:off x="189865" y="84582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45</xdr:row>
          <xdr:rowOff>0</xdr:rowOff>
        </xdr:from>
        <xdr:to>
          <xdr:col>2</xdr:col>
          <xdr:colOff>92075</xdr:colOff>
          <xdr:row>46</xdr:row>
          <xdr:rowOff>0</xdr:rowOff>
        </xdr:to>
        <xdr:sp>
          <xdr:nvSpPr>
            <xdr:cNvPr id="2154" name="Check Box 106" hidden="1">
              <a:extLst>
                <a:ext uri="{63B3BB69-23CF-44E3-9099-C40C66FF867C}">
                  <a14:compatExt spid="_x0000_s2154"/>
                </a:ext>
              </a:extLst>
            </xdr:cNvPr>
            <xdr:cNvSpPr/>
          </xdr:nvSpPr>
          <xdr:spPr>
            <a:xfrm>
              <a:off x="189865" y="8674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46</xdr:row>
          <xdr:rowOff>0</xdr:rowOff>
        </xdr:from>
        <xdr:to>
          <xdr:col>2</xdr:col>
          <xdr:colOff>92075</xdr:colOff>
          <xdr:row>47</xdr:row>
          <xdr:rowOff>0</xdr:rowOff>
        </xdr:to>
        <xdr:sp>
          <xdr:nvSpPr>
            <xdr:cNvPr id="2156" name="Check Box 108" hidden="1">
              <a:extLst>
                <a:ext uri="{63B3BB69-23CF-44E3-9099-C40C66FF867C}">
                  <a14:compatExt spid="_x0000_s2156"/>
                </a:ext>
              </a:extLst>
            </xdr:cNvPr>
            <xdr:cNvSpPr/>
          </xdr:nvSpPr>
          <xdr:spPr>
            <a:xfrm>
              <a:off x="189865" y="8890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25</xdr:row>
          <xdr:rowOff>0</xdr:rowOff>
        </xdr:from>
        <xdr:to>
          <xdr:col>2</xdr:col>
          <xdr:colOff>92075</xdr:colOff>
          <xdr:row>26</xdr:row>
          <xdr:rowOff>0</xdr:rowOff>
        </xdr:to>
        <xdr:sp>
          <xdr:nvSpPr>
            <xdr:cNvPr id="2158" name="Check Box 110" hidden="1">
              <a:extLst>
                <a:ext uri="{63B3BB69-23CF-44E3-9099-C40C66FF867C}">
                  <a14:compatExt spid="_x0000_s2158"/>
                </a:ext>
              </a:extLst>
            </xdr:cNvPr>
            <xdr:cNvSpPr/>
          </xdr:nvSpPr>
          <xdr:spPr>
            <a:xfrm>
              <a:off x="189865" y="4356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xdr:row>
          <xdr:rowOff>50800</xdr:rowOff>
        </xdr:from>
        <xdr:to>
          <xdr:col>2</xdr:col>
          <xdr:colOff>92075</xdr:colOff>
          <xdr:row>11</xdr:row>
          <xdr:rowOff>50800</xdr:rowOff>
        </xdr:to>
        <xdr:sp>
          <xdr:nvSpPr>
            <xdr:cNvPr id="2178" name="Check Box 130" hidden="1">
              <a:extLst>
                <a:ext uri="{63B3BB69-23CF-44E3-9099-C40C66FF867C}">
                  <a14:compatExt spid="_x0000_s2178"/>
                </a:ext>
              </a:extLst>
            </xdr:cNvPr>
            <xdr:cNvSpPr/>
          </xdr:nvSpPr>
          <xdr:spPr>
            <a:xfrm>
              <a:off x="189865" y="1968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xdr:row>
          <xdr:rowOff>50800</xdr:rowOff>
        </xdr:from>
        <xdr:to>
          <xdr:col>2</xdr:col>
          <xdr:colOff>92075</xdr:colOff>
          <xdr:row>13</xdr:row>
          <xdr:rowOff>50800</xdr:rowOff>
        </xdr:to>
        <xdr:sp>
          <xdr:nvSpPr>
            <xdr:cNvPr id="2179" name="Check Box 131" hidden="1">
              <a:extLst>
                <a:ext uri="{63B3BB69-23CF-44E3-9099-C40C66FF867C}">
                  <a14:compatExt spid="_x0000_s2179"/>
                </a:ext>
              </a:extLst>
            </xdr:cNvPr>
            <xdr:cNvSpPr/>
          </xdr:nvSpPr>
          <xdr:spPr>
            <a:xfrm>
              <a:off x="189865" y="2286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14</xdr:row>
          <xdr:rowOff>50800</xdr:rowOff>
        </xdr:from>
        <xdr:to>
          <xdr:col>2</xdr:col>
          <xdr:colOff>92075</xdr:colOff>
          <xdr:row>15</xdr:row>
          <xdr:rowOff>50800</xdr:rowOff>
        </xdr:to>
        <xdr:sp>
          <xdr:nvSpPr>
            <xdr:cNvPr id="2181" name="Check Box 133" hidden="1">
              <a:extLst>
                <a:ext uri="{63B3BB69-23CF-44E3-9099-C40C66FF867C}">
                  <a14:compatExt spid="_x0000_s2181"/>
                </a:ext>
              </a:extLst>
            </xdr:cNvPr>
            <xdr:cNvSpPr/>
          </xdr:nvSpPr>
          <xdr:spPr>
            <a:xfrm>
              <a:off x="189865" y="2603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16</xdr:row>
          <xdr:rowOff>50800</xdr:rowOff>
        </xdr:from>
        <xdr:to>
          <xdr:col>2</xdr:col>
          <xdr:colOff>92075</xdr:colOff>
          <xdr:row>17</xdr:row>
          <xdr:rowOff>50800</xdr:rowOff>
        </xdr:to>
        <xdr:sp>
          <xdr:nvSpPr>
            <xdr:cNvPr id="2183" name="Check Box 135" hidden="1">
              <a:extLst>
                <a:ext uri="{63B3BB69-23CF-44E3-9099-C40C66FF867C}">
                  <a14:compatExt spid="_x0000_s2183"/>
                </a:ext>
              </a:extLst>
            </xdr:cNvPr>
            <xdr:cNvSpPr/>
          </xdr:nvSpPr>
          <xdr:spPr>
            <a:xfrm>
              <a:off x="189865" y="2921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18</xdr:row>
          <xdr:rowOff>50800</xdr:rowOff>
        </xdr:from>
        <xdr:to>
          <xdr:col>2</xdr:col>
          <xdr:colOff>92075</xdr:colOff>
          <xdr:row>19</xdr:row>
          <xdr:rowOff>50800</xdr:rowOff>
        </xdr:to>
        <xdr:sp>
          <xdr:nvSpPr>
            <xdr:cNvPr id="2185" name="Check Box 137" hidden="1">
              <a:extLst>
                <a:ext uri="{63B3BB69-23CF-44E3-9099-C40C66FF867C}">
                  <a14:compatExt spid="_x0000_s2185"/>
                </a:ext>
              </a:extLst>
            </xdr:cNvPr>
            <xdr:cNvSpPr/>
          </xdr:nvSpPr>
          <xdr:spPr>
            <a:xfrm>
              <a:off x="189865" y="3238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20</xdr:row>
          <xdr:rowOff>50800</xdr:rowOff>
        </xdr:from>
        <xdr:to>
          <xdr:col>2</xdr:col>
          <xdr:colOff>92075</xdr:colOff>
          <xdr:row>21</xdr:row>
          <xdr:rowOff>50800</xdr:rowOff>
        </xdr:to>
        <xdr:sp>
          <xdr:nvSpPr>
            <xdr:cNvPr id="2187" name="Check Box 139" hidden="1">
              <a:extLst>
                <a:ext uri="{63B3BB69-23CF-44E3-9099-C40C66FF867C}">
                  <a14:compatExt spid="_x0000_s2187"/>
                </a:ext>
              </a:extLst>
            </xdr:cNvPr>
            <xdr:cNvSpPr/>
          </xdr:nvSpPr>
          <xdr:spPr>
            <a:xfrm>
              <a:off x="189865" y="3556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27</xdr:row>
          <xdr:rowOff>0</xdr:rowOff>
        </xdr:from>
        <xdr:to>
          <xdr:col>30</xdr:col>
          <xdr:colOff>92075</xdr:colOff>
          <xdr:row>28</xdr:row>
          <xdr:rowOff>0</xdr:rowOff>
        </xdr:to>
        <xdr:sp>
          <xdr:nvSpPr>
            <xdr:cNvPr id="2195" name="Check Box 147" hidden="1">
              <a:extLst>
                <a:ext uri="{63B3BB69-23CF-44E3-9099-C40C66FF867C}">
                  <a14:compatExt spid="_x0000_s2195"/>
                </a:ext>
              </a:extLst>
            </xdr:cNvPr>
            <xdr:cNvSpPr/>
          </xdr:nvSpPr>
          <xdr:spPr>
            <a:xfrm>
              <a:off x="4794885" y="4787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28</xdr:row>
          <xdr:rowOff>0</xdr:rowOff>
        </xdr:from>
        <xdr:to>
          <xdr:col>30</xdr:col>
          <xdr:colOff>92075</xdr:colOff>
          <xdr:row>29</xdr:row>
          <xdr:rowOff>0</xdr:rowOff>
        </xdr:to>
        <xdr:sp>
          <xdr:nvSpPr>
            <xdr:cNvPr id="2196" name="Check Box 148" hidden="1">
              <a:extLst>
                <a:ext uri="{63B3BB69-23CF-44E3-9099-C40C66FF867C}">
                  <a14:compatExt spid="_x0000_s2196"/>
                </a:ext>
              </a:extLst>
            </xdr:cNvPr>
            <xdr:cNvSpPr/>
          </xdr:nvSpPr>
          <xdr:spPr>
            <a:xfrm>
              <a:off x="4794885" y="5003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29</xdr:row>
          <xdr:rowOff>0</xdr:rowOff>
        </xdr:from>
        <xdr:to>
          <xdr:col>30</xdr:col>
          <xdr:colOff>92075</xdr:colOff>
          <xdr:row>30</xdr:row>
          <xdr:rowOff>0</xdr:rowOff>
        </xdr:to>
        <xdr:sp>
          <xdr:nvSpPr>
            <xdr:cNvPr id="2197" name="Check Box 149" hidden="1">
              <a:extLst>
                <a:ext uri="{63B3BB69-23CF-44E3-9099-C40C66FF867C}">
                  <a14:compatExt spid="_x0000_s2197"/>
                </a:ext>
              </a:extLst>
            </xdr:cNvPr>
            <xdr:cNvSpPr/>
          </xdr:nvSpPr>
          <xdr:spPr>
            <a:xfrm>
              <a:off x="4794885" y="5219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30</xdr:row>
          <xdr:rowOff>0</xdr:rowOff>
        </xdr:from>
        <xdr:to>
          <xdr:col>30</xdr:col>
          <xdr:colOff>92075</xdr:colOff>
          <xdr:row>31</xdr:row>
          <xdr:rowOff>0</xdr:rowOff>
        </xdr:to>
        <xdr:sp>
          <xdr:nvSpPr>
            <xdr:cNvPr id="2198" name="Check Box 150" hidden="1">
              <a:extLst>
                <a:ext uri="{63B3BB69-23CF-44E3-9099-C40C66FF867C}">
                  <a14:compatExt spid="_x0000_s2198"/>
                </a:ext>
              </a:extLst>
            </xdr:cNvPr>
            <xdr:cNvSpPr/>
          </xdr:nvSpPr>
          <xdr:spPr>
            <a:xfrm>
              <a:off x="4794885" y="5435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31</xdr:row>
          <xdr:rowOff>0</xdr:rowOff>
        </xdr:from>
        <xdr:to>
          <xdr:col>30</xdr:col>
          <xdr:colOff>92075</xdr:colOff>
          <xdr:row>32</xdr:row>
          <xdr:rowOff>0</xdr:rowOff>
        </xdr:to>
        <xdr:sp>
          <xdr:nvSpPr>
            <xdr:cNvPr id="2199" name="Check Box 151" hidden="1">
              <a:extLst>
                <a:ext uri="{63B3BB69-23CF-44E3-9099-C40C66FF867C}">
                  <a14:compatExt spid="_x0000_s2199"/>
                </a:ext>
              </a:extLst>
            </xdr:cNvPr>
            <xdr:cNvSpPr/>
          </xdr:nvSpPr>
          <xdr:spPr>
            <a:xfrm>
              <a:off x="4794885" y="5651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13</xdr:row>
          <xdr:rowOff>63500</xdr:rowOff>
        </xdr:from>
        <xdr:to>
          <xdr:col>25</xdr:col>
          <xdr:colOff>66675</xdr:colOff>
          <xdr:row>14</xdr:row>
          <xdr:rowOff>177800</xdr:rowOff>
        </xdr:to>
        <xdr:sp>
          <xdr:nvSpPr>
            <xdr:cNvPr id="2216" name="Check Box 168" hidden="1">
              <a:extLst>
                <a:ext uri="{63B3BB69-23CF-44E3-9099-C40C66FF867C}">
                  <a14:compatExt spid="_x0000_s2216"/>
                </a:ext>
              </a:extLst>
            </xdr:cNvPr>
            <xdr:cNvSpPr/>
          </xdr:nvSpPr>
          <xdr:spPr>
            <a:xfrm>
              <a:off x="394716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13</xdr:row>
          <xdr:rowOff>63500</xdr:rowOff>
        </xdr:from>
        <xdr:to>
          <xdr:col>26</xdr:col>
          <xdr:colOff>66675</xdr:colOff>
          <xdr:row>14</xdr:row>
          <xdr:rowOff>177800</xdr:rowOff>
        </xdr:to>
        <xdr:sp>
          <xdr:nvSpPr>
            <xdr:cNvPr id="2217" name="Check Box 169" hidden="1">
              <a:extLst>
                <a:ext uri="{63B3BB69-23CF-44E3-9099-C40C66FF867C}">
                  <a14:compatExt spid="_x0000_s2217"/>
                </a:ext>
              </a:extLst>
            </xdr:cNvPr>
            <xdr:cNvSpPr/>
          </xdr:nvSpPr>
          <xdr:spPr>
            <a:xfrm>
              <a:off x="411162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0</xdr:colOff>
          <xdr:row>13</xdr:row>
          <xdr:rowOff>63500</xdr:rowOff>
        </xdr:from>
        <xdr:to>
          <xdr:col>27</xdr:col>
          <xdr:colOff>66675</xdr:colOff>
          <xdr:row>14</xdr:row>
          <xdr:rowOff>177800</xdr:rowOff>
        </xdr:to>
        <xdr:sp>
          <xdr:nvSpPr>
            <xdr:cNvPr id="2218" name="Check Box 170" hidden="1">
              <a:extLst>
                <a:ext uri="{63B3BB69-23CF-44E3-9099-C40C66FF867C}">
                  <a14:compatExt spid="_x0000_s2218"/>
                </a:ext>
              </a:extLst>
            </xdr:cNvPr>
            <xdr:cNvSpPr/>
          </xdr:nvSpPr>
          <xdr:spPr>
            <a:xfrm>
              <a:off x="427609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13</xdr:row>
          <xdr:rowOff>63500</xdr:rowOff>
        </xdr:from>
        <xdr:to>
          <xdr:col>30</xdr:col>
          <xdr:colOff>66675</xdr:colOff>
          <xdr:row>14</xdr:row>
          <xdr:rowOff>177800</xdr:rowOff>
        </xdr:to>
        <xdr:sp>
          <xdr:nvSpPr>
            <xdr:cNvPr id="2222" name="Check Box 174" hidden="1">
              <a:extLst>
                <a:ext uri="{63B3BB69-23CF-44E3-9099-C40C66FF867C}">
                  <a14:compatExt spid="_x0000_s2222"/>
                </a:ext>
              </a:extLst>
            </xdr:cNvPr>
            <xdr:cNvSpPr/>
          </xdr:nvSpPr>
          <xdr:spPr>
            <a:xfrm>
              <a:off x="476948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13</xdr:row>
          <xdr:rowOff>63500</xdr:rowOff>
        </xdr:from>
        <xdr:to>
          <xdr:col>31</xdr:col>
          <xdr:colOff>66675</xdr:colOff>
          <xdr:row>14</xdr:row>
          <xdr:rowOff>177800</xdr:rowOff>
        </xdr:to>
        <xdr:sp>
          <xdr:nvSpPr>
            <xdr:cNvPr id="2223" name="Check Box 175" hidden="1">
              <a:extLst>
                <a:ext uri="{63B3BB69-23CF-44E3-9099-C40C66FF867C}">
                  <a14:compatExt spid="_x0000_s2223"/>
                </a:ext>
              </a:extLst>
            </xdr:cNvPr>
            <xdr:cNvSpPr/>
          </xdr:nvSpPr>
          <xdr:spPr>
            <a:xfrm>
              <a:off x="493395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13</xdr:row>
          <xdr:rowOff>63500</xdr:rowOff>
        </xdr:from>
        <xdr:to>
          <xdr:col>32</xdr:col>
          <xdr:colOff>66675</xdr:colOff>
          <xdr:row>14</xdr:row>
          <xdr:rowOff>177800</xdr:rowOff>
        </xdr:to>
        <xdr:sp>
          <xdr:nvSpPr>
            <xdr:cNvPr id="2224" name="Check Box 176" hidden="1">
              <a:extLst>
                <a:ext uri="{63B3BB69-23CF-44E3-9099-C40C66FF867C}">
                  <a14:compatExt spid="_x0000_s2224"/>
                </a:ext>
              </a:extLst>
            </xdr:cNvPr>
            <xdr:cNvSpPr/>
          </xdr:nvSpPr>
          <xdr:spPr>
            <a:xfrm>
              <a:off x="509841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0</xdr:colOff>
          <xdr:row>24</xdr:row>
          <xdr:rowOff>165100</xdr:rowOff>
        </xdr:from>
        <xdr:to>
          <xdr:col>37</xdr:col>
          <xdr:colOff>103505</xdr:colOff>
          <xdr:row>25</xdr:row>
          <xdr:rowOff>165100</xdr:rowOff>
        </xdr:to>
        <xdr:sp>
          <xdr:nvSpPr>
            <xdr:cNvPr id="2269" name="Check Box 221" hidden="1">
              <a:extLst>
                <a:ext uri="{63B3BB69-23CF-44E3-9099-C40C66FF867C}">
                  <a14:compatExt spid="_x0000_s2269"/>
                </a:ext>
              </a:extLst>
            </xdr:cNvPr>
            <xdr:cNvSpPr/>
          </xdr:nvSpPr>
          <xdr:spPr>
            <a:xfrm>
              <a:off x="6085205" y="4305300"/>
              <a:ext cx="103505"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71" name="Check Box 223" hidden="1">
              <a:extLst>
                <a:ext uri="{63B3BB69-23CF-44E3-9099-C40C66FF867C}">
                  <a14:compatExt spid="_x0000_s2271"/>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27</xdr:row>
          <xdr:rowOff>165100</xdr:rowOff>
        </xdr:from>
        <xdr:to>
          <xdr:col>21</xdr:col>
          <xdr:colOff>27305</xdr:colOff>
          <xdr:row>28</xdr:row>
          <xdr:rowOff>165100</xdr:rowOff>
        </xdr:to>
        <xdr:sp>
          <xdr:nvSpPr>
            <xdr:cNvPr id="2272" name="Check Box 224" hidden="1">
              <a:extLst>
                <a:ext uri="{63B3BB69-23CF-44E3-9099-C40C66FF867C}">
                  <a14:compatExt spid="_x0000_s2272"/>
                </a:ext>
              </a:extLst>
            </xdr:cNvPr>
            <xdr:cNvSpPr/>
          </xdr:nvSpPr>
          <xdr:spPr>
            <a:xfrm>
              <a:off x="3289300" y="49530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28</xdr:row>
          <xdr:rowOff>165100</xdr:rowOff>
        </xdr:from>
        <xdr:to>
          <xdr:col>21</xdr:col>
          <xdr:colOff>27305</xdr:colOff>
          <xdr:row>29</xdr:row>
          <xdr:rowOff>165100</xdr:rowOff>
        </xdr:to>
        <xdr:sp>
          <xdr:nvSpPr>
            <xdr:cNvPr id="2273" name="Check Box 225" hidden="1">
              <a:extLst>
                <a:ext uri="{63B3BB69-23CF-44E3-9099-C40C66FF867C}">
                  <a14:compatExt spid="_x0000_s2273"/>
                </a:ext>
              </a:extLst>
            </xdr:cNvPr>
            <xdr:cNvSpPr/>
          </xdr:nvSpPr>
          <xdr:spPr>
            <a:xfrm>
              <a:off x="3289300" y="51689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29</xdr:row>
          <xdr:rowOff>165100</xdr:rowOff>
        </xdr:from>
        <xdr:to>
          <xdr:col>21</xdr:col>
          <xdr:colOff>27305</xdr:colOff>
          <xdr:row>30</xdr:row>
          <xdr:rowOff>165100</xdr:rowOff>
        </xdr:to>
        <xdr:sp>
          <xdr:nvSpPr>
            <xdr:cNvPr id="2274" name="Check Box 226" hidden="1">
              <a:extLst>
                <a:ext uri="{63B3BB69-23CF-44E3-9099-C40C66FF867C}">
                  <a14:compatExt spid="_x0000_s2274"/>
                </a:ext>
              </a:extLst>
            </xdr:cNvPr>
            <xdr:cNvSpPr/>
          </xdr:nvSpPr>
          <xdr:spPr>
            <a:xfrm>
              <a:off x="3289300" y="53848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30</xdr:row>
          <xdr:rowOff>165100</xdr:rowOff>
        </xdr:from>
        <xdr:to>
          <xdr:col>21</xdr:col>
          <xdr:colOff>27305</xdr:colOff>
          <xdr:row>31</xdr:row>
          <xdr:rowOff>165100</xdr:rowOff>
        </xdr:to>
        <xdr:sp>
          <xdr:nvSpPr>
            <xdr:cNvPr id="2275" name="Check Box 227" hidden="1">
              <a:extLst>
                <a:ext uri="{63B3BB69-23CF-44E3-9099-C40C66FF867C}">
                  <a14:compatExt spid="_x0000_s2275"/>
                </a:ext>
              </a:extLst>
            </xdr:cNvPr>
            <xdr:cNvSpPr/>
          </xdr:nvSpPr>
          <xdr:spPr>
            <a:xfrm>
              <a:off x="3289300" y="56007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33</xdr:row>
          <xdr:rowOff>165100</xdr:rowOff>
        </xdr:from>
        <xdr:to>
          <xdr:col>21</xdr:col>
          <xdr:colOff>27305</xdr:colOff>
          <xdr:row>34</xdr:row>
          <xdr:rowOff>165100</xdr:rowOff>
        </xdr:to>
        <xdr:sp>
          <xdr:nvSpPr>
            <xdr:cNvPr id="2276" name="Check Box 228" hidden="1">
              <a:extLst>
                <a:ext uri="{63B3BB69-23CF-44E3-9099-C40C66FF867C}">
                  <a14:compatExt spid="_x0000_s2276"/>
                </a:ext>
              </a:extLst>
            </xdr:cNvPr>
            <xdr:cNvSpPr/>
          </xdr:nvSpPr>
          <xdr:spPr>
            <a:xfrm>
              <a:off x="3289300" y="62484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34</xdr:row>
          <xdr:rowOff>165100</xdr:rowOff>
        </xdr:from>
        <xdr:to>
          <xdr:col>21</xdr:col>
          <xdr:colOff>27305</xdr:colOff>
          <xdr:row>35</xdr:row>
          <xdr:rowOff>165100</xdr:rowOff>
        </xdr:to>
        <xdr:sp>
          <xdr:nvSpPr>
            <xdr:cNvPr id="2277" name="Check Box 229" hidden="1">
              <a:extLst>
                <a:ext uri="{63B3BB69-23CF-44E3-9099-C40C66FF867C}">
                  <a14:compatExt spid="_x0000_s2277"/>
                </a:ext>
              </a:extLst>
            </xdr:cNvPr>
            <xdr:cNvSpPr/>
          </xdr:nvSpPr>
          <xdr:spPr>
            <a:xfrm>
              <a:off x="3289300" y="6464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35</xdr:row>
          <xdr:rowOff>165100</xdr:rowOff>
        </xdr:from>
        <xdr:to>
          <xdr:col>21</xdr:col>
          <xdr:colOff>27305</xdr:colOff>
          <xdr:row>36</xdr:row>
          <xdr:rowOff>165100</xdr:rowOff>
        </xdr:to>
        <xdr:sp>
          <xdr:nvSpPr>
            <xdr:cNvPr id="2278" name="Check Box 230" hidden="1">
              <a:extLst>
                <a:ext uri="{63B3BB69-23CF-44E3-9099-C40C66FF867C}">
                  <a14:compatExt spid="_x0000_s2278"/>
                </a:ext>
              </a:extLst>
            </xdr:cNvPr>
            <xdr:cNvSpPr/>
          </xdr:nvSpPr>
          <xdr:spPr>
            <a:xfrm>
              <a:off x="3289300" y="66802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36</xdr:row>
          <xdr:rowOff>165100</xdr:rowOff>
        </xdr:from>
        <xdr:to>
          <xdr:col>21</xdr:col>
          <xdr:colOff>27305</xdr:colOff>
          <xdr:row>37</xdr:row>
          <xdr:rowOff>165100</xdr:rowOff>
        </xdr:to>
        <xdr:sp>
          <xdr:nvSpPr>
            <xdr:cNvPr id="2279" name="Check Box 231" hidden="1">
              <a:extLst>
                <a:ext uri="{63B3BB69-23CF-44E3-9099-C40C66FF867C}">
                  <a14:compatExt spid="_x0000_s2279"/>
                </a:ext>
              </a:extLst>
            </xdr:cNvPr>
            <xdr:cNvSpPr/>
          </xdr:nvSpPr>
          <xdr:spPr>
            <a:xfrm>
              <a:off x="3289300" y="6896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37</xdr:row>
          <xdr:rowOff>165100</xdr:rowOff>
        </xdr:from>
        <xdr:to>
          <xdr:col>21</xdr:col>
          <xdr:colOff>27305</xdr:colOff>
          <xdr:row>38</xdr:row>
          <xdr:rowOff>165100</xdr:rowOff>
        </xdr:to>
        <xdr:sp>
          <xdr:nvSpPr>
            <xdr:cNvPr id="2280" name="Check Box 232" hidden="1">
              <a:extLst>
                <a:ext uri="{63B3BB69-23CF-44E3-9099-C40C66FF867C}">
                  <a14:compatExt spid="_x0000_s2280"/>
                </a:ext>
              </a:extLst>
            </xdr:cNvPr>
            <xdr:cNvSpPr/>
          </xdr:nvSpPr>
          <xdr:spPr>
            <a:xfrm>
              <a:off x="3289300" y="71120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38</xdr:row>
          <xdr:rowOff>165100</xdr:rowOff>
        </xdr:from>
        <xdr:to>
          <xdr:col>21</xdr:col>
          <xdr:colOff>27305</xdr:colOff>
          <xdr:row>39</xdr:row>
          <xdr:rowOff>165100</xdr:rowOff>
        </xdr:to>
        <xdr:sp>
          <xdr:nvSpPr>
            <xdr:cNvPr id="2281" name="Check Box 233" hidden="1">
              <a:extLst>
                <a:ext uri="{63B3BB69-23CF-44E3-9099-C40C66FF867C}">
                  <a14:compatExt spid="_x0000_s2281"/>
                </a:ext>
              </a:extLst>
            </xdr:cNvPr>
            <xdr:cNvSpPr/>
          </xdr:nvSpPr>
          <xdr:spPr>
            <a:xfrm>
              <a:off x="3289300" y="73279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39</xdr:row>
          <xdr:rowOff>155575</xdr:rowOff>
        </xdr:from>
        <xdr:to>
          <xdr:col>21</xdr:col>
          <xdr:colOff>27305</xdr:colOff>
          <xdr:row>40</xdr:row>
          <xdr:rowOff>155575</xdr:rowOff>
        </xdr:to>
        <xdr:sp>
          <xdr:nvSpPr>
            <xdr:cNvPr id="2282" name="Check Box 234" hidden="1">
              <a:extLst>
                <a:ext uri="{63B3BB69-23CF-44E3-9099-C40C66FF867C}">
                  <a14:compatExt spid="_x0000_s2282"/>
                </a:ext>
              </a:extLst>
            </xdr:cNvPr>
            <xdr:cNvSpPr/>
          </xdr:nvSpPr>
          <xdr:spPr>
            <a:xfrm>
              <a:off x="3289300" y="7534275"/>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40</xdr:row>
          <xdr:rowOff>165100</xdr:rowOff>
        </xdr:from>
        <xdr:to>
          <xdr:col>21</xdr:col>
          <xdr:colOff>27305</xdr:colOff>
          <xdr:row>41</xdr:row>
          <xdr:rowOff>165100</xdr:rowOff>
        </xdr:to>
        <xdr:sp>
          <xdr:nvSpPr>
            <xdr:cNvPr id="2283" name="Check Box 235" hidden="1">
              <a:extLst>
                <a:ext uri="{63B3BB69-23CF-44E3-9099-C40C66FF867C}">
                  <a14:compatExt spid="_x0000_s2283"/>
                </a:ext>
              </a:extLst>
            </xdr:cNvPr>
            <xdr:cNvSpPr/>
          </xdr:nvSpPr>
          <xdr:spPr>
            <a:xfrm>
              <a:off x="3289300" y="77597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26</xdr:row>
          <xdr:rowOff>165100</xdr:rowOff>
        </xdr:from>
        <xdr:to>
          <xdr:col>21</xdr:col>
          <xdr:colOff>27305</xdr:colOff>
          <xdr:row>27</xdr:row>
          <xdr:rowOff>165100</xdr:rowOff>
        </xdr:to>
        <xdr:sp>
          <xdr:nvSpPr>
            <xdr:cNvPr id="2284" name="Check Box 236" hidden="1">
              <a:extLst>
                <a:ext uri="{63B3BB69-23CF-44E3-9099-C40C66FF867C}">
                  <a14:compatExt spid="_x0000_s2284"/>
                </a:ext>
              </a:extLst>
            </xdr:cNvPr>
            <xdr:cNvSpPr/>
          </xdr:nvSpPr>
          <xdr:spPr>
            <a:xfrm>
              <a:off x="3289300" y="4737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85" name="Check Box 237" hidden="1">
              <a:extLst>
                <a:ext uri="{63B3BB69-23CF-44E3-9099-C40C66FF867C}">
                  <a14:compatExt spid="_x0000_s2285"/>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26</xdr:row>
          <xdr:rowOff>165100</xdr:rowOff>
        </xdr:from>
        <xdr:to>
          <xdr:col>21</xdr:col>
          <xdr:colOff>27305</xdr:colOff>
          <xdr:row>27</xdr:row>
          <xdr:rowOff>165100</xdr:rowOff>
        </xdr:to>
        <xdr:sp>
          <xdr:nvSpPr>
            <xdr:cNvPr id="2286" name="Check Box 238" hidden="1">
              <a:extLst>
                <a:ext uri="{63B3BB69-23CF-44E3-9099-C40C66FF867C}">
                  <a14:compatExt spid="_x0000_s2286"/>
                </a:ext>
              </a:extLst>
            </xdr:cNvPr>
            <xdr:cNvSpPr/>
          </xdr:nvSpPr>
          <xdr:spPr>
            <a:xfrm>
              <a:off x="3289300" y="4737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7" name="Check Box 239" hidden="1">
              <a:extLst>
                <a:ext uri="{63B3BB69-23CF-44E3-9099-C40C66FF867C}">
                  <a14:compatExt spid="_x0000_s2287"/>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8" name="Check Box 240" hidden="1">
              <a:extLst>
                <a:ext uri="{63B3BB69-23CF-44E3-9099-C40C66FF867C}">
                  <a14:compatExt spid="_x0000_s2288"/>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9" name="Check Box 241" hidden="1">
              <a:extLst>
                <a:ext uri="{63B3BB69-23CF-44E3-9099-C40C66FF867C}">
                  <a14:compatExt spid="_x0000_s2289"/>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90" name="Check Box 242" hidden="1">
              <a:extLst>
                <a:ext uri="{63B3BB69-23CF-44E3-9099-C40C66FF867C}">
                  <a14:compatExt spid="_x0000_s2290"/>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91" name="Check Box 243" hidden="1">
              <a:extLst>
                <a:ext uri="{63B3BB69-23CF-44E3-9099-C40C66FF867C}">
                  <a14:compatExt spid="_x0000_s2291"/>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5121" name="Spinner 1" hidden="1">
              <a:extLst>
                <a:ext uri="{63B3BB69-23CF-44E3-9099-C40C66FF867C}">
                  <a14:compatExt spid="_x0000_s5121"/>
                </a:ext>
              </a:extLst>
            </xdr:cNvPr>
            <xdr:cNvSpPr/>
          </xdr:nvSpPr>
          <xdr:spPr>
            <a:xfrm>
              <a:off x="6747510" y="806450"/>
              <a:ext cx="211455" cy="43624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6145" name="Spinner 1" hidden="1">
              <a:extLst>
                <a:ext uri="{63B3BB69-23CF-44E3-9099-C40C66FF867C}">
                  <a14:compatExt spid="_x0000_s6145"/>
                </a:ext>
              </a:extLst>
            </xdr:cNvPr>
            <xdr:cNvSpPr/>
          </xdr:nvSpPr>
          <xdr:spPr>
            <a:xfrm>
              <a:off x="6747510" y="806450"/>
              <a:ext cx="211455" cy="436245"/>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7169" name="Spinner 1" hidden="1">
              <a:extLst>
                <a:ext uri="{63B3BB69-23CF-44E3-9099-C40C66FF867C}">
                  <a14:compatExt spid="_x0000_s7169"/>
                </a:ext>
              </a:extLst>
            </xdr:cNvPr>
            <xdr:cNvSpPr/>
          </xdr:nvSpPr>
          <xdr:spPr>
            <a:xfrm>
              <a:off x="6747510" y="806450"/>
              <a:ext cx="211455" cy="436245"/>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xdr:col>
          <xdr:colOff>65405</xdr:colOff>
          <xdr:row>3</xdr:row>
          <xdr:rowOff>4445</xdr:rowOff>
        </xdr:to>
        <xdr:sp>
          <xdr:nvSpPr>
            <xdr:cNvPr id="3079" name="Check Box 7" hidden="1">
              <a:extLst>
                <a:ext uri="{63B3BB69-23CF-44E3-9099-C40C66FF867C}">
                  <a14:compatExt spid="_x0000_s3079"/>
                </a:ext>
              </a:extLst>
            </xdr:cNvPr>
            <xdr:cNvSpPr/>
          </xdr:nvSpPr>
          <xdr:spPr>
            <a:xfrm>
              <a:off x="164465" y="431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65405</xdr:colOff>
          <xdr:row>4</xdr:row>
          <xdr:rowOff>4445</xdr:rowOff>
        </xdr:to>
        <xdr:sp>
          <xdr:nvSpPr>
            <xdr:cNvPr id="3080" name="Check Box 8" hidden="1">
              <a:extLst>
                <a:ext uri="{63B3BB69-23CF-44E3-9099-C40C66FF867C}">
                  <a14:compatExt spid="_x0000_s3080"/>
                </a:ext>
              </a:extLst>
            </xdr:cNvPr>
            <xdr:cNvSpPr/>
          </xdr:nvSpPr>
          <xdr:spPr>
            <a:xfrm>
              <a:off x="164465" y="647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3</xdr:col>
          <xdr:colOff>65405</xdr:colOff>
          <xdr:row>5</xdr:row>
          <xdr:rowOff>4445</xdr:rowOff>
        </xdr:to>
        <xdr:sp>
          <xdr:nvSpPr>
            <xdr:cNvPr id="3081" name="Check Box 9" hidden="1">
              <a:extLst>
                <a:ext uri="{63B3BB69-23CF-44E3-9099-C40C66FF867C}">
                  <a14:compatExt spid="_x0000_s3081"/>
                </a:ext>
              </a:extLst>
            </xdr:cNvPr>
            <xdr:cNvSpPr/>
          </xdr:nvSpPr>
          <xdr:spPr>
            <a:xfrm>
              <a:off x="164465" y="863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65405</xdr:colOff>
          <xdr:row>6</xdr:row>
          <xdr:rowOff>4445</xdr:rowOff>
        </xdr:to>
        <xdr:sp>
          <xdr:nvSpPr>
            <xdr:cNvPr id="3082" name="Check Box 10" hidden="1">
              <a:extLst>
                <a:ext uri="{63B3BB69-23CF-44E3-9099-C40C66FF867C}">
                  <a14:compatExt spid="_x0000_s3082"/>
                </a:ext>
              </a:extLst>
            </xdr:cNvPr>
            <xdr:cNvSpPr/>
          </xdr:nvSpPr>
          <xdr:spPr>
            <a:xfrm>
              <a:off x="164465" y="1079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3</xdr:col>
          <xdr:colOff>65405</xdr:colOff>
          <xdr:row>7</xdr:row>
          <xdr:rowOff>4445</xdr:rowOff>
        </xdr:to>
        <xdr:sp>
          <xdr:nvSpPr>
            <xdr:cNvPr id="3083" name="Check Box 11" hidden="1">
              <a:extLst>
                <a:ext uri="{63B3BB69-23CF-44E3-9099-C40C66FF867C}">
                  <a14:compatExt spid="_x0000_s3083"/>
                </a:ext>
              </a:extLst>
            </xdr:cNvPr>
            <xdr:cNvSpPr/>
          </xdr:nvSpPr>
          <xdr:spPr>
            <a:xfrm>
              <a:off x="164465" y="1295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3</xdr:col>
          <xdr:colOff>65405</xdr:colOff>
          <xdr:row>8</xdr:row>
          <xdr:rowOff>4445</xdr:rowOff>
        </xdr:to>
        <xdr:sp>
          <xdr:nvSpPr>
            <xdr:cNvPr id="3084" name="Check Box 12" hidden="1">
              <a:extLst>
                <a:ext uri="{63B3BB69-23CF-44E3-9099-C40C66FF867C}">
                  <a14:compatExt spid="_x0000_s3084"/>
                </a:ext>
              </a:extLst>
            </xdr:cNvPr>
            <xdr:cNvSpPr/>
          </xdr:nvSpPr>
          <xdr:spPr>
            <a:xfrm>
              <a:off x="164465" y="1511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3</xdr:col>
          <xdr:colOff>65405</xdr:colOff>
          <xdr:row>9</xdr:row>
          <xdr:rowOff>4445</xdr:rowOff>
        </xdr:to>
        <xdr:sp>
          <xdr:nvSpPr>
            <xdr:cNvPr id="3085" name="Check Box 13" hidden="1">
              <a:extLst>
                <a:ext uri="{63B3BB69-23CF-44E3-9099-C40C66FF867C}">
                  <a14:compatExt spid="_x0000_s3085"/>
                </a:ext>
              </a:extLst>
            </xdr:cNvPr>
            <xdr:cNvSpPr/>
          </xdr:nvSpPr>
          <xdr:spPr>
            <a:xfrm>
              <a:off x="164465" y="1727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3</xdr:col>
          <xdr:colOff>65405</xdr:colOff>
          <xdr:row>10</xdr:row>
          <xdr:rowOff>4445</xdr:rowOff>
        </xdr:to>
        <xdr:sp>
          <xdr:nvSpPr>
            <xdr:cNvPr id="3086" name="Check Box 14" hidden="1">
              <a:extLst>
                <a:ext uri="{63B3BB69-23CF-44E3-9099-C40C66FF867C}">
                  <a14:compatExt spid="_x0000_s3086"/>
                </a:ext>
              </a:extLst>
            </xdr:cNvPr>
            <xdr:cNvSpPr/>
          </xdr:nvSpPr>
          <xdr:spPr>
            <a:xfrm>
              <a:off x="164465" y="1943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3</xdr:col>
          <xdr:colOff>65405</xdr:colOff>
          <xdr:row>11</xdr:row>
          <xdr:rowOff>4445</xdr:rowOff>
        </xdr:to>
        <xdr:sp>
          <xdr:nvSpPr>
            <xdr:cNvPr id="3087" name="Check Box 15" hidden="1">
              <a:extLst>
                <a:ext uri="{63B3BB69-23CF-44E3-9099-C40C66FF867C}">
                  <a14:compatExt spid="_x0000_s3087"/>
                </a:ext>
              </a:extLst>
            </xdr:cNvPr>
            <xdr:cNvSpPr/>
          </xdr:nvSpPr>
          <xdr:spPr>
            <a:xfrm>
              <a:off x="164465" y="2159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3</xdr:col>
          <xdr:colOff>65405</xdr:colOff>
          <xdr:row>12</xdr:row>
          <xdr:rowOff>4445</xdr:rowOff>
        </xdr:to>
        <xdr:sp>
          <xdr:nvSpPr>
            <xdr:cNvPr id="3088" name="Check Box 16" hidden="1">
              <a:extLst>
                <a:ext uri="{63B3BB69-23CF-44E3-9099-C40C66FF867C}">
                  <a14:compatExt spid="_x0000_s3088"/>
                </a:ext>
              </a:extLst>
            </xdr:cNvPr>
            <xdr:cNvSpPr/>
          </xdr:nvSpPr>
          <xdr:spPr>
            <a:xfrm>
              <a:off x="164465" y="2374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3</xdr:col>
          <xdr:colOff>65405</xdr:colOff>
          <xdr:row>14</xdr:row>
          <xdr:rowOff>4445</xdr:rowOff>
        </xdr:to>
        <xdr:sp>
          <xdr:nvSpPr>
            <xdr:cNvPr id="3089" name="Check Box 17" hidden="1">
              <a:extLst>
                <a:ext uri="{63B3BB69-23CF-44E3-9099-C40C66FF867C}">
                  <a14:compatExt spid="_x0000_s3089"/>
                </a:ext>
              </a:extLst>
            </xdr:cNvPr>
            <xdr:cNvSpPr/>
          </xdr:nvSpPr>
          <xdr:spPr>
            <a:xfrm>
              <a:off x="164465" y="2806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3</xdr:col>
          <xdr:colOff>65405</xdr:colOff>
          <xdr:row>15</xdr:row>
          <xdr:rowOff>4445</xdr:rowOff>
        </xdr:to>
        <xdr:sp>
          <xdr:nvSpPr>
            <xdr:cNvPr id="3090" name="Check Box 18" hidden="1">
              <a:extLst>
                <a:ext uri="{63B3BB69-23CF-44E3-9099-C40C66FF867C}">
                  <a14:compatExt spid="_x0000_s3090"/>
                </a:ext>
              </a:extLst>
            </xdr:cNvPr>
            <xdr:cNvSpPr/>
          </xdr:nvSpPr>
          <xdr:spPr>
            <a:xfrm>
              <a:off x="164465" y="3022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3</xdr:col>
          <xdr:colOff>65405</xdr:colOff>
          <xdr:row>16</xdr:row>
          <xdr:rowOff>4445</xdr:rowOff>
        </xdr:to>
        <xdr:sp>
          <xdr:nvSpPr>
            <xdr:cNvPr id="3091" name="Check Box 19" hidden="1">
              <a:extLst>
                <a:ext uri="{63B3BB69-23CF-44E3-9099-C40C66FF867C}">
                  <a14:compatExt spid="_x0000_s3091"/>
                </a:ext>
              </a:extLst>
            </xdr:cNvPr>
            <xdr:cNvSpPr/>
          </xdr:nvSpPr>
          <xdr:spPr>
            <a:xfrm>
              <a:off x="164465" y="3238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3</xdr:col>
          <xdr:colOff>65405</xdr:colOff>
          <xdr:row>17</xdr:row>
          <xdr:rowOff>4445</xdr:rowOff>
        </xdr:to>
        <xdr:sp>
          <xdr:nvSpPr>
            <xdr:cNvPr id="3092" name="Check Box 20" hidden="1">
              <a:extLst>
                <a:ext uri="{63B3BB69-23CF-44E3-9099-C40C66FF867C}">
                  <a14:compatExt spid="_x0000_s3092"/>
                </a:ext>
              </a:extLst>
            </xdr:cNvPr>
            <xdr:cNvSpPr/>
          </xdr:nvSpPr>
          <xdr:spPr>
            <a:xfrm>
              <a:off x="164465" y="3454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3</xdr:col>
          <xdr:colOff>65405</xdr:colOff>
          <xdr:row>18</xdr:row>
          <xdr:rowOff>4445</xdr:rowOff>
        </xdr:to>
        <xdr:sp>
          <xdr:nvSpPr>
            <xdr:cNvPr id="3094" name="Check Box 22" hidden="1">
              <a:extLst>
                <a:ext uri="{63B3BB69-23CF-44E3-9099-C40C66FF867C}">
                  <a14:compatExt spid="_x0000_s3094"/>
                </a:ext>
              </a:extLst>
            </xdr:cNvPr>
            <xdr:cNvSpPr/>
          </xdr:nvSpPr>
          <xdr:spPr>
            <a:xfrm>
              <a:off x="164465" y="3670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3</xdr:col>
          <xdr:colOff>65405</xdr:colOff>
          <xdr:row>19</xdr:row>
          <xdr:rowOff>4445</xdr:rowOff>
        </xdr:to>
        <xdr:sp>
          <xdr:nvSpPr>
            <xdr:cNvPr id="3095" name="Check Box 23" hidden="1">
              <a:extLst>
                <a:ext uri="{63B3BB69-23CF-44E3-9099-C40C66FF867C}">
                  <a14:compatExt spid="_x0000_s3095"/>
                </a:ext>
              </a:extLst>
            </xdr:cNvPr>
            <xdr:cNvSpPr/>
          </xdr:nvSpPr>
          <xdr:spPr>
            <a:xfrm>
              <a:off x="164465" y="3886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3</xdr:col>
          <xdr:colOff>65405</xdr:colOff>
          <xdr:row>20</xdr:row>
          <xdr:rowOff>4445</xdr:rowOff>
        </xdr:to>
        <xdr:sp>
          <xdr:nvSpPr>
            <xdr:cNvPr id="3096" name="Check Box 24" hidden="1">
              <a:extLst>
                <a:ext uri="{63B3BB69-23CF-44E3-9099-C40C66FF867C}">
                  <a14:compatExt spid="_x0000_s3096"/>
                </a:ext>
              </a:extLst>
            </xdr:cNvPr>
            <xdr:cNvSpPr/>
          </xdr:nvSpPr>
          <xdr:spPr>
            <a:xfrm>
              <a:off x="164465" y="4102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3</xdr:col>
          <xdr:colOff>65405</xdr:colOff>
          <xdr:row>21</xdr:row>
          <xdr:rowOff>4445</xdr:rowOff>
        </xdr:to>
        <xdr:sp>
          <xdr:nvSpPr>
            <xdr:cNvPr id="3097" name="Check Box 25" hidden="1">
              <a:extLst>
                <a:ext uri="{63B3BB69-23CF-44E3-9099-C40C66FF867C}">
                  <a14:compatExt spid="_x0000_s3097"/>
                </a:ext>
              </a:extLst>
            </xdr:cNvPr>
            <xdr:cNvSpPr/>
          </xdr:nvSpPr>
          <xdr:spPr>
            <a:xfrm>
              <a:off x="164465" y="4318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3</xdr:col>
          <xdr:colOff>65405</xdr:colOff>
          <xdr:row>22</xdr:row>
          <xdr:rowOff>4445</xdr:rowOff>
        </xdr:to>
        <xdr:sp>
          <xdr:nvSpPr>
            <xdr:cNvPr id="3099" name="Check Box 27" hidden="1">
              <a:extLst>
                <a:ext uri="{63B3BB69-23CF-44E3-9099-C40C66FF867C}">
                  <a14:compatExt spid="_x0000_s3099"/>
                </a:ext>
              </a:extLst>
            </xdr:cNvPr>
            <xdr:cNvSpPr/>
          </xdr:nvSpPr>
          <xdr:spPr>
            <a:xfrm>
              <a:off x="164465" y="4533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3</xdr:col>
          <xdr:colOff>65405</xdr:colOff>
          <xdr:row>23</xdr:row>
          <xdr:rowOff>4445</xdr:rowOff>
        </xdr:to>
        <xdr:sp>
          <xdr:nvSpPr>
            <xdr:cNvPr id="3100" name="Check Box 28" hidden="1">
              <a:extLst>
                <a:ext uri="{63B3BB69-23CF-44E3-9099-C40C66FF867C}">
                  <a14:compatExt spid="_x0000_s3100"/>
                </a:ext>
              </a:extLst>
            </xdr:cNvPr>
            <xdr:cNvSpPr/>
          </xdr:nvSpPr>
          <xdr:spPr>
            <a:xfrm>
              <a:off x="164465" y="4749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3</xdr:col>
          <xdr:colOff>65405</xdr:colOff>
          <xdr:row>25</xdr:row>
          <xdr:rowOff>4445</xdr:rowOff>
        </xdr:to>
        <xdr:sp>
          <xdr:nvSpPr>
            <xdr:cNvPr id="3101" name="Check Box 29" hidden="1">
              <a:extLst>
                <a:ext uri="{63B3BB69-23CF-44E3-9099-C40C66FF867C}">
                  <a14:compatExt spid="_x0000_s3101"/>
                </a:ext>
              </a:extLst>
            </xdr:cNvPr>
            <xdr:cNvSpPr/>
          </xdr:nvSpPr>
          <xdr:spPr>
            <a:xfrm>
              <a:off x="164465" y="5181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3</xdr:col>
          <xdr:colOff>65405</xdr:colOff>
          <xdr:row>26</xdr:row>
          <xdr:rowOff>4445</xdr:rowOff>
        </xdr:to>
        <xdr:sp>
          <xdr:nvSpPr>
            <xdr:cNvPr id="3102" name="Check Box 30" hidden="1">
              <a:extLst>
                <a:ext uri="{63B3BB69-23CF-44E3-9099-C40C66FF867C}">
                  <a14:compatExt spid="_x0000_s3102"/>
                </a:ext>
              </a:extLst>
            </xdr:cNvPr>
            <xdr:cNvSpPr/>
          </xdr:nvSpPr>
          <xdr:spPr>
            <a:xfrm>
              <a:off x="164465" y="5397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3</xdr:col>
          <xdr:colOff>65405</xdr:colOff>
          <xdr:row>27</xdr:row>
          <xdr:rowOff>4445</xdr:rowOff>
        </xdr:to>
        <xdr:sp>
          <xdr:nvSpPr>
            <xdr:cNvPr id="3103" name="Check Box 31" hidden="1">
              <a:extLst>
                <a:ext uri="{63B3BB69-23CF-44E3-9099-C40C66FF867C}">
                  <a14:compatExt spid="_x0000_s3103"/>
                </a:ext>
              </a:extLst>
            </xdr:cNvPr>
            <xdr:cNvSpPr/>
          </xdr:nvSpPr>
          <xdr:spPr>
            <a:xfrm>
              <a:off x="164465" y="5613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3</xdr:col>
          <xdr:colOff>65405</xdr:colOff>
          <xdr:row>28</xdr:row>
          <xdr:rowOff>4445</xdr:rowOff>
        </xdr:to>
        <xdr:sp>
          <xdr:nvSpPr>
            <xdr:cNvPr id="3104" name="Check Box 32" hidden="1">
              <a:extLst>
                <a:ext uri="{63B3BB69-23CF-44E3-9099-C40C66FF867C}">
                  <a14:compatExt spid="_x0000_s3104"/>
                </a:ext>
              </a:extLst>
            </xdr:cNvPr>
            <xdr:cNvSpPr/>
          </xdr:nvSpPr>
          <xdr:spPr>
            <a:xfrm>
              <a:off x="164465" y="5829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3</xdr:col>
          <xdr:colOff>65405</xdr:colOff>
          <xdr:row>29</xdr:row>
          <xdr:rowOff>4445</xdr:rowOff>
        </xdr:to>
        <xdr:sp>
          <xdr:nvSpPr>
            <xdr:cNvPr id="3105" name="Check Box 33" hidden="1">
              <a:extLst>
                <a:ext uri="{63B3BB69-23CF-44E3-9099-C40C66FF867C}">
                  <a14:compatExt spid="_x0000_s3105"/>
                </a:ext>
              </a:extLst>
            </xdr:cNvPr>
            <xdr:cNvSpPr/>
          </xdr:nvSpPr>
          <xdr:spPr>
            <a:xfrm>
              <a:off x="164465" y="6045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3</xdr:col>
          <xdr:colOff>65405</xdr:colOff>
          <xdr:row>30</xdr:row>
          <xdr:rowOff>4445</xdr:rowOff>
        </xdr:to>
        <xdr:sp>
          <xdr:nvSpPr>
            <xdr:cNvPr id="3106" name="Check Box 34" hidden="1">
              <a:extLst>
                <a:ext uri="{63B3BB69-23CF-44E3-9099-C40C66FF867C}">
                  <a14:compatExt spid="_x0000_s3106"/>
                </a:ext>
              </a:extLst>
            </xdr:cNvPr>
            <xdr:cNvSpPr/>
          </xdr:nvSpPr>
          <xdr:spPr>
            <a:xfrm>
              <a:off x="164465" y="6261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3</xdr:col>
          <xdr:colOff>65405</xdr:colOff>
          <xdr:row>31</xdr:row>
          <xdr:rowOff>4445</xdr:rowOff>
        </xdr:to>
        <xdr:sp>
          <xdr:nvSpPr>
            <xdr:cNvPr id="3107" name="Check Box 35" hidden="1">
              <a:extLst>
                <a:ext uri="{63B3BB69-23CF-44E3-9099-C40C66FF867C}">
                  <a14:compatExt spid="_x0000_s3107"/>
                </a:ext>
              </a:extLst>
            </xdr:cNvPr>
            <xdr:cNvSpPr/>
          </xdr:nvSpPr>
          <xdr:spPr>
            <a:xfrm>
              <a:off x="164465" y="6477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3</xdr:col>
          <xdr:colOff>65405</xdr:colOff>
          <xdr:row>32</xdr:row>
          <xdr:rowOff>4445</xdr:rowOff>
        </xdr:to>
        <xdr:sp>
          <xdr:nvSpPr>
            <xdr:cNvPr id="3108" name="Check Box 36" hidden="1">
              <a:extLst>
                <a:ext uri="{63B3BB69-23CF-44E3-9099-C40C66FF867C}">
                  <a14:compatExt spid="_x0000_s3108"/>
                </a:ext>
              </a:extLst>
            </xdr:cNvPr>
            <xdr:cNvSpPr/>
          </xdr:nvSpPr>
          <xdr:spPr>
            <a:xfrm>
              <a:off x="164465" y="6692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3</xdr:col>
          <xdr:colOff>65405</xdr:colOff>
          <xdr:row>33</xdr:row>
          <xdr:rowOff>4445</xdr:rowOff>
        </xdr:to>
        <xdr:sp>
          <xdr:nvSpPr>
            <xdr:cNvPr id="3109" name="Check Box 37" hidden="1">
              <a:extLst>
                <a:ext uri="{63B3BB69-23CF-44E3-9099-C40C66FF867C}">
                  <a14:compatExt spid="_x0000_s3109"/>
                </a:ext>
              </a:extLst>
            </xdr:cNvPr>
            <xdr:cNvSpPr/>
          </xdr:nvSpPr>
          <xdr:spPr>
            <a:xfrm>
              <a:off x="164465" y="6908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3</xdr:col>
          <xdr:colOff>65405</xdr:colOff>
          <xdr:row>34</xdr:row>
          <xdr:rowOff>4445</xdr:rowOff>
        </xdr:to>
        <xdr:sp>
          <xdr:nvSpPr>
            <xdr:cNvPr id="3110" name="Check Box 38" hidden="1">
              <a:extLst>
                <a:ext uri="{63B3BB69-23CF-44E3-9099-C40C66FF867C}">
                  <a14:compatExt spid="_x0000_s3110"/>
                </a:ext>
              </a:extLst>
            </xdr:cNvPr>
            <xdr:cNvSpPr/>
          </xdr:nvSpPr>
          <xdr:spPr>
            <a:xfrm>
              <a:off x="164465" y="7124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3</xdr:col>
          <xdr:colOff>65405</xdr:colOff>
          <xdr:row>36</xdr:row>
          <xdr:rowOff>4445</xdr:rowOff>
        </xdr:to>
        <xdr:sp>
          <xdr:nvSpPr>
            <xdr:cNvPr id="3111" name="Check Box 39" hidden="1">
              <a:extLst>
                <a:ext uri="{63B3BB69-23CF-44E3-9099-C40C66FF867C}">
                  <a14:compatExt spid="_x0000_s3111"/>
                </a:ext>
              </a:extLst>
            </xdr:cNvPr>
            <xdr:cNvSpPr/>
          </xdr:nvSpPr>
          <xdr:spPr>
            <a:xfrm>
              <a:off x="164465" y="7556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3</xdr:col>
          <xdr:colOff>65405</xdr:colOff>
          <xdr:row>37</xdr:row>
          <xdr:rowOff>4445</xdr:rowOff>
        </xdr:to>
        <xdr:sp>
          <xdr:nvSpPr>
            <xdr:cNvPr id="3112" name="Check Box 40" hidden="1">
              <a:extLst>
                <a:ext uri="{63B3BB69-23CF-44E3-9099-C40C66FF867C}">
                  <a14:compatExt spid="_x0000_s3112"/>
                </a:ext>
              </a:extLst>
            </xdr:cNvPr>
            <xdr:cNvSpPr/>
          </xdr:nvSpPr>
          <xdr:spPr>
            <a:xfrm>
              <a:off x="164465" y="7772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3</xdr:col>
          <xdr:colOff>65405</xdr:colOff>
          <xdr:row>38</xdr:row>
          <xdr:rowOff>4445</xdr:rowOff>
        </xdr:to>
        <xdr:sp>
          <xdr:nvSpPr>
            <xdr:cNvPr id="3113" name="Check Box 41" hidden="1">
              <a:extLst>
                <a:ext uri="{63B3BB69-23CF-44E3-9099-C40C66FF867C}">
                  <a14:compatExt spid="_x0000_s3113"/>
                </a:ext>
              </a:extLst>
            </xdr:cNvPr>
            <xdr:cNvSpPr/>
          </xdr:nvSpPr>
          <xdr:spPr>
            <a:xfrm>
              <a:off x="164465" y="7988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3</xdr:col>
          <xdr:colOff>65405</xdr:colOff>
          <xdr:row>39</xdr:row>
          <xdr:rowOff>4445</xdr:rowOff>
        </xdr:to>
        <xdr:sp>
          <xdr:nvSpPr>
            <xdr:cNvPr id="3114" name="Check Box 42" hidden="1">
              <a:extLst>
                <a:ext uri="{63B3BB69-23CF-44E3-9099-C40C66FF867C}">
                  <a14:compatExt spid="_x0000_s3114"/>
                </a:ext>
              </a:extLst>
            </xdr:cNvPr>
            <xdr:cNvSpPr/>
          </xdr:nvSpPr>
          <xdr:spPr>
            <a:xfrm>
              <a:off x="164465" y="8204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3</xdr:col>
          <xdr:colOff>65405</xdr:colOff>
          <xdr:row>40</xdr:row>
          <xdr:rowOff>4445</xdr:rowOff>
        </xdr:to>
        <xdr:sp>
          <xdr:nvSpPr>
            <xdr:cNvPr id="3115" name="Check Box 43" hidden="1">
              <a:extLst>
                <a:ext uri="{63B3BB69-23CF-44E3-9099-C40C66FF867C}">
                  <a14:compatExt spid="_x0000_s3115"/>
                </a:ext>
              </a:extLst>
            </xdr:cNvPr>
            <xdr:cNvSpPr/>
          </xdr:nvSpPr>
          <xdr:spPr>
            <a:xfrm>
              <a:off x="164465" y="8420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3</xdr:col>
          <xdr:colOff>65405</xdr:colOff>
          <xdr:row>41</xdr:row>
          <xdr:rowOff>4445</xdr:rowOff>
        </xdr:to>
        <xdr:sp>
          <xdr:nvSpPr>
            <xdr:cNvPr id="3117" name="Check Box 45" hidden="1">
              <a:extLst>
                <a:ext uri="{63B3BB69-23CF-44E3-9099-C40C66FF867C}">
                  <a14:compatExt spid="_x0000_s3117"/>
                </a:ext>
              </a:extLst>
            </xdr:cNvPr>
            <xdr:cNvSpPr/>
          </xdr:nvSpPr>
          <xdr:spPr>
            <a:xfrm>
              <a:off x="164465" y="8636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3</xdr:col>
          <xdr:colOff>65405</xdr:colOff>
          <xdr:row>42</xdr:row>
          <xdr:rowOff>4445</xdr:rowOff>
        </xdr:to>
        <xdr:sp>
          <xdr:nvSpPr>
            <xdr:cNvPr id="3118" name="Check Box 46" hidden="1">
              <a:extLst>
                <a:ext uri="{63B3BB69-23CF-44E3-9099-C40C66FF867C}">
                  <a14:compatExt spid="_x0000_s3118"/>
                </a:ext>
              </a:extLst>
            </xdr:cNvPr>
            <xdr:cNvSpPr/>
          </xdr:nvSpPr>
          <xdr:spPr>
            <a:xfrm>
              <a:off x="164465" y="8851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3</xdr:col>
          <xdr:colOff>65405</xdr:colOff>
          <xdr:row>43</xdr:row>
          <xdr:rowOff>4445</xdr:rowOff>
        </xdr:to>
        <xdr:sp>
          <xdr:nvSpPr>
            <xdr:cNvPr id="3119" name="Check Box 47" hidden="1">
              <a:extLst>
                <a:ext uri="{63B3BB69-23CF-44E3-9099-C40C66FF867C}">
                  <a14:compatExt spid="_x0000_s3119"/>
                </a:ext>
              </a:extLst>
            </xdr:cNvPr>
            <xdr:cNvSpPr/>
          </xdr:nvSpPr>
          <xdr:spPr>
            <a:xfrm>
              <a:off x="164465" y="9067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3</xdr:col>
          <xdr:colOff>65405</xdr:colOff>
          <xdr:row>44</xdr:row>
          <xdr:rowOff>4445</xdr:rowOff>
        </xdr:to>
        <xdr:sp>
          <xdr:nvSpPr>
            <xdr:cNvPr id="3120" name="Check Box 48" hidden="1">
              <a:extLst>
                <a:ext uri="{63B3BB69-23CF-44E3-9099-C40C66FF867C}">
                  <a14:compatExt spid="_x0000_s3120"/>
                </a:ext>
              </a:extLst>
            </xdr:cNvPr>
            <xdr:cNvSpPr/>
          </xdr:nvSpPr>
          <xdr:spPr>
            <a:xfrm>
              <a:off x="164465" y="9283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3</xdr:col>
          <xdr:colOff>65405</xdr:colOff>
          <xdr:row>45</xdr:row>
          <xdr:rowOff>4445</xdr:rowOff>
        </xdr:to>
        <xdr:sp>
          <xdr:nvSpPr>
            <xdr:cNvPr id="3121" name="Check Box 49" hidden="1">
              <a:extLst>
                <a:ext uri="{63B3BB69-23CF-44E3-9099-C40C66FF867C}">
                  <a14:compatExt spid="_x0000_s3121"/>
                </a:ext>
              </a:extLst>
            </xdr:cNvPr>
            <xdr:cNvSpPr/>
          </xdr:nvSpPr>
          <xdr:spPr>
            <a:xfrm>
              <a:off x="164465" y="9499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3</xdr:col>
          <xdr:colOff>65405</xdr:colOff>
          <xdr:row>47</xdr:row>
          <xdr:rowOff>4445</xdr:rowOff>
        </xdr:to>
        <xdr:sp>
          <xdr:nvSpPr>
            <xdr:cNvPr id="3122" name="Check Box 50" hidden="1">
              <a:extLst>
                <a:ext uri="{63B3BB69-23CF-44E3-9099-C40C66FF867C}">
                  <a14:compatExt spid="_x0000_s3122"/>
                </a:ext>
              </a:extLst>
            </xdr:cNvPr>
            <xdr:cNvSpPr/>
          </xdr:nvSpPr>
          <xdr:spPr>
            <a:xfrm>
              <a:off x="164465" y="9931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3</xdr:col>
          <xdr:colOff>65405</xdr:colOff>
          <xdr:row>48</xdr:row>
          <xdr:rowOff>4445</xdr:rowOff>
        </xdr:to>
        <xdr:sp>
          <xdr:nvSpPr>
            <xdr:cNvPr id="3123" name="Check Box 51" hidden="1">
              <a:extLst>
                <a:ext uri="{63B3BB69-23CF-44E3-9099-C40C66FF867C}">
                  <a14:compatExt spid="_x0000_s3123"/>
                </a:ext>
              </a:extLst>
            </xdr:cNvPr>
            <xdr:cNvSpPr/>
          </xdr:nvSpPr>
          <xdr:spPr>
            <a:xfrm>
              <a:off x="164465" y="10147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3</xdr:col>
          <xdr:colOff>65405</xdr:colOff>
          <xdr:row>49</xdr:row>
          <xdr:rowOff>4445</xdr:rowOff>
        </xdr:to>
        <xdr:sp>
          <xdr:nvSpPr>
            <xdr:cNvPr id="3124" name="Check Box 52" hidden="1">
              <a:extLst>
                <a:ext uri="{63B3BB69-23CF-44E3-9099-C40C66FF867C}">
                  <a14:compatExt spid="_x0000_s3124"/>
                </a:ext>
              </a:extLst>
            </xdr:cNvPr>
            <xdr:cNvSpPr/>
          </xdr:nvSpPr>
          <xdr:spPr>
            <a:xfrm>
              <a:off x="164465" y="10363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3</xdr:col>
          <xdr:colOff>65405</xdr:colOff>
          <xdr:row>50</xdr:row>
          <xdr:rowOff>4445</xdr:rowOff>
        </xdr:to>
        <xdr:sp>
          <xdr:nvSpPr>
            <xdr:cNvPr id="3125" name="Check Box 53" hidden="1">
              <a:extLst>
                <a:ext uri="{63B3BB69-23CF-44E3-9099-C40C66FF867C}">
                  <a14:compatExt spid="_x0000_s3125"/>
                </a:ext>
              </a:extLst>
            </xdr:cNvPr>
            <xdr:cNvSpPr/>
          </xdr:nvSpPr>
          <xdr:spPr>
            <a:xfrm>
              <a:off x="164465" y="10579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3</xdr:col>
          <xdr:colOff>65405</xdr:colOff>
          <xdr:row>51</xdr:row>
          <xdr:rowOff>4445</xdr:rowOff>
        </xdr:to>
        <xdr:sp>
          <xdr:nvSpPr>
            <xdr:cNvPr id="3126" name="Check Box 54" hidden="1">
              <a:extLst>
                <a:ext uri="{63B3BB69-23CF-44E3-9099-C40C66FF867C}">
                  <a14:compatExt spid="_x0000_s3126"/>
                </a:ext>
              </a:extLst>
            </xdr:cNvPr>
            <xdr:cNvSpPr/>
          </xdr:nvSpPr>
          <xdr:spPr>
            <a:xfrm>
              <a:off x="164465" y="10795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3</xdr:col>
          <xdr:colOff>65405</xdr:colOff>
          <xdr:row>52</xdr:row>
          <xdr:rowOff>4445</xdr:rowOff>
        </xdr:to>
        <xdr:sp>
          <xdr:nvSpPr>
            <xdr:cNvPr id="3127" name="Check Box 55" hidden="1">
              <a:extLst>
                <a:ext uri="{63B3BB69-23CF-44E3-9099-C40C66FF867C}">
                  <a14:compatExt spid="_x0000_s3127"/>
                </a:ext>
              </a:extLst>
            </xdr:cNvPr>
            <xdr:cNvSpPr/>
          </xdr:nvSpPr>
          <xdr:spPr>
            <a:xfrm>
              <a:off x="164465" y="11010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3</xdr:col>
          <xdr:colOff>65405</xdr:colOff>
          <xdr:row>53</xdr:row>
          <xdr:rowOff>4445</xdr:rowOff>
        </xdr:to>
        <xdr:sp>
          <xdr:nvSpPr>
            <xdr:cNvPr id="3128" name="Check Box 56" hidden="1">
              <a:extLst>
                <a:ext uri="{63B3BB69-23CF-44E3-9099-C40C66FF867C}">
                  <a14:compatExt spid="_x0000_s3128"/>
                </a:ext>
              </a:extLst>
            </xdr:cNvPr>
            <xdr:cNvSpPr/>
          </xdr:nvSpPr>
          <xdr:spPr>
            <a:xfrm>
              <a:off x="164465" y="11226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3</xdr:col>
          <xdr:colOff>65405</xdr:colOff>
          <xdr:row>54</xdr:row>
          <xdr:rowOff>4445</xdr:rowOff>
        </xdr:to>
        <xdr:sp>
          <xdr:nvSpPr>
            <xdr:cNvPr id="3129" name="Check Box 57" hidden="1">
              <a:extLst>
                <a:ext uri="{63B3BB69-23CF-44E3-9099-C40C66FF867C}">
                  <a14:compatExt spid="_x0000_s3129"/>
                </a:ext>
              </a:extLst>
            </xdr:cNvPr>
            <xdr:cNvSpPr/>
          </xdr:nvSpPr>
          <xdr:spPr>
            <a:xfrm>
              <a:off x="164465" y="11442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3</xdr:col>
          <xdr:colOff>65405</xdr:colOff>
          <xdr:row>55</xdr:row>
          <xdr:rowOff>4445</xdr:rowOff>
        </xdr:to>
        <xdr:sp>
          <xdr:nvSpPr>
            <xdr:cNvPr id="3130" name="Check Box 58" hidden="1">
              <a:extLst>
                <a:ext uri="{63B3BB69-23CF-44E3-9099-C40C66FF867C}">
                  <a14:compatExt spid="_x0000_s3130"/>
                </a:ext>
              </a:extLst>
            </xdr:cNvPr>
            <xdr:cNvSpPr/>
          </xdr:nvSpPr>
          <xdr:spPr>
            <a:xfrm>
              <a:off x="164465" y="11658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3</xdr:col>
          <xdr:colOff>65405</xdr:colOff>
          <xdr:row>56</xdr:row>
          <xdr:rowOff>4445</xdr:rowOff>
        </xdr:to>
        <xdr:sp>
          <xdr:nvSpPr>
            <xdr:cNvPr id="3131" name="Check Box 59" hidden="1">
              <a:extLst>
                <a:ext uri="{63B3BB69-23CF-44E3-9099-C40C66FF867C}">
                  <a14:compatExt spid="_x0000_s3131"/>
                </a:ext>
              </a:extLst>
            </xdr:cNvPr>
            <xdr:cNvSpPr/>
          </xdr:nvSpPr>
          <xdr:spPr>
            <a:xfrm>
              <a:off x="164465" y="11874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6.xml"/><Relationship Id="rId8" Type="http://schemas.openxmlformats.org/officeDocument/2006/relationships/ctrlProp" Target="../ctrlProps/ctrlProp5.xml"/><Relationship Id="rId71" Type="http://schemas.openxmlformats.org/officeDocument/2006/relationships/ctrlProp" Target="../ctrlProps/ctrlProp68.xml"/><Relationship Id="rId70" Type="http://schemas.openxmlformats.org/officeDocument/2006/relationships/ctrlProp" Target="../ctrlProps/ctrlProp67.xml"/><Relationship Id="rId7" Type="http://schemas.openxmlformats.org/officeDocument/2006/relationships/ctrlProp" Target="../ctrlProps/ctrlProp4.xml"/><Relationship Id="rId69" Type="http://schemas.openxmlformats.org/officeDocument/2006/relationships/ctrlProp" Target="../ctrlProps/ctrlProp66.xml"/><Relationship Id="rId68" Type="http://schemas.openxmlformats.org/officeDocument/2006/relationships/ctrlProp" Target="../ctrlProps/ctrlProp65.xml"/><Relationship Id="rId67" Type="http://schemas.openxmlformats.org/officeDocument/2006/relationships/ctrlProp" Target="../ctrlProps/ctrlProp64.xml"/><Relationship Id="rId66" Type="http://schemas.openxmlformats.org/officeDocument/2006/relationships/ctrlProp" Target="../ctrlProps/ctrlProp63.xml"/><Relationship Id="rId65" Type="http://schemas.openxmlformats.org/officeDocument/2006/relationships/ctrlProp" Target="../ctrlProps/ctrlProp62.xml"/><Relationship Id="rId64" Type="http://schemas.openxmlformats.org/officeDocument/2006/relationships/ctrlProp" Target="../ctrlProps/ctrlProp61.xml"/><Relationship Id="rId63" Type="http://schemas.openxmlformats.org/officeDocument/2006/relationships/ctrlProp" Target="../ctrlProps/ctrlProp60.xml"/><Relationship Id="rId62" Type="http://schemas.openxmlformats.org/officeDocument/2006/relationships/ctrlProp" Target="../ctrlProps/ctrlProp59.xml"/><Relationship Id="rId61" Type="http://schemas.openxmlformats.org/officeDocument/2006/relationships/ctrlProp" Target="../ctrlProps/ctrlProp58.xml"/><Relationship Id="rId60" Type="http://schemas.openxmlformats.org/officeDocument/2006/relationships/ctrlProp" Target="../ctrlProps/ctrlProp57.xml"/><Relationship Id="rId6" Type="http://schemas.openxmlformats.org/officeDocument/2006/relationships/ctrlProp" Target="../ctrlProps/ctrlProp3.xml"/><Relationship Id="rId59" Type="http://schemas.openxmlformats.org/officeDocument/2006/relationships/ctrlProp" Target="../ctrlProps/ctrlProp56.xml"/><Relationship Id="rId58" Type="http://schemas.openxmlformats.org/officeDocument/2006/relationships/ctrlProp" Target="../ctrlProps/ctrlProp55.xml"/><Relationship Id="rId57" Type="http://schemas.openxmlformats.org/officeDocument/2006/relationships/ctrlProp" Target="../ctrlProps/ctrlProp54.xml"/><Relationship Id="rId56" Type="http://schemas.openxmlformats.org/officeDocument/2006/relationships/ctrlProp" Target="../ctrlProps/ctrlProp53.xml"/><Relationship Id="rId55" Type="http://schemas.openxmlformats.org/officeDocument/2006/relationships/ctrlProp" Target="../ctrlProps/ctrlProp52.xml"/><Relationship Id="rId54" Type="http://schemas.openxmlformats.org/officeDocument/2006/relationships/ctrlProp" Target="../ctrlProps/ctrlProp51.xml"/><Relationship Id="rId53" Type="http://schemas.openxmlformats.org/officeDocument/2006/relationships/ctrlProp" Target="../ctrlProps/ctrlProp50.xml"/><Relationship Id="rId52" Type="http://schemas.openxmlformats.org/officeDocument/2006/relationships/ctrlProp" Target="../ctrlProps/ctrlProp49.xml"/><Relationship Id="rId51" Type="http://schemas.openxmlformats.org/officeDocument/2006/relationships/ctrlProp" Target="../ctrlProps/ctrlProp48.xml"/><Relationship Id="rId50" Type="http://schemas.openxmlformats.org/officeDocument/2006/relationships/ctrlProp" Target="../ctrlProps/ctrlProp47.xml"/><Relationship Id="rId5" Type="http://schemas.openxmlformats.org/officeDocument/2006/relationships/ctrlProp" Target="../ctrlProps/ctrlProp2.xml"/><Relationship Id="rId49" Type="http://schemas.openxmlformats.org/officeDocument/2006/relationships/ctrlProp" Target="../ctrlProps/ctrlProp46.xml"/><Relationship Id="rId48" Type="http://schemas.openxmlformats.org/officeDocument/2006/relationships/ctrlProp" Target="../ctrlProps/ctrlProp45.xml"/><Relationship Id="rId47" Type="http://schemas.openxmlformats.org/officeDocument/2006/relationships/ctrlProp" Target="../ctrlProps/ctrlProp44.xml"/><Relationship Id="rId46" Type="http://schemas.openxmlformats.org/officeDocument/2006/relationships/ctrlProp" Target="../ctrlProps/ctrlProp43.xml"/><Relationship Id="rId45" Type="http://schemas.openxmlformats.org/officeDocument/2006/relationships/ctrlProp" Target="../ctrlProps/ctrlProp42.xml"/><Relationship Id="rId44" Type="http://schemas.openxmlformats.org/officeDocument/2006/relationships/ctrlProp" Target="../ctrlProps/ctrlProp41.xml"/><Relationship Id="rId43" Type="http://schemas.openxmlformats.org/officeDocument/2006/relationships/ctrlProp" Target="../ctrlProps/ctrlProp40.xml"/><Relationship Id="rId42" Type="http://schemas.openxmlformats.org/officeDocument/2006/relationships/ctrlProp" Target="../ctrlProps/ctrlProp39.xml"/><Relationship Id="rId41" Type="http://schemas.openxmlformats.org/officeDocument/2006/relationships/ctrlProp" Target="../ctrlProps/ctrlProp38.xml"/><Relationship Id="rId40" Type="http://schemas.openxmlformats.org/officeDocument/2006/relationships/ctrlProp" Target="../ctrlProps/ctrlProp37.xml"/><Relationship Id="rId4" Type="http://schemas.openxmlformats.org/officeDocument/2006/relationships/ctrlProp" Target="../ctrlProps/ctrlProp1.xml"/><Relationship Id="rId39" Type="http://schemas.openxmlformats.org/officeDocument/2006/relationships/ctrlProp" Target="../ctrlProps/ctrlProp36.xml"/><Relationship Id="rId38" Type="http://schemas.openxmlformats.org/officeDocument/2006/relationships/ctrlProp" Target="../ctrlProps/ctrlProp35.xml"/><Relationship Id="rId37" Type="http://schemas.openxmlformats.org/officeDocument/2006/relationships/ctrlProp" Target="../ctrlProps/ctrlProp34.xml"/><Relationship Id="rId36" Type="http://schemas.openxmlformats.org/officeDocument/2006/relationships/ctrlProp" Target="../ctrlProps/ctrlProp33.xml"/><Relationship Id="rId35" Type="http://schemas.openxmlformats.org/officeDocument/2006/relationships/ctrlProp" Target="../ctrlProps/ctrlProp32.xml"/><Relationship Id="rId34" Type="http://schemas.openxmlformats.org/officeDocument/2006/relationships/ctrlProp" Target="../ctrlProps/ctrlProp31.xml"/><Relationship Id="rId33" Type="http://schemas.openxmlformats.org/officeDocument/2006/relationships/ctrlProp" Target="../ctrlProps/ctrlProp30.xml"/><Relationship Id="rId32" Type="http://schemas.openxmlformats.org/officeDocument/2006/relationships/ctrlProp" Target="../ctrlProps/ctrlProp29.xml"/><Relationship Id="rId31" Type="http://schemas.openxmlformats.org/officeDocument/2006/relationships/ctrlProp" Target="../ctrlProps/ctrlProp28.xml"/><Relationship Id="rId30" Type="http://schemas.openxmlformats.org/officeDocument/2006/relationships/ctrlProp" Target="../ctrlProps/ctrlProp27.xml"/><Relationship Id="rId3" Type="http://schemas.openxmlformats.org/officeDocument/2006/relationships/vmlDrawing" Target="../drawings/vmlDrawing1.vml"/><Relationship Id="rId29" Type="http://schemas.openxmlformats.org/officeDocument/2006/relationships/ctrlProp" Target="../ctrlProps/ctrlProp26.xml"/><Relationship Id="rId28" Type="http://schemas.openxmlformats.org/officeDocument/2006/relationships/ctrlProp" Target="../ctrlProps/ctrlProp25.xml"/><Relationship Id="rId27" Type="http://schemas.openxmlformats.org/officeDocument/2006/relationships/ctrlProp" Target="../ctrlProps/ctrlProp24.xml"/><Relationship Id="rId26" Type="http://schemas.openxmlformats.org/officeDocument/2006/relationships/ctrlProp" Target="../ctrlProps/ctrlProp23.xml"/><Relationship Id="rId25" Type="http://schemas.openxmlformats.org/officeDocument/2006/relationships/ctrlProp" Target="../ctrlProps/ctrlProp22.xml"/><Relationship Id="rId24" Type="http://schemas.openxmlformats.org/officeDocument/2006/relationships/ctrlProp" Target="../ctrlProps/ctrlProp21.xml"/><Relationship Id="rId23" Type="http://schemas.openxmlformats.org/officeDocument/2006/relationships/ctrlProp" Target="../ctrlProps/ctrlProp20.xml"/><Relationship Id="rId22" Type="http://schemas.openxmlformats.org/officeDocument/2006/relationships/ctrlProp" Target="../ctrlProps/ctrlProp19.xml"/><Relationship Id="rId21" Type="http://schemas.openxmlformats.org/officeDocument/2006/relationships/ctrlProp" Target="../ctrlProps/ctrlProp18.xml"/><Relationship Id="rId20" Type="http://schemas.openxmlformats.org/officeDocument/2006/relationships/ctrlProp" Target="../ctrlProps/ctrlProp17.xml"/><Relationship Id="rId2" Type="http://schemas.openxmlformats.org/officeDocument/2006/relationships/drawing" Target="../drawings/drawing1.xml"/><Relationship Id="rId19" Type="http://schemas.openxmlformats.org/officeDocument/2006/relationships/ctrlProp" Target="../ctrlProps/ctrlProp16.xml"/><Relationship Id="rId18" Type="http://schemas.openxmlformats.org/officeDocument/2006/relationships/ctrlProp" Target="../ctrlProps/ctrlProp15.xml"/><Relationship Id="rId17" Type="http://schemas.openxmlformats.org/officeDocument/2006/relationships/ctrlProp" Target="../ctrlProps/ctrlProp14.xml"/><Relationship Id="rId16" Type="http://schemas.openxmlformats.org/officeDocument/2006/relationships/ctrlProp" Target="../ctrlProps/ctrlProp13.xml"/><Relationship Id="rId15" Type="http://schemas.openxmlformats.org/officeDocument/2006/relationships/ctrlProp" Target="../ctrlProps/ctrlProp12.xml"/><Relationship Id="rId14" Type="http://schemas.openxmlformats.org/officeDocument/2006/relationships/ctrlProp" Target="../ctrlProps/ctrlProp11.xml"/><Relationship Id="rId13" Type="http://schemas.openxmlformats.org/officeDocument/2006/relationships/ctrlProp" Target="../ctrlProps/ctrlProp10.xml"/><Relationship Id="rId12" Type="http://schemas.openxmlformats.org/officeDocument/2006/relationships/ctrlProp" Target="../ctrlProps/ctrlProp9.xml"/><Relationship Id="rId11" Type="http://schemas.openxmlformats.org/officeDocument/2006/relationships/ctrlProp" Target="../ctrlProps/ctrlProp8.xml"/><Relationship Id="rId10" Type="http://schemas.openxmlformats.org/officeDocument/2006/relationships/ctrlProp" Target="../ctrlProps/ctrlProp7.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69.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70.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71.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9" Type="http://schemas.openxmlformats.org/officeDocument/2006/relationships/ctrlProp" Target="../ctrlProps/ctrlProp78.xml"/><Relationship Id="rId8" Type="http://schemas.openxmlformats.org/officeDocument/2006/relationships/ctrlProp" Target="../ctrlProps/ctrlProp77.xml"/><Relationship Id="rId7" Type="http://schemas.openxmlformats.org/officeDocument/2006/relationships/ctrlProp" Target="../ctrlProps/ctrlProp76.xml"/><Relationship Id="rId6" Type="http://schemas.openxmlformats.org/officeDocument/2006/relationships/ctrlProp" Target="../ctrlProps/ctrlProp75.xml"/><Relationship Id="rId52" Type="http://schemas.openxmlformats.org/officeDocument/2006/relationships/ctrlProp" Target="../ctrlProps/ctrlProp121.xml"/><Relationship Id="rId51" Type="http://schemas.openxmlformats.org/officeDocument/2006/relationships/ctrlProp" Target="../ctrlProps/ctrlProp120.xml"/><Relationship Id="rId50" Type="http://schemas.openxmlformats.org/officeDocument/2006/relationships/ctrlProp" Target="../ctrlProps/ctrlProp119.xml"/><Relationship Id="rId5" Type="http://schemas.openxmlformats.org/officeDocument/2006/relationships/ctrlProp" Target="../ctrlProps/ctrlProp74.xml"/><Relationship Id="rId49" Type="http://schemas.openxmlformats.org/officeDocument/2006/relationships/ctrlProp" Target="../ctrlProps/ctrlProp118.xml"/><Relationship Id="rId48" Type="http://schemas.openxmlformats.org/officeDocument/2006/relationships/ctrlProp" Target="../ctrlProps/ctrlProp117.xml"/><Relationship Id="rId47" Type="http://schemas.openxmlformats.org/officeDocument/2006/relationships/ctrlProp" Target="../ctrlProps/ctrlProp116.xml"/><Relationship Id="rId46" Type="http://schemas.openxmlformats.org/officeDocument/2006/relationships/ctrlProp" Target="../ctrlProps/ctrlProp115.xml"/><Relationship Id="rId45" Type="http://schemas.openxmlformats.org/officeDocument/2006/relationships/ctrlProp" Target="../ctrlProps/ctrlProp114.xml"/><Relationship Id="rId44" Type="http://schemas.openxmlformats.org/officeDocument/2006/relationships/ctrlProp" Target="../ctrlProps/ctrlProp113.xml"/><Relationship Id="rId43" Type="http://schemas.openxmlformats.org/officeDocument/2006/relationships/ctrlProp" Target="../ctrlProps/ctrlProp112.xml"/><Relationship Id="rId42" Type="http://schemas.openxmlformats.org/officeDocument/2006/relationships/ctrlProp" Target="../ctrlProps/ctrlProp111.xml"/><Relationship Id="rId41" Type="http://schemas.openxmlformats.org/officeDocument/2006/relationships/ctrlProp" Target="../ctrlProps/ctrlProp110.xml"/><Relationship Id="rId40" Type="http://schemas.openxmlformats.org/officeDocument/2006/relationships/ctrlProp" Target="../ctrlProps/ctrlProp109.xml"/><Relationship Id="rId4" Type="http://schemas.openxmlformats.org/officeDocument/2006/relationships/ctrlProp" Target="../ctrlProps/ctrlProp73.xml"/><Relationship Id="rId39" Type="http://schemas.openxmlformats.org/officeDocument/2006/relationships/ctrlProp" Target="../ctrlProps/ctrlProp108.xml"/><Relationship Id="rId38" Type="http://schemas.openxmlformats.org/officeDocument/2006/relationships/ctrlProp" Target="../ctrlProps/ctrlProp107.xml"/><Relationship Id="rId37" Type="http://schemas.openxmlformats.org/officeDocument/2006/relationships/ctrlProp" Target="../ctrlProps/ctrlProp106.xml"/><Relationship Id="rId36" Type="http://schemas.openxmlformats.org/officeDocument/2006/relationships/ctrlProp" Target="../ctrlProps/ctrlProp105.xml"/><Relationship Id="rId35" Type="http://schemas.openxmlformats.org/officeDocument/2006/relationships/ctrlProp" Target="../ctrlProps/ctrlProp104.xml"/><Relationship Id="rId34" Type="http://schemas.openxmlformats.org/officeDocument/2006/relationships/ctrlProp" Target="../ctrlProps/ctrlProp103.xml"/><Relationship Id="rId33" Type="http://schemas.openxmlformats.org/officeDocument/2006/relationships/ctrlProp" Target="../ctrlProps/ctrlProp102.xml"/><Relationship Id="rId32" Type="http://schemas.openxmlformats.org/officeDocument/2006/relationships/ctrlProp" Target="../ctrlProps/ctrlProp101.xml"/><Relationship Id="rId31" Type="http://schemas.openxmlformats.org/officeDocument/2006/relationships/ctrlProp" Target="../ctrlProps/ctrlProp100.xml"/><Relationship Id="rId30" Type="http://schemas.openxmlformats.org/officeDocument/2006/relationships/ctrlProp" Target="../ctrlProps/ctrlProp99.xml"/><Relationship Id="rId3" Type="http://schemas.openxmlformats.org/officeDocument/2006/relationships/ctrlProp" Target="../ctrlProps/ctrlProp72.xml"/><Relationship Id="rId29" Type="http://schemas.openxmlformats.org/officeDocument/2006/relationships/ctrlProp" Target="../ctrlProps/ctrlProp98.xml"/><Relationship Id="rId28" Type="http://schemas.openxmlformats.org/officeDocument/2006/relationships/ctrlProp" Target="../ctrlProps/ctrlProp97.xml"/><Relationship Id="rId27" Type="http://schemas.openxmlformats.org/officeDocument/2006/relationships/ctrlProp" Target="../ctrlProps/ctrlProp96.xml"/><Relationship Id="rId26" Type="http://schemas.openxmlformats.org/officeDocument/2006/relationships/ctrlProp" Target="../ctrlProps/ctrlProp95.xml"/><Relationship Id="rId25" Type="http://schemas.openxmlformats.org/officeDocument/2006/relationships/ctrlProp" Target="../ctrlProps/ctrlProp94.xml"/><Relationship Id="rId24" Type="http://schemas.openxmlformats.org/officeDocument/2006/relationships/ctrlProp" Target="../ctrlProps/ctrlProp93.xml"/><Relationship Id="rId23" Type="http://schemas.openxmlformats.org/officeDocument/2006/relationships/ctrlProp" Target="../ctrlProps/ctrlProp92.xml"/><Relationship Id="rId22" Type="http://schemas.openxmlformats.org/officeDocument/2006/relationships/ctrlProp" Target="../ctrlProps/ctrlProp91.xml"/><Relationship Id="rId21" Type="http://schemas.openxmlformats.org/officeDocument/2006/relationships/ctrlProp" Target="../ctrlProps/ctrlProp90.xml"/><Relationship Id="rId20" Type="http://schemas.openxmlformats.org/officeDocument/2006/relationships/ctrlProp" Target="../ctrlProps/ctrlProp89.xml"/><Relationship Id="rId2" Type="http://schemas.openxmlformats.org/officeDocument/2006/relationships/vmlDrawing" Target="../drawings/vmlDrawing6.vml"/><Relationship Id="rId19" Type="http://schemas.openxmlformats.org/officeDocument/2006/relationships/ctrlProp" Target="../ctrlProps/ctrlProp88.xml"/><Relationship Id="rId18" Type="http://schemas.openxmlformats.org/officeDocument/2006/relationships/ctrlProp" Target="../ctrlProps/ctrlProp87.xml"/><Relationship Id="rId17" Type="http://schemas.openxmlformats.org/officeDocument/2006/relationships/ctrlProp" Target="../ctrlProps/ctrlProp86.xml"/><Relationship Id="rId16" Type="http://schemas.openxmlformats.org/officeDocument/2006/relationships/ctrlProp" Target="../ctrlProps/ctrlProp85.xml"/><Relationship Id="rId15" Type="http://schemas.openxmlformats.org/officeDocument/2006/relationships/ctrlProp" Target="../ctrlProps/ctrlProp84.xml"/><Relationship Id="rId14" Type="http://schemas.openxmlformats.org/officeDocument/2006/relationships/ctrlProp" Target="../ctrlProps/ctrlProp83.xml"/><Relationship Id="rId13" Type="http://schemas.openxmlformats.org/officeDocument/2006/relationships/ctrlProp" Target="../ctrlProps/ctrlProp82.xml"/><Relationship Id="rId12" Type="http://schemas.openxmlformats.org/officeDocument/2006/relationships/ctrlProp" Target="../ctrlProps/ctrlProp81.xml"/><Relationship Id="rId11" Type="http://schemas.openxmlformats.org/officeDocument/2006/relationships/ctrlProp" Target="../ctrlProps/ctrlProp80.xml"/><Relationship Id="rId10" Type="http://schemas.openxmlformats.org/officeDocument/2006/relationships/ctrlProp" Target="../ctrlProps/ctrlProp7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35"/>
  <sheetViews>
    <sheetView workbookViewId="0">
      <selection activeCell="AM28" sqref="AM28:AT28"/>
    </sheetView>
  </sheetViews>
  <sheetFormatPr defaultColWidth="9" defaultRowHeight="14.5"/>
  <cols>
    <col min="1" max="52" width="2.35454545454545" style="41" customWidth="1"/>
    <col min="53" max="16384" width="9" style="41"/>
  </cols>
  <sheetData>
    <row r="1" ht="17" customHeight="1" spans="1:47">
      <c r="A1" s="467" t="s">
        <v>0</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c r="AT1" s="467"/>
      <c r="AU1" s="467"/>
    </row>
    <row r="2" ht="17" customHeight="1"/>
    <row r="3" ht="17" customHeight="1" spans="1:47">
      <c r="B3" s="468" t="s">
        <v>1</v>
      </c>
      <c r="C3" s="468"/>
      <c r="D3" s="468"/>
      <c r="E3" s="469"/>
      <c r="F3" s="469"/>
      <c r="G3" s="469"/>
      <c r="H3" s="469"/>
      <c r="I3" s="469"/>
      <c r="J3" s="469"/>
      <c r="K3" s="469"/>
      <c r="L3" s="469"/>
      <c r="M3" s="469"/>
      <c r="N3" s="469"/>
      <c r="O3" s="469"/>
      <c r="P3" s="469"/>
      <c r="Q3" s="469"/>
      <c r="R3" s="469"/>
      <c r="S3" s="469"/>
      <c r="T3" s="469"/>
      <c r="U3" s="469"/>
      <c r="V3" s="469"/>
      <c r="W3" s="469"/>
      <c r="X3" s="469"/>
      <c r="Y3" s="469"/>
      <c r="Z3" s="469"/>
      <c r="AA3" s="469"/>
      <c r="AB3" s="469"/>
      <c r="AC3" s="469"/>
      <c r="AD3" s="469"/>
      <c r="AE3" s="469"/>
      <c r="AF3" s="469"/>
      <c r="AG3" s="469"/>
      <c r="AH3" s="469"/>
      <c r="AI3" s="469"/>
      <c r="AJ3" s="469"/>
      <c r="AK3" s="469"/>
      <c r="AM3" s="470"/>
      <c r="AN3" s="470"/>
      <c r="AO3" s="470"/>
      <c r="AP3" s="470"/>
      <c r="AQ3" s="470"/>
      <c r="AR3" s="470"/>
      <c r="AS3" s="470"/>
      <c r="AT3" s="470"/>
    </row>
    <row r="4" ht="17" customHeight="1" spans="1:47">
      <c r="B4" s="468"/>
      <c r="C4" s="468"/>
      <c r="D4" s="468"/>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M4" s="470"/>
      <c r="AN4" s="470"/>
      <c r="AO4" s="470"/>
      <c r="AP4" s="470"/>
      <c r="AQ4" s="470"/>
      <c r="AR4" s="470"/>
      <c r="AS4" s="470"/>
      <c r="AT4" s="470"/>
    </row>
    <row r="5" ht="17" customHeight="1" spans="1:47">
      <c r="B5" s="468" t="s">
        <v>2</v>
      </c>
      <c r="C5" s="468"/>
      <c r="D5" s="468"/>
      <c r="E5" s="469"/>
      <c r="F5" s="469"/>
      <c r="G5" s="469"/>
      <c r="H5" s="469"/>
      <c r="I5" s="469"/>
      <c r="J5" s="469"/>
      <c r="K5" s="469"/>
      <c r="L5" s="469"/>
      <c r="M5" s="469"/>
      <c r="N5" s="469"/>
      <c r="O5" s="469"/>
      <c r="P5" s="469"/>
      <c r="Q5" s="469"/>
      <c r="R5" s="469"/>
      <c r="S5" s="469"/>
      <c r="T5" s="469"/>
      <c r="U5" s="469"/>
      <c r="V5" s="469"/>
      <c r="W5" s="469"/>
      <c r="X5" s="469"/>
      <c r="Y5" s="469"/>
      <c r="Z5" s="469"/>
      <c r="AA5" s="469"/>
      <c r="AB5" s="469"/>
      <c r="AC5" s="469"/>
      <c r="AD5" s="469"/>
      <c r="AE5" s="469"/>
      <c r="AF5" s="469"/>
      <c r="AG5" s="469"/>
      <c r="AH5" s="469"/>
      <c r="AI5" s="469"/>
      <c r="AJ5" s="469"/>
      <c r="AK5" s="469"/>
      <c r="AM5" s="470"/>
      <c r="AN5" s="470"/>
      <c r="AO5" s="470"/>
      <c r="AP5" s="470"/>
      <c r="AQ5" s="470"/>
      <c r="AR5" s="470"/>
      <c r="AS5" s="470"/>
      <c r="AT5" s="470"/>
    </row>
    <row r="6" ht="17" customHeight="1" spans="1:47">
      <c r="B6" s="468" t="s">
        <v>3</v>
      </c>
      <c r="C6" s="468"/>
      <c r="D6" s="468"/>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M6" s="470"/>
      <c r="AN6" s="470"/>
      <c r="AO6" s="470"/>
      <c r="AP6" s="470"/>
      <c r="AQ6" s="470"/>
      <c r="AR6" s="470"/>
      <c r="AS6" s="470"/>
      <c r="AT6" s="470"/>
    </row>
    <row r="7" ht="17" customHeight="1" spans="1:47">
      <c r="B7" s="468" t="s">
        <v>4</v>
      </c>
      <c r="C7" s="468"/>
      <c r="D7" s="468"/>
      <c r="E7" s="469"/>
      <c r="F7" s="469"/>
      <c r="G7" s="469"/>
      <c r="H7" s="469"/>
      <c r="I7" s="469"/>
      <c r="J7" s="469"/>
      <c r="K7" s="469"/>
      <c r="L7" s="469"/>
      <c r="M7" s="469"/>
      <c r="N7" s="469"/>
      <c r="O7" s="469"/>
      <c r="P7" s="469"/>
      <c r="Q7" s="469"/>
      <c r="R7" s="469"/>
      <c r="S7" s="469"/>
      <c r="T7" s="469"/>
      <c r="U7" s="469"/>
      <c r="V7" s="469"/>
      <c r="W7" s="469"/>
      <c r="X7" s="469"/>
      <c r="Y7" s="469"/>
      <c r="Z7" s="469"/>
      <c r="AA7" s="469"/>
      <c r="AB7" s="469"/>
      <c r="AC7" s="469"/>
      <c r="AD7" s="469"/>
      <c r="AE7" s="469"/>
      <c r="AF7" s="469"/>
      <c r="AG7" s="469"/>
      <c r="AH7" s="469"/>
      <c r="AI7" s="469"/>
      <c r="AJ7" s="469"/>
      <c r="AK7" s="469"/>
      <c r="AM7" s="470"/>
      <c r="AN7" s="470"/>
      <c r="AO7" s="470"/>
      <c r="AP7" s="470"/>
      <c r="AQ7" s="470"/>
      <c r="AR7" s="470"/>
      <c r="AS7" s="470"/>
      <c r="AT7" s="470"/>
    </row>
    <row r="8" ht="17" customHeight="1" spans="1:47">
      <c r="AM8" s="470"/>
      <c r="AN8" s="470"/>
      <c r="AO8" s="470"/>
      <c r="AP8" s="470"/>
      <c r="AQ8" s="470"/>
      <c r="AR8" s="470"/>
      <c r="AS8" s="470"/>
      <c r="AT8" s="470"/>
    </row>
    <row r="9" ht="17" customHeight="1" spans="1:47">
      <c r="B9" s="468" t="s">
        <v>5</v>
      </c>
      <c r="C9" s="468"/>
      <c r="D9" s="468"/>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c r="AG9" s="472"/>
      <c r="AH9" s="472"/>
      <c r="AI9" s="472"/>
      <c r="AJ9" s="472"/>
      <c r="AK9" s="472"/>
      <c r="AM9" s="470"/>
      <c r="AN9" s="470"/>
      <c r="AO9" s="470"/>
      <c r="AP9" s="470"/>
      <c r="AQ9" s="470"/>
      <c r="AR9" s="470"/>
      <c r="AS9" s="470"/>
      <c r="AT9" s="470"/>
    </row>
    <row r="10" ht="17" customHeight="1" spans="1:47">
      <c r="B10" s="468"/>
      <c r="C10" s="468"/>
      <c r="D10" s="468"/>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c r="AG10" s="472"/>
      <c r="AH10" s="472"/>
      <c r="AI10" s="472"/>
      <c r="AJ10" s="472"/>
      <c r="AK10" s="472"/>
      <c r="AM10" s="470"/>
      <c r="AN10" s="470"/>
      <c r="AO10" s="470"/>
      <c r="AP10" s="470"/>
      <c r="AQ10" s="470"/>
      <c r="AR10" s="470"/>
      <c r="AS10" s="470"/>
      <c r="AT10" s="470"/>
    </row>
    <row r="11" ht="17" customHeight="1" spans="1:47">
      <c r="B11" s="468"/>
      <c r="C11" s="468"/>
      <c r="D11" s="468"/>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c r="AG11" s="472"/>
      <c r="AH11" s="472"/>
      <c r="AI11" s="472"/>
      <c r="AJ11" s="472"/>
      <c r="AK11" s="472"/>
      <c r="AM11" s="470"/>
      <c r="AN11" s="470"/>
      <c r="AO11" s="470"/>
      <c r="AP11" s="470"/>
      <c r="AQ11" s="470"/>
      <c r="AR11" s="470"/>
      <c r="AS11" s="470"/>
      <c r="AT11" s="470"/>
    </row>
    <row r="12" ht="17" customHeight="1" spans="1:47">
      <c r="AM12" s="470"/>
      <c r="AN12" s="470"/>
      <c r="AO12" s="470"/>
      <c r="AP12" s="470"/>
      <c r="AQ12" s="470"/>
      <c r="AR12" s="470"/>
      <c r="AS12" s="470"/>
      <c r="AT12" s="470"/>
    </row>
    <row r="13" ht="17" customHeight="1" spans="1:47">
      <c r="B13" s="468" t="s">
        <v>6</v>
      </c>
      <c r="C13" s="468"/>
      <c r="D13" s="468"/>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c r="AG13" s="472"/>
      <c r="AH13" s="472"/>
      <c r="AI13" s="472"/>
      <c r="AJ13" s="472"/>
      <c r="AK13" s="472"/>
      <c r="AM13" s="470"/>
      <c r="AN13" s="470"/>
      <c r="AO13" s="470"/>
      <c r="AP13" s="470"/>
      <c r="AQ13" s="470"/>
      <c r="AR13" s="470"/>
      <c r="AS13" s="470"/>
      <c r="AT13" s="470"/>
    </row>
    <row r="14" ht="17" customHeight="1" spans="1:47">
      <c r="B14" s="468"/>
      <c r="C14" s="468"/>
      <c r="D14" s="468"/>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c r="AG14" s="472"/>
      <c r="AH14" s="472"/>
      <c r="AI14" s="472"/>
      <c r="AJ14" s="472"/>
      <c r="AK14" s="472"/>
      <c r="AM14" s="470"/>
      <c r="AN14" s="470"/>
      <c r="AO14" s="470"/>
      <c r="AP14" s="470"/>
      <c r="AQ14" s="470"/>
      <c r="AR14" s="470"/>
      <c r="AS14" s="470"/>
      <c r="AT14" s="470"/>
    </row>
    <row r="15" ht="17" customHeight="1" spans="1:47">
      <c r="B15" s="468"/>
      <c r="C15" s="468"/>
      <c r="D15" s="468"/>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c r="AG15" s="472"/>
      <c r="AH15" s="472"/>
      <c r="AI15" s="472"/>
      <c r="AJ15" s="472"/>
      <c r="AK15" s="472"/>
      <c r="AM15" s="468" t="s">
        <v>7</v>
      </c>
      <c r="AN15" s="468"/>
      <c r="AO15" s="468"/>
      <c r="AP15" s="468"/>
      <c r="AQ15" s="468"/>
      <c r="AR15" s="468"/>
      <c r="AS15" s="468"/>
      <c r="AT15" s="468"/>
    </row>
    <row r="16" ht="17" customHeight="1"/>
    <row r="17" ht="17" customHeight="1" spans="2:46">
      <c r="B17" s="468" t="s">
        <v>8</v>
      </c>
      <c r="C17" s="468"/>
      <c r="D17" s="468"/>
      <c r="E17" s="473"/>
      <c r="F17" s="474"/>
      <c r="G17" s="474"/>
      <c r="H17" s="474"/>
      <c r="I17" s="474"/>
      <c r="J17" s="474"/>
      <c r="K17" s="474"/>
      <c r="L17" s="474"/>
      <c r="M17" s="474"/>
      <c r="N17" s="474"/>
      <c r="O17" s="474"/>
      <c r="P17" s="474"/>
      <c r="Q17" s="474"/>
      <c r="R17" s="474"/>
      <c r="S17" s="474"/>
      <c r="T17" s="474"/>
      <c r="U17" s="474"/>
      <c r="V17" s="474"/>
      <c r="W17" s="474"/>
      <c r="X17" s="474"/>
      <c r="Y17" s="474"/>
      <c r="Z17" s="474"/>
      <c r="AA17" s="474"/>
      <c r="AB17" s="474"/>
      <c r="AC17" s="474"/>
      <c r="AD17" s="474"/>
      <c r="AE17" s="474"/>
      <c r="AF17" s="474"/>
      <c r="AG17" s="474"/>
      <c r="AH17" s="474"/>
      <c r="AI17" s="474"/>
      <c r="AJ17" s="474"/>
      <c r="AK17" s="475"/>
      <c r="AM17" s="468" t="s">
        <v>9</v>
      </c>
      <c r="AN17" s="468"/>
      <c r="AO17" s="468"/>
      <c r="AP17" s="470"/>
      <c r="AQ17" s="470"/>
      <c r="AR17" s="470"/>
      <c r="AS17" s="470"/>
      <c r="AT17" s="470"/>
    </row>
    <row r="18" ht="17" customHeight="1" spans="2:46">
      <c r="B18" s="468"/>
      <c r="C18" s="468"/>
      <c r="D18" s="468"/>
      <c r="E18" s="476"/>
      <c r="F18" s="477"/>
      <c r="G18" s="477"/>
      <c r="H18" s="477"/>
      <c r="I18" s="477"/>
      <c r="J18" s="477"/>
      <c r="K18" s="477"/>
      <c r="L18" s="477"/>
      <c r="M18" s="477"/>
      <c r="N18" s="477"/>
      <c r="O18" s="477"/>
      <c r="P18" s="477"/>
      <c r="Q18" s="477"/>
      <c r="R18" s="477"/>
      <c r="S18" s="477"/>
      <c r="T18" s="477"/>
      <c r="U18" s="477"/>
      <c r="V18" s="477"/>
      <c r="W18" s="477"/>
      <c r="X18" s="477"/>
      <c r="Y18" s="477"/>
      <c r="Z18" s="477"/>
      <c r="AA18" s="477"/>
      <c r="AB18" s="477"/>
      <c r="AC18" s="477"/>
      <c r="AD18" s="477"/>
      <c r="AE18" s="477"/>
      <c r="AF18" s="477"/>
      <c r="AG18" s="477"/>
      <c r="AH18" s="477"/>
      <c r="AI18" s="477"/>
      <c r="AJ18" s="477"/>
      <c r="AK18" s="478"/>
      <c r="AM18" s="468" t="s">
        <v>10</v>
      </c>
      <c r="AN18" s="468"/>
      <c r="AO18" s="468"/>
      <c r="AP18" s="479"/>
      <c r="AQ18" s="479"/>
      <c r="AR18" s="479"/>
      <c r="AS18" s="479"/>
      <c r="AT18" s="479"/>
    </row>
    <row r="19" ht="17" customHeight="1" spans="2:46">
      <c r="B19" s="468"/>
      <c r="C19" s="468"/>
      <c r="D19" s="468"/>
      <c r="E19" s="476"/>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E19" s="477"/>
      <c r="AF19" s="477"/>
      <c r="AG19" s="477"/>
      <c r="AH19" s="477"/>
      <c r="AI19" s="477"/>
      <c r="AJ19" s="477"/>
      <c r="AK19" s="478"/>
    </row>
    <row r="20" ht="17" customHeight="1" spans="2:46">
      <c r="E20" s="476"/>
      <c r="F20" s="477"/>
      <c r="G20" s="477"/>
      <c r="H20" s="477"/>
      <c r="I20" s="477"/>
      <c r="J20" s="477"/>
      <c r="K20" s="477"/>
      <c r="L20" s="477"/>
      <c r="M20" s="477"/>
      <c r="N20" s="477"/>
      <c r="O20" s="477"/>
      <c r="P20" s="477"/>
      <c r="Q20" s="477"/>
      <c r="R20" s="477"/>
      <c r="S20" s="477"/>
      <c r="T20" s="477"/>
      <c r="U20" s="477"/>
      <c r="V20" s="477"/>
      <c r="W20" s="477"/>
      <c r="X20" s="477"/>
      <c r="Y20" s="477"/>
      <c r="Z20" s="477"/>
      <c r="AA20" s="477"/>
      <c r="AB20" s="477"/>
      <c r="AC20" s="477"/>
      <c r="AD20" s="477"/>
      <c r="AE20" s="477"/>
      <c r="AF20" s="477"/>
      <c r="AG20" s="477"/>
      <c r="AH20" s="477"/>
      <c r="AI20" s="477"/>
      <c r="AJ20" s="477"/>
      <c r="AK20" s="478"/>
      <c r="AM20" s="468" t="s">
        <v>11</v>
      </c>
      <c r="AN20" s="468"/>
      <c r="AO20" s="468"/>
      <c r="AP20" s="468"/>
      <c r="AQ20" s="468"/>
      <c r="AR20" s="468"/>
      <c r="AS20" s="468"/>
      <c r="AT20" s="468"/>
    </row>
    <row r="21" ht="17" customHeight="1" spans="2:46">
      <c r="E21" s="476"/>
      <c r="F21" s="477"/>
      <c r="G21" s="477"/>
      <c r="H21" s="477"/>
      <c r="I21" s="477"/>
      <c r="J21" s="477"/>
      <c r="K21" s="477"/>
      <c r="L21" s="477"/>
      <c r="M21" s="477"/>
      <c r="N21" s="477"/>
      <c r="O21" s="477"/>
      <c r="P21" s="477"/>
      <c r="Q21" s="477"/>
      <c r="R21" s="477"/>
      <c r="S21" s="477"/>
      <c r="T21" s="477"/>
      <c r="U21" s="477"/>
      <c r="V21" s="477"/>
      <c r="W21" s="477"/>
      <c r="X21" s="477"/>
      <c r="Y21" s="477"/>
      <c r="Z21" s="477"/>
      <c r="AA21" s="477"/>
      <c r="AB21" s="477"/>
      <c r="AC21" s="477"/>
      <c r="AD21" s="477"/>
      <c r="AE21" s="477"/>
      <c r="AF21" s="477"/>
      <c r="AG21" s="477"/>
      <c r="AH21" s="477"/>
      <c r="AI21" s="477"/>
      <c r="AJ21" s="477"/>
      <c r="AK21" s="478"/>
      <c r="AM21" s="480"/>
      <c r="AN21" s="481"/>
      <c r="AO21" s="481"/>
      <c r="AP21" s="481"/>
      <c r="AQ21" s="481"/>
      <c r="AR21" s="481"/>
      <c r="AS21" s="481"/>
      <c r="AT21" s="482"/>
    </row>
    <row r="22" ht="17" customHeight="1" spans="2:46">
      <c r="E22" s="476"/>
      <c r="F22" s="477"/>
      <c r="G22" s="477"/>
      <c r="H22" s="477"/>
      <c r="I22" s="477"/>
      <c r="J22" s="477"/>
      <c r="K22" s="477"/>
      <c r="L22" s="477"/>
      <c r="M22" s="477"/>
      <c r="N22" s="477"/>
      <c r="O22" s="477"/>
      <c r="P22" s="477"/>
      <c r="Q22" s="477"/>
      <c r="R22" s="477"/>
      <c r="S22" s="477"/>
      <c r="T22" s="477"/>
      <c r="U22" s="477"/>
      <c r="V22" s="477"/>
      <c r="W22" s="477"/>
      <c r="X22" s="477"/>
      <c r="Y22" s="477"/>
      <c r="Z22" s="477"/>
      <c r="AA22" s="477"/>
      <c r="AB22" s="477"/>
      <c r="AC22" s="477"/>
      <c r="AD22" s="477"/>
      <c r="AE22" s="477"/>
      <c r="AF22" s="477"/>
      <c r="AG22" s="477"/>
      <c r="AH22" s="477"/>
      <c r="AI22" s="477"/>
      <c r="AJ22" s="477"/>
      <c r="AK22" s="478"/>
      <c r="AM22" s="483"/>
      <c r="AN22" s="484"/>
      <c r="AO22" s="484"/>
      <c r="AP22" s="484"/>
      <c r="AQ22" s="484"/>
      <c r="AR22" s="484"/>
      <c r="AS22" s="484"/>
      <c r="AT22" s="485"/>
    </row>
    <row r="23" ht="17" customHeight="1" spans="2:46">
      <c r="E23" s="476"/>
      <c r="F23" s="477"/>
      <c r="G23" s="477"/>
      <c r="H23" s="477"/>
      <c r="I23" s="477"/>
      <c r="J23" s="477"/>
      <c r="K23" s="477"/>
      <c r="L23" s="477"/>
      <c r="M23" s="477"/>
      <c r="N23" s="477"/>
      <c r="O23" s="477"/>
      <c r="P23" s="477"/>
      <c r="Q23" s="477"/>
      <c r="R23" s="477"/>
      <c r="S23" s="477"/>
      <c r="T23" s="477"/>
      <c r="U23" s="477"/>
      <c r="V23" s="477"/>
      <c r="W23" s="477"/>
      <c r="X23" s="477"/>
      <c r="Y23" s="477"/>
      <c r="Z23" s="477"/>
      <c r="AA23" s="477"/>
      <c r="AB23" s="477"/>
      <c r="AC23" s="477"/>
      <c r="AD23" s="477"/>
      <c r="AE23" s="477"/>
      <c r="AF23" s="477"/>
      <c r="AG23" s="477"/>
      <c r="AH23" s="477"/>
      <c r="AI23" s="477"/>
      <c r="AJ23" s="477"/>
      <c r="AK23" s="478"/>
      <c r="AM23" s="480"/>
      <c r="AN23" s="481"/>
      <c r="AO23" s="481"/>
      <c r="AP23" s="481"/>
      <c r="AQ23" s="481"/>
      <c r="AR23" s="481"/>
      <c r="AS23" s="481"/>
      <c r="AT23" s="482"/>
    </row>
    <row r="24" ht="17" customHeight="1" spans="2:46">
      <c r="E24" s="476"/>
      <c r="F24" s="477"/>
      <c r="G24" s="477"/>
      <c r="H24" s="477"/>
      <c r="I24" s="477"/>
      <c r="J24" s="477"/>
      <c r="K24" s="477"/>
      <c r="L24" s="477"/>
      <c r="M24" s="477"/>
      <c r="N24" s="477"/>
      <c r="O24" s="477"/>
      <c r="P24" s="477"/>
      <c r="Q24" s="477"/>
      <c r="R24" s="477"/>
      <c r="S24" s="477"/>
      <c r="T24" s="477"/>
      <c r="U24" s="477"/>
      <c r="V24" s="477"/>
      <c r="W24" s="477"/>
      <c r="X24" s="477"/>
      <c r="Y24" s="477"/>
      <c r="Z24" s="477"/>
      <c r="AA24" s="477"/>
      <c r="AB24" s="477"/>
      <c r="AC24" s="477"/>
      <c r="AD24" s="477"/>
      <c r="AE24" s="477"/>
      <c r="AF24" s="477"/>
      <c r="AG24" s="477"/>
      <c r="AH24" s="477"/>
      <c r="AI24" s="477"/>
      <c r="AJ24" s="477"/>
      <c r="AK24" s="478"/>
      <c r="AM24" s="483"/>
      <c r="AN24" s="484"/>
      <c r="AO24" s="484"/>
      <c r="AP24" s="484"/>
      <c r="AQ24" s="484"/>
      <c r="AR24" s="484"/>
      <c r="AS24" s="484"/>
      <c r="AT24" s="485"/>
    </row>
    <row r="25" ht="17" customHeight="1" spans="2:46">
      <c r="E25" s="476"/>
      <c r="F25" s="477"/>
      <c r="G25" s="477"/>
      <c r="H25" s="477"/>
      <c r="I25" s="477"/>
      <c r="J25" s="477"/>
      <c r="K25" s="477"/>
      <c r="L25" s="477"/>
      <c r="M25" s="477"/>
      <c r="N25" s="477"/>
      <c r="O25" s="477"/>
      <c r="P25" s="477"/>
      <c r="Q25" s="477"/>
      <c r="R25" s="477"/>
      <c r="S25" s="477"/>
      <c r="T25" s="477"/>
      <c r="U25" s="477"/>
      <c r="V25" s="477"/>
      <c r="W25" s="477"/>
      <c r="X25" s="477"/>
      <c r="Y25" s="477"/>
      <c r="Z25" s="477"/>
      <c r="AA25" s="477"/>
      <c r="AB25" s="477"/>
      <c r="AC25" s="477"/>
      <c r="AD25" s="477"/>
      <c r="AE25" s="477"/>
      <c r="AF25" s="477"/>
      <c r="AG25" s="477"/>
      <c r="AH25" s="477"/>
      <c r="AI25" s="477"/>
      <c r="AJ25" s="477"/>
      <c r="AK25" s="478"/>
      <c r="AM25" s="480"/>
      <c r="AN25" s="481"/>
      <c r="AO25" s="481"/>
      <c r="AP25" s="481"/>
      <c r="AQ25" s="481"/>
      <c r="AR25" s="481"/>
      <c r="AS25" s="481"/>
      <c r="AT25" s="482"/>
    </row>
    <row r="26" ht="17" customHeight="1" spans="2:46">
      <c r="E26" s="476"/>
      <c r="F26" s="477"/>
      <c r="G26" s="477"/>
      <c r="H26" s="477"/>
      <c r="I26" s="477"/>
      <c r="J26" s="477"/>
      <c r="K26" s="477"/>
      <c r="L26" s="477"/>
      <c r="M26" s="477"/>
      <c r="N26" s="477"/>
      <c r="O26" s="477"/>
      <c r="P26" s="477"/>
      <c r="Q26" s="477"/>
      <c r="R26" s="477"/>
      <c r="S26" s="477"/>
      <c r="T26" s="477"/>
      <c r="U26" s="477"/>
      <c r="V26" s="477"/>
      <c r="W26" s="477"/>
      <c r="X26" s="477"/>
      <c r="Y26" s="477"/>
      <c r="Z26" s="477"/>
      <c r="AA26" s="477"/>
      <c r="AB26" s="477"/>
      <c r="AC26" s="477"/>
      <c r="AD26" s="477"/>
      <c r="AE26" s="477"/>
      <c r="AF26" s="477"/>
      <c r="AG26" s="477"/>
      <c r="AH26" s="477"/>
      <c r="AI26" s="477"/>
      <c r="AJ26" s="477"/>
      <c r="AK26" s="478"/>
    </row>
    <row r="27" ht="17" customHeight="1" spans="2:46">
      <c r="E27" s="476"/>
      <c r="F27" s="477"/>
      <c r="G27" s="477"/>
      <c r="H27" s="477"/>
      <c r="I27" s="477"/>
      <c r="J27" s="477"/>
      <c r="K27" s="477"/>
      <c r="L27" s="477"/>
      <c r="M27" s="477"/>
      <c r="N27" s="477"/>
      <c r="O27" s="477"/>
      <c r="P27" s="477"/>
      <c r="Q27" s="477"/>
      <c r="R27" s="477"/>
      <c r="S27" s="477"/>
      <c r="T27" s="477"/>
      <c r="U27" s="477"/>
      <c r="V27" s="477"/>
      <c r="W27" s="477"/>
      <c r="X27" s="477"/>
      <c r="Y27" s="477"/>
      <c r="Z27" s="477"/>
      <c r="AA27" s="477"/>
      <c r="AB27" s="477"/>
      <c r="AC27" s="477"/>
      <c r="AD27" s="477"/>
      <c r="AE27" s="477"/>
      <c r="AF27" s="477"/>
      <c r="AG27" s="477"/>
      <c r="AH27" s="477"/>
      <c r="AI27" s="477"/>
      <c r="AJ27" s="477"/>
      <c r="AK27" s="478"/>
      <c r="AM27" s="468" t="s">
        <v>12</v>
      </c>
      <c r="AN27" s="468"/>
      <c r="AO27" s="468"/>
      <c r="AP27" s="468"/>
      <c r="AQ27" s="468"/>
      <c r="AR27" s="468"/>
      <c r="AS27" s="468"/>
      <c r="AT27" s="468"/>
    </row>
    <row r="28" ht="17" customHeight="1" spans="2:46">
      <c r="E28" s="476"/>
      <c r="F28" s="477"/>
      <c r="G28" s="477"/>
      <c r="H28" s="477"/>
      <c r="I28" s="477"/>
      <c r="J28" s="477"/>
      <c r="K28" s="477"/>
      <c r="L28" s="477"/>
      <c r="M28" s="477"/>
      <c r="N28" s="477"/>
      <c r="O28" s="477"/>
      <c r="P28" s="477"/>
      <c r="Q28" s="477"/>
      <c r="R28" s="477"/>
      <c r="S28" s="477"/>
      <c r="T28" s="477"/>
      <c r="U28" s="477"/>
      <c r="V28" s="477"/>
      <c r="W28" s="477"/>
      <c r="X28" s="477"/>
      <c r="Y28" s="477"/>
      <c r="Z28" s="477"/>
      <c r="AA28" s="477"/>
      <c r="AB28" s="477"/>
      <c r="AC28" s="477"/>
      <c r="AD28" s="477"/>
      <c r="AE28" s="477"/>
      <c r="AF28" s="477"/>
      <c r="AG28" s="477"/>
      <c r="AH28" s="477"/>
      <c r="AI28" s="477"/>
      <c r="AJ28" s="477"/>
      <c r="AK28" s="478"/>
      <c r="AM28" s="480"/>
      <c r="AN28" s="481"/>
      <c r="AO28" s="481"/>
      <c r="AP28" s="481"/>
      <c r="AQ28" s="481"/>
      <c r="AR28" s="481"/>
      <c r="AS28" s="481"/>
      <c r="AT28" s="482"/>
    </row>
    <row r="29" ht="17" customHeight="1" spans="2:46">
      <c r="E29" s="476"/>
      <c r="F29" s="477"/>
      <c r="G29" s="477"/>
      <c r="H29" s="477"/>
      <c r="I29" s="477"/>
      <c r="J29" s="477"/>
      <c r="K29" s="477"/>
      <c r="L29" s="477"/>
      <c r="M29" s="477"/>
      <c r="N29" s="477"/>
      <c r="O29" s="477"/>
      <c r="P29" s="477"/>
      <c r="Q29" s="477"/>
      <c r="R29" s="477"/>
      <c r="S29" s="477"/>
      <c r="T29" s="477"/>
      <c r="U29" s="477"/>
      <c r="V29" s="477"/>
      <c r="W29" s="477"/>
      <c r="X29" s="477"/>
      <c r="Y29" s="477"/>
      <c r="Z29" s="477"/>
      <c r="AA29" s="477"/>
      <c r="AB29" s="477"/>
      <c r="AC29" s="477"/>
      <c r="AD29" s="477"/>
      <c r="AE29" s="477"/>
      <c r="AF29" s="477"/>
      <c r="AG29" s="477"/>
      <c r="AH29" s="477"/>
      <c r="AI29" s="477"/>
      <c r="AJ29" s="477"/>
      <c r="AK29" s="478"/>
      <c r="AM29" s="483"/>
      <c r="AN29" s="484"/>
      <c r="AO29" s="484"/>
      <c r="AP29" s="484"/>
      <c r="AQ29" s="484"/>
      <c r="AR29" s="484"/>
      <c r="AS29" s="484"/>
      <c r="AT29" s="485"/>
    </row>
    <row r="30" ht="17" customHeight="1" spans="2:46">
      <c r="E30" s="476"/>
      <c r="F30" s="477"/>
      <c r="G30" s="477"/>
      <c r="H30" s="477"/>
      <c r="I30" s="477"/>
      <c r="J30" s="477"/>
      <c r="K30" s="477"/>
      <c r="L30" s="477"/>
      <c r="M30" s="477"/>
      <c r="N30" s="477"/>
      <c r="O30" s="477"/>
      <c r="P30" s="477"/>
      <c r="Q30" s="477"/>
      <c r="R30" s="477"/>
      <c r="S30" s="477"/>
      <c r="T30" s="477"/>
      <c r="U30" s="477"/>
      <c r="V30" s="477"/>
      <c r="W30" s="477"/>
      <c r="X30" s="477"/>
      <c r="Y30" s="477"/>
      <c r="Z30" s="477"/>
      <c r="AA30" s="477"/>
      <c r="AB30" s="477"/>
      <c r="AC30" s="477"/>
      <c r="AD30" s="477"/>
      <c r="AE30" s="477"/>
      <c r="AF30" s="477"/>
      <c r="AG30" s="477"/>
      <c r="AH30" s="477"/>
      <c r="AI30" s="477"/>
      <c r="AJ30" s="477"/>
      <c r="AK30" s="478"/>
      <c r="AM30" s="480"/>
      <c r="AN30" s="481"/>
      <c r="AO30" s="481"/>
      <c r="AP30" s="481"/>
      <c r="AQ30" s="481"/>
      <c r="AR30" s="481"/>
      <c r="AS30" s="481"/>
      <c r="AT30" s="482"/>
    </row>
    <row r="31" ht="17" customHeight="1" spans="2:46">
      <c r="E31" s="476"/>
      <c r="F31" s="477"/>
      <c r="G31" s="477"/>
      <c r="H31" s="477"/>
      <c r="I31" s="477"/>
      <c r="J31" s="477"/>
      <c r="K31" s="477"/>
      <c r="L31" s="477"/>
      <c r="M31" s="477"/>
      <c r="N31" s="477"/>
      <c r="O31" s="477"/>
      <c r="P31" s="477"/>
      <c r="Q31" s="477"/>
      <c r="R31" s="477"/>
      <c r="S31" s="477"/>
      <c r="T31" s="477"/>
      <c r="U31" s="477"/>
      <c r="V31" s="477"/>
      <c r="W31" s="477"/>
      <c r="X31" s="477"/>
      <c r="Y31" s="477"/>
      <c r="Z31" s="477"/>
      <c r="AA31" s="477"/>
      <c r="AB31" s="477"/>
      <c r="AC31" s="477"/>
      <c r="AD31" s="477"/>
      <c r="AE31" s="477"/>
      <c r="AF31" s="477"/>
      <c r="AG31" s="477"/>
      <c r="AH31" s="477"/>
      <c r="AI31" s="477"/>
      <c r="AJ31" s="477"/>
      <c r="AK31" s="478"/>
      <c r="AM31" s="483"/>
      <c r="AN31" s="484"/>
      <c r="AO31" s="484"/>
      <c r="AP31" s="484"/>
      <c r="AQ31" s="484"/>
      <c r="AR31" s="484"/>
      <c r="AS31" s="484"/>
      <c r="AT31" s="485"/>
    </row>
    <row r="32" ht="17" customHeight="1" spans="2:46">
      <c r="E32" s="486"/>
      <c r="F32" s="487"/>
      <c r="G32" s="487"/>
      <c r="H32" s="487"/>
      <c r="I32" s="487"/>
      <c r="J32" s="487"/>
      <c r="K32" s="487"/>
      <c r="L32" s="487"/>
      <c r="M32" s="487"/>
      <c r="N32" s="487"/>
      <c r="O32" s="487"/>
      <c r="P32" s="487"/>
      <c r="Q32" s="487"/>
      <c r="R32" s="487"/>
      <c r="S32" s="487"/>
      <c r="T32" s="487"/>
      <c r="U32" s="487"/>
      <c r="V32" s="487"/>
      <c r="W32" s="487"/>
      <c r="X32" s="487"/>
      <c r="Y32" s="487"/>
      <c r="Z32" s="487"/>
      <c r="AA32" s="487"/>
      <c r="AB32" s="487"/>
      <c r="AC32" s="487"/>
      <c r="AD32" s="487"/>
      <c r="AE32" s="487"/>
      <c r="AF32" s="487"/>
      <c r="AG32" s="487"/>
      <c r="AH32" s="487"/>
      <c r="AI32" s="487"/>
      <c r="AJ32" s="487"/>
      <c r="AK32" s="488"/>
      <c r="AM32" s="480"/>
      <c r="AN32" s="481"/>
      <c r="AO32" s="481"/>
      <c r="AP32" s="481"/>
      <c r="AQ32" s="481"/>
      <c r="AR32" s="481"/>
      <c r="AS32" s="481"/>
      <c r="AT32" s="482"/>
    </row>
    <row r="33" ht="17" customHeight="1"/>
    <row r="34" ht="17" customHeight="1"/>
    <row r="35" ht="17" customHeight="1"/>
  </sheetData>
  <sheetProtection sheet="1" selectLockedCells="1"/>
  <mergeCells count="34">
    <mergeCell ref="A1:AU1"/>
    <mergeCell ref="E3:AK3"/>
    <mergeCell ref="E4:AK4"/>
    <mergeCell ref="B5:D5"/>
    <mergeCell ref="E5:AK5"/>
    <mergeCell ref="B6:D6"/>
    <mergeCell ref="E6:AK6"/>
    <mergeCell ref="B7:D7"/>
    <mergeCell ref="E7:AK7"/>
    <mergeCell ref="AM15:AT15"/>
    <mergeCell ref="AM17:AO17"/>
    <mergeCell ref="AP17:AT17"/>
    <mergeCell ref="AM18:AO18"/>
    <mergeCell ref="AP18:AT18"/>
    <mergeCell ref="AM20:AT20"/>
    <mergeCell ref="AM21:AT21"/>
    <mergeCell ref="AM22:AT22"/>
    <mergeCell ref="AM23:AT23"/>
    <mergeCell ref="AM24:AT24"/>
    <mergeCell ref="AM25:AT25"/>
    <mergeCell ref="AM27:AT27"/>
    <mergeCell ref="AM28:AT28"/>
    <mergeCell ref="AM29:AT29"/>
    <mergeCell ref="AM30:AT30"/>
    <mergeCell ref="AM31:AT31"/>
    <mergeCell ref="AM32:AT32"/>
    <mergeCell ref="B3:D4"/>
    <mergeCell ref="B9:D11"/>
    <mergeCell ref="E9:AK11"/>
    <mergeCell ref="B13:D15"/>
    <mergeCell ref="E13:AK15"/>
    <mergeCell ref="B17:D19"/>
    <mergeCell ref="E17:AK32"/>
    <mergeCell ref="AM3:AT14"/>
  </mergeCells>
  <dataValidations count="1">
    <dataValidation type="list" allowBlank="1" showInputMessage="1" sqref="AM28:AT32">
      <formula1>法术书目录!$P$96:$P$136</formula1>
    </dataValidation>
  </dataValidation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BR144"/>
  <sheetViews>
    <sheetView showGridLines="0" tabSelected="1" workbookViewId="0">
      <selection activeCell="AC11" sqref="AC11:AE12"/>
    </sheetView>
  </sheetViews>
  <sheetFormatPr defaultColWidth="9" defaultRowHeight="14.5"/>
  <cols>
    <col min="1" max="70" width="2.35454545454545" style="45" customWidth="1"/>
    <col min="71" max="16384" width="9" style="3"/>
  </cols>
  <sheetData>
    <row r="1" ht="17" customHeight="1" spans="1:46">
      <c r="A1" s="298"/>
      <c r="B1" s="298"/>
      <c r="C1" s="298"/>
      <c r="D1" s="298"/>
      <c r="E1" s="298"/>
      <c r="F1" s="298"/>
      <c r="G1" s="298"/>
      <c r="H1" s="298"/>
      <c r="I1" s="298"/>
      <c r="J1" s="298"/>
      <c r="K1" s="298"/>
      <c r="L1" s="298"/>
      <c r="M1" s="298"/>
      <c r="N1" s="298"/>
      <c r="O1" s="42" t="s">
        <v>13</v>
      </c>
      <c r="P1" s="42"/>
      <c r="Q1" s="42"/>
      <c r="R1" s="42"/>
      <c r="S1" s="42"/>
      <c r="T1" s="42"/>
      <c r="U1" s="42"/>
      <c r="V1" s="42"/>
      <c r="W1" s="42"/>
      <c r="X1" s="42"/>
      <c r="Y1" s="42"/>
      <c r="Z1" s="42"/>
      <c r="AA1" s="42"/>
      <c r="AB1" s="42"/>
      <c r="AC1" s="42"/>
      <c r="AD1" s="42"/>
      <c r="AE1" s="42"/>
      <c r="AF1" s="42"/>
      <c r="AG1" s="298" t="s">
        <v>14</v>
      </c>
      <c r="AH1" s="298"/>
      <c r="AI1" s="298"/>
      <c r="AJ1" s="298"/>
      <c r="AK1" s="298"/>
      <c r="AL1" s="298"/>
      <c r="AM1" s="298"/>
      <c r="AN1" s="298"/>
      <c r="AO1" s="298"/>
      <c r="AP1" s="298"/>
      <c r="AQ1" s="298"/>
      <c r="AR1" s="298"/>
      <c r="AS1" s="298"/>
      <c r="AT1" s="298"/>
    </row>
    <row r="2" ht="17" customHeight="1" spans="1:46">
      <c r="Y2" s="47" t="s">
        <v>15</v>
      </c>
      <c r="Z2" s="47"/>
    </row>
    <row r="3" ht="17" customHeight="1" spans="1:46">
      <c r="B3" s="43" t="s">
        <v>16</v>
      </c>
      <c r="C3" s="43"/>
      <c r="D3" s="43"/>
      <c r="E3" s="49"/>
      <c r="F3" s="49"/>
      <c r="G3" s="49"/>
      <c r="H3" s="49"/>
      <c r="I3" s="49"/>
      <c r="J3" s="49"/>
      <c r="K3" s="49"/>
      <c r="L3" s="49"/>
      <c r="M3" s="49"/>
      <c r="N3" s="49"/>
      <c r="P3" s="43" t="s">
        <v>17</v>
      </c>
      <c r="Q3" s="43"/>
      <c r="R3" s="43"/>
      <c r="S3" s="299"/>
      <c r="T3" s="299"/>
      <c r="U3" s="299"/>
      <c r="V3" s="299"/>
      <c r="W3" s="299"/>
      <c r="X3" s="299"/>
      <c r="Y3" s="49"/>
      <c r="Z3" s="49"/>
      <c r="AA3" s="300" t="s">
        <v>18</v>
      </c>
      <c r="AB3" s="43" t="s">
        <v>19</v>
      </c>
      <c r="AC3" s="43"/>
      <c r="AD3" s="301">
        <f>IF(Y3&lt;5,2,IF(Y3&lt;9,3,IF(Y3&lt;13,4,IF(Y3&lt;17,5,6))))</f>
        <v>2</v>
      </c>
      <c r="AE3" s="301"/>
      <c r="AF3" s="301"/>
      <c r="AH3" s="302"/>
      <c r="AI3" s="302"/>
      <c r="AJ3" s="302"/>
      <c r="AK3" s="302"/>
      <c r="AL3" s="302"/>
      <c r="AM3" s="302"/>
      <c r="AN3" s="302"/>
      <c r="AO3" s="302"/>
      <c r="AP3" s="302"/>
      <c r="AQ3" s="302"/>
      <c r="AR3" s="302"/>
      <c r="AS3" s="302"/>
    </row>
    <row r="4" ht="17" customHeight="1" spans="1:46">
      <c r="B4" s="43" t="s">
        <v>20</v>
      </c>
      <c r="C4" s="43"/>
      <c r="D4" s="43"/>
      <c r="E4" s="49"/>
      <c r="F4" s="49"/>
      <c r="G4" s="49"/>
      <c r="H4" s="49"/>
      <c r="I4" s="49"/>
      <c r="J4" s="49"/>
      <c r="K4" s="49"/>
      <c r="L4" s="49"/>
      <c r="M4" s="49"/>
      <c r="N4" s="49"/>
      <c r="P4" s="43" t="s">
        <v>21</v>
      </c>
      <c r="Q4" s="43"/>
      <c r="R4" s="43"/>
      <c r="S4" s="303"/>
      <c r="T4" s="304"/>
      <c r="U4" s="304"/>
      <c r="V4" s="304"/>
      <c r="W4" s="304"/>
      <c r="X4" s="304"/>
      <c r="Y4" s="305" t="str">
        <f>IF(S4="","","Lv")</f>
        <v/>
      </c>
      <c r="Z4" s="306" t="str">
        <f>IF(S4="","",VLOOKUP($S$4,法术书目录!$O$24:$P$43,2,TRUE))</f>
        <v/>
      </c>
      <c r="AB4" s="43"/>
      <c r="AC4" s="43"/>
      <c r="AD4" s="301"/>
      <c r="AE4" s="301"/>
      <c r="AF4" s="301"/>
      <c r="AH4" s="302"/>
      <c r="AI4" s="302"/>
      <c r="AJ4" s="302"/>
      <c r="AK4" s="302"/>
      <c r="AL4" s="302"/>
      <c r="AM4" s="302"/>
      <c r="AN4" s="302"/>
      <c r="AO4" s="302"/>
      <c r="AP4" s="302"/>
      <c r="AQ4" s="302"/>
      <c r="AR4" s="302"/>
      <c r="AS4" s="302"/>
    </row>
    <row r="5" ht="8" customHeight="1" spans="1:46">
      <c r="AH5" s="302"/>
      <c r="AI5" s="302"/>
      <c r="AJ5" s="302"/>
      <c r="AK5" s="302"/>
      <c r="AL5" s="302"/>
      <c r="AM5" s="302"/>
      <c r="AN5" s="302"/>
      <c r="AO5" s="302"/>
      <c r="AP5" s="302"/>
      <c r="AQ5" s="302"/>
      <c r="AR5" s="302"/>
      <c r="AS5" s="302"/>
    </row>
    <row r="6" ht="17" customHeight="1" spans="1:46">
      <c r="B6" s="43" t="s">
        <v>22</v>
      </c>
      <c r="C6" s="43"/>
      <c r="D6" s="43"/>
      <c r="E6" s="44"/>
      <c r="F6" s="44"/>
      <c r="G6" s="44"/>
      <c r="H6" s="44"/>
      <c r="I6" s="307"/>
      <c r="J6" s="43" t="s">
        <v>23</v>
      </c>
      <c r="K6" s="43"/>
      <c r="L6" s="43"/>
      <c r="M6" s="49"/>
      <c r="N6" s="49"/>
      <c r="O6" s="49"/>
      <c r="P6" s="308"/>
      <c r="Q6" s="43" t="s">
        <v>24</v>
      </c>
      <c r="R6" s="43"/>
      <c r="S6" s="43"/>
      <c r="T6" s="49"/>
      <c r="U6" s="49"/>
      <c r="V6" s="49"/>
      <c r="X6" s="43" t="s">
        <v>25</v>
      </c>
      <c r="Y6" s="43"/>
      <c r="Z6" s="43"/>
      <c r="AA6" s="49"/>
      <c r="AB6" s="49"/>
      <c r="AC6" s="49"/>
      <c r="AD6" s="49"/>
      <c r="AE6" s="49"/>
      <c r="AF6" s="49"/>
      <c r="AH6" s="302"/>
      <c r="AI6" s="302"/>
      <c r="AJ6" s="302"/>
      <c r="AK6" s="302"/>
      <c r="AL6" s="302"/>
      <c r="AM6" s="302"/>
      <c r="AN6" s="302"/>
      <c r="AO6" s="302"/>
      <c r="AP6" s="302"/>
      <c r="AQ6" s="302"/>
      <c r="AR6" s="302"/>
      <c r="AS6" s="302"/>
      <c r="AT6" s="309"/>
    </row>
    <row r="7" ht="17" customHeight="1" spans="1:46">
      <c r="B7" s="43" t="s">
        <v>26</v>
      </c>
      <c r="C7" s="43"/>
      <c r="D7" s="43"/>
      <c r="E7" s="44"/>
      <c r="F7" s="44"/>
      <c r="G7" s="44"/>
      <c r="H7" s="44"/>
      <c r="I7" s="307"/>
      <c r="J7" s="43" t="s">
        <v>27</v>
      </c>
      <c r="K7" s="43"/>
      <c r="L7" s="43"/>
      <c r="M7" s="49"/>
      <c r="N7" s="49"/>
      <c r="O7" s="49"/>
      <c r="P7" s="308"/>
      <c r="Q7" s="43" t="s">
        <v>28</v>
      </c>
      <c r="R7" s="43"/>
      <c r="S7" s="43"/>
      <c r="T7" s="49"/>
      <c r="U7" s="49"/>
      <c r="V7" s="49"/>
      <c r="X7" s="43" t="s">
        <v>29</v>
      </c>
      <c r="Y7" s="43"/>
      <c r="Z7" s="43"/>
      <c r="AA7" s="49"/>
      <c r="AB7" s="49"/>
      <c r="AC7" s="49"/>
      <c r="AD7" s="49"/>
      <c r="AE7" s="49"/>
      <c r="AF7" s="49"/>
      <c r="AH7" s="302"/>
      <c r="AI7" s="302"/>
      <c r="AJ7" s="302"/>
      <c r="AK7" s="302"/>
      <c r="AL7" s="302"/>
      <c r="AM7" s="302"/>
      <c r="AN7" s="302"/>
      <c r="AO7" s="302"/>
      <c r="AP7" s="302"/>
      <c r="AQ7" s="302"/>
      <c r="AR7" s="302"/>
      <c r="AS7" s="302"/>
      <c r="AT7" s="309"/>
    </row>
    <row r="8" ht="8" customHeight="1" spans="1:46">
      <c r="AH8" s="302"/>
      <c r="AI8" s="302"/>
      <c r="AJ8" s="302"/>
      <c r="AK8" s="302"/>
      <c r="AL8" s="302"/>
      <c r="AM8" s="302"/>
      <c r="AN8" s="302"/>
      <c r="AO8" s="302"/>
      <c r="AP8" s="302"/>
      <c r="AQ8" s="302"/>
      <c r="AR8" s="302"/>
      <c r="AS8" s="302"/>
    </row>
    <row r="9" ht="16" customHeight="1" spans="1:46">
      <c r="A9" s="310"/>
      <c r="B9" s="42" t="s">
        <v>30</v>
      </c>
      <c r="C9" s="42"/>
      <c r="D9" s="42"/>
      <c r="E9" s="42"/>
      <c r="F9" s="42"/>
      <c r="G9" s="42"/>
      <c r="H9" s="42"/>
      <c r="I9" s="42"/>
      <c r="J9" s="42"/>
      <c r="K9" s="42"/>
      <c r="L9" s="42"/>
      <c r="M9" s="310"/>
      <c r="N9" s="42" t="s">
        <v>31</v>
      </c>
      <c r="O9" s="42"/>
      <c r="P9" s="42"/>
      <c r="Q9" s="42"/>
      <c r="R9" s="42"/>
      <c r="S9" s="42"/>
      <c r="T9" s="42"/>
      <c r="U9" s="42"/>
      <c r="V9" s="42"/>
      <c r="W9" s="42"/>
      <c r="X9" s="42"/>
      <c r="Y9" s="42"/>
      <c r="Z9" s="42"/>
      <c r="AA9" s="42"/>
      <c r="AB9" s="42"/>
      <c r="AC9" s="42"/>
      <c r="AD9" s="42"/>
      <c r="AE9" s="42"/>
      <c r="AF9" s="42"/>
      <c r="AG9" s="310"/>
      <c r="AH9" s="302"/>
      <c r="AI9" s="302"/>
      <c r="AJ9" s="302"/>
      <c r="AK9" s="302"/>
      <c r="AL9" s="302"/>
      <c r="AM9" s="302"/>
      <c r="AN9" s="302"/>
      <c r="AO9" s="302"/>
      <c r="AP9" s="302"/>
      <c r="AQ9" s="302"/>
      <c r="AR9" s="302"/>
      <c r="AS9" s="302"/>
    </row>
    <row r="10" ht="17" customHeight="1" spans="1:46">
      <c r="B10" s="311" t="s">
        <v>19</v>
      </c>
      <c r="C10" s="312"/>
      <c r="D10" s="313"/>
      <c r="E10" s="313"/>
      <c r="F10" s="47" t="s">
        <v>32</v>
      </c>
      <c r="G10" s="47"/>
      <c r="H10" s="313"/>
      <c r="I10" s="47" t="s">
        <v>33</v>
      </c>
      <c r="J10" s="47"/>
      <c r="K10" s="47" t="s">
        <v>34</v>
      </c>
      <c r="L10" s="47"/>
      <c r="S10" s="47" t="s">
        <v>35</v>
      </c>
      <c r="T10" s="47"/>
      <c r="Z10" s="47" t="s">
        <v>36</v>
      </c>
      <c r="AA10" s="47"/>
      <c r="AC10" s="47" t="s">
        <v>37</v>
      </c>
      <c r="AD10" s="47"/>
      <c r="AE10" s="314"/>
      <c r="AG10" s="315"/>
      <c r="AH10" s="302"/>
      <c r="AI10" s="302"/>
      <c r="AJ10" s="302"/>
      <c r="AK10" s="302"/>
      <c r="AL10" s="302"/>
      <c r="AM10" s="302"/>
      <c r="AN10" s="302"/>
      <c r="AO10" s="302"/>
      <c r="AP10" s="302"/>
      <c r="AQ10" s="302"/>
      <c r="AR10" s="302"/>
      <c r="AS10" s="302"/>
    </row>
    <row r="11" ht="17" customHeight="1" spans="1:46">
      <c r="A11" s="316" t="b">
        <v>0</v>
      </c>
      <c r="B11" s="317"/>
      <c r="C11" s="318" t="s">
        <v>38</v>
      </c>
      <c r="D11" s="318"/>
      <c r="E11" s="318"/>
      <c r="F11" s="44">
        <v>10</v>
      </c>
      <c r="G11" s="44"/>
      <c r="H11" s="319" t="s">
        <v>18</v>
      </c>
      <c r="I11" s="320">
        <f>INT(F11/2-5)</f>
        <v>0</v>
      </c>
      <c r="J11" s="320"/>
      <c r="K11" s="321">
        <f>INT(F11/2-5)+IF(A11=TRUE,$AD$3,0)</f>
        <v>0</v>
      </c>
      <c r="L11" s="321"/>
      <c r="N11" s="322" t="s">
        <v>39</v>
      </c>
      <c r="O11" s="322"/>
      <c r="P11" s="320">
        <f>SUM(I13+S11)</f>
        <v>0</v>
      </c>
      <c r="Q11" s="320"/>
      <c r="R11" s="319" t="s">
        <v>40</v>
      </c>
      <c r="S11" s="49"/>
      <c r="T11" s="49"/>
      <c r="V11" s="323" t="s">
        <v>41</v>
      </c>
      <c r="W11" s="323"/>
      <c r="X11" s="324"/>
      <c r="Y11" s="325">
        <v>1</v>
      </c>
      <c r="Z11" s="326"/>
      <c r="AA11" s="326"/>
      <c r="AB11" s="327" t="s">
        <v>42</v>
      </c>
      <c r="AC11" s="328">
        <v>1</v>
      </c>
      <c r="AD11" s="328"/>
      <c r="AE11" s="329"/>
      <c r="AG11" s="330"/>
      <c r="AH11" s="302"/>
      <c r="AI11" s="302"/>
      <c r="AJ11" s="302"/>
      <c r="AK11" s="302"/>
      <c r="AL11" s="302"/>
      <c r="AM11" s="302"/>
      <c r="AN11" s="302"/>
      <c r="AO11" s="302"/>
      <c r="AP11" s="302"/>
      <c r="AQ11" s="302"/>
      <c r="AR11" s="302"/>
      <c r="AS11" s="302"/>
    </row>
    <row r="12" ht="8" customHeight="1" spans="1:46">
      <c r="A12" s="316"/>
      <c r="B12" s="317"/>
      <c r="C12" s="318"/>
      <c r="D12" s="318"/>
      <c r="E12" s="318"/>
      <c r="F12" s="44"/>
      <c r="G12" s="44"/>
      <c r="H12" s="319"/>
      <c r="I12" s="320"/>
      <c r="J12" s="320"/>
      <c r="K12" s="321"/>
      <c r="L12" s="321"/>
      <c r="N12" s="322"/>
      <c r="O12" s="322"/>
      <c r="P12" s="320"/>
      <c r="Q12" s="320"/>
      <c r="R12" s="319"/>
      <c r="S12" s="49"/>
      <c r="T12" s="49"/>
      <c r="V12" s="323"/>
      <c r="W12" s="323"/>
      <c r="X12" s="331"/>
      <c r="Y12" s="332"/>
      <c r="Z12" s="333"/>
      <c r="AA12" s="333"/>
      <c r="AB12" s="334"/>
      <c r="AC12" s="335"/>
      <c r="AD12" s="335"/>
      <c r="AE12" s="336"/>
      <c r="AG12" s="330"/>
      <c r="AH12" s="302"/>
      <c r="AI12" s="302"/>
      <c r="AJ12" s="302"/>
      <c r="AK12" s="302"/>
      <c r="AL12" s="302"/>
      <c r="AM12" s="302"/>
      <c r="AN12" s="302"/>
      <c r="AO12" s="302"/>
      <c r="AP12" s="302"/>
      <c r="AQ12" s="302"/>
      <c r="AR12" s="302"/>
      <c r="AS12" s="302"/>
    </row>
    <row r="13" ht="17" customHeight="1" spans="1:46">
      <c r="A13" s="316" t="b">
        <v>0</v>
      </c>
      <c r="B13" s="317"/>
      <c r="C13" s="318" t="s">
        <v>43</v>
      </c>
      <c r="D13" s="318"/>
      <c r="E13" s="318"/>
      <c r="F13" s="44">
        <v>10</v>
      </c>
      <c r="G13" s="44"/>
      <c r="H13" s="319" t="s">
        <v>18</v>
      </c>
      <c r="I13" s="320">
        <f>INT(F13/2-5)</f>
        <v>0</v>
      </c>
      <c r="J13" s="320"/>
      <c r="K13" s="321">
        <f>INT(F13/2-5)+IF(A13=TRUE,$AD$3,0)</f>
        <v>0</v>
      </c>
      <c r="L13" s="321"/>
      <c r="M13" s="319" t="s">
        <v>18</v>
      </c>
      <c r="N13" s="323" t="s">
        <v>44</v>
      </c>
      <c r="O13" s="323"/>
      <c r="P13" s="320">
        <f>SUM(AD26,IF(AG26&lt;&gt;"",AG26,I13),S13)+IF(DB!A25=TRUE,AP26,0)</f>
        <v>10</v>
      </c>
      <c r="Q13" s="320"/>
      <c r="R13" s="319" t="s">
        <v>40</v>
      </c>
      <c r="S13" s="49"/>
      <c r="T13" s="49"/>
      <c r="V13" s="331" t="s">
        <v>45</v>
      </c>
      <c r="W13" s="337"/>
      <c r="X13" s="338">
        <v>1</v>
      </c>
      <c r="Y13" s="339"/>
      <c r="Z13" s="327" t="s">
        <v>42</v>
      </c>
      <c r="AA13" s="340" t="str">
        <f>IF(Y3&lt;=0,"",Y3)</f>
        <v/>
      </c>
      <c r="AB13" s="341"/>
      <c r="AC13" s="342"/>
      <c r="AD13" s="342"/>
      <c r="AE13" s="343"/>
      <c r="AH13" s="302"/>
      <c r="AI13" s="302"/>
      <c r="AJ13" s="302"/>
      <c r="AK13" s="302"/>
      <c r="AL13" s="302"/>
      <c r="AM13" s="302"/>
      <c r="AN13" s="302"/>
      <c r="AO13" s="302"/>
      <c r="AP13" s="302"/>
      <c r="AQ13" s="302"/>
      <c r="AR13" s="302"/>
      <c r="AS13" s="302"/>
    </row>
    <row r="14" ht="8" customHeight="1" spans="1:46">
      <c r="A14" s="316"/>
      <c r="B14" s="317"/>
      <c r="C14" s="318"/>
      <c r="D14" s="318"/>
      <c r="E14" s="318"/>
      <c r="F14" s="44"/>
      <c r="G14" s="44"/>
      <c r="H14" s="319"/>
      <c r="I14" s="320"/>
      <c r="J14" s="320"/>
      <c r="K14" s="321"/>
      <c r="L14" s="321"/>
      <c r="M14" s="319"/>
      <c r="N14" s="323"/>
      <c r="O14" s="323"/>
      <c r="P14" s="320"/>
      <c r="Q14" s="320"/>
      <c r="R14" s="319"/>
      <c r="S14" s="49"/>
      <c r="T14" s="49"/>
      <c r="V14" s="344"/>
      <c r="W14" s="345"/>
      <c r="X14" s="346"/>
      <c r="Y14" s="347"/>
      <c r="Z14" s="348"/>
      <c r="AA14" s="349"/>
      <c r="AB14" s="350"/>
      <c r="AC14" s="351"/>
      <c r="AD14" s="351"/>
      <c r="AE14" s="352"/>
      <c r="AH14" s="302"/>
      <c r="AI14" s="302"/>
      <c r="AJ14" s="302"/>
      <c r="AK14" s="302"/>
      <c r="AL14" s="302"/>
      <c r="AM14" s="302"/>
      <c r="AN14" s="302"/>
      <c r="AO14" s="302"/>
      <c r="AP14" s="302"/>
      <c r="AQ14" s="302"/>
      <c r="AR14" s="302"/>
      <c r="AS14" s="302"/>
    </row>
    <row r="15" ht="17" customHeight="1" spans="1:46">
      <c r="A15" s="316" t="b">
        <v>0</v>
      </c>
      <c r="B15" s="317"/>
      <c r="C15" s="318" t="s">
        <v>46</v>
      </c>
      <c r="D15" s="318"/>
      <c r="E15" s="318"/>
      <c r="F15" s="44">
        <v>10</v>
      </c>
      <c r="G15" s="44"/>
      <c r="H15" s="319" t="s">
        <v>18</v>
      </c>
      <c r="I15" s="320">
        <f>INT(F15/2-5)</f>
        <v>0</v>
      </c>
      <c r="J15" s="320"/>
      <c r="K15" s="321">
        <f>INT(F15/2-5)+IF(A15=TRUE,$AD$3,0)</f>
        <v>0</v>
      </c>
      <c r="L15" s="321"/>
      <c r="S15" s="47" t="s">
        <v>35</v>
      </c>
      <c r="T15" s="47"/>
      <c r="U15" s="353" t="s">
        <v>47</v>
      </c>
      <c r="V15" s="353"/>
      <c r="W15" s="353"/>
      <c r="X15" s="353"/>
      <c r="AB15" s="353" t="s">
        <v>48</v>
      </c>
      <c r="AC15" s="353"/>
      <c r="AH15" s="302"/>
      <c r="AI15" s="302"/>
      <c r="AJ15" s="302"/>
      <c r="AK15" s="302"/>
      <c r="AL15" s="302"/>
      <c r="AM15" s="302"/>
      <c r="AN15" s="302"/>
      <c r="AO15" s="302"/>
      <c r="AP15" s="302"/>
      <c r="AQ15" s="302"/>
      <c r="AR15" s="302"/>
      <c r="AS15" s="302"/>
    </row>
    <row r="16" ht="8" customHeight="1" spans="1:46">
      <c r="A16" s="316"/>
      <c r="B16" s="317"/>
      <c r="C16" s="318"/>
      <c r="D16" s="318"/>
      <c r="E16" s="318"/>
      <c r="F16" s="44"/>
      <c r="G16" s="44"/>
      <c r="H16" s="319"/>
      <c r="I16" s="320"/>
      <c r="J16" s="320"/>
      <c r="K16" s="321"/>
      <c r="L16" s="321"/>
      <c r="N16" s="323" t="s">
        <v>49</v>
      </c>
      <c r="O16" s="323"/>
      <c r="P16" s="320">
        <f>SUM(8+AD3+IF(R19="力量",I11,IF(R19="敏捷",I13,IF(R19="体质",I15,IF(R19="智力",I17,IF(R19="感知",I19,IF(R19="魅力",I21,0)))))))</f>
        <v>10</v>
      </c>
      <c r="Q16" s="320"/>
      <c r="R16" s="319" t="s">
        <v>40</v>
      </c>
      <c r="S16" s="49"/>
      <c r="T16" s="49"/>
      <c r="U16" s="354"/>
      <c r="V16" s="43" t="s">
        <v>50</v>
      </c>
      <c r="W16" s="43"/>
      <c r="X16" s="355"/>
      <c r="Y16" s="355"/>
      <c r="AB16" s="356" t="s">
        <v>51</v>
      </c>
      <c r="AC16" s="356"/>
      <c r="AD16" s="357"/>
      <c r="AE16" s="357"/>
      <c r="AH16" s="302"/>
      <c r="AI16" s="302"/>
      <c r="AJ16" s="302"/>
      <c r="AK16" s="302"/>
      <c r="AL16" s="302"/>
      <c r="AM16" s="302"/>
      <c r="AN16" s="302"/>
      <c r="AO16" s="302"/>
      <c r="AP16" s="302"/>
      <c r="AQ16" s="302"/>
      <c r="AR16" s="302"/>
      <c r="AS16" s="302"/>
    </row>
    <row r="17" ht="17" customHeight="1" spans="1:46">
      <c r="A17" s="316" t="b">
        <v>0</v>
      </c>
      <c r="B17" s="317"/>
      <c r="C17" s="318" t="s">
        <v>52</v>
      </c>
      <c r="D17" s="318"/>
      <c r="E17" s="318"/>
      <c r="F17" s="44">
        <v>10</v>
      </c>
      <c r="G17" s="44"/>
      <c r="H17" s="319" t="s">
        <v>18</v>
      </c>
      <c r="I17" s="320">
        <f>INT(F17/2-5)</f>
        <v>0</v>
      </c>
      <c r="J17" s="320"/>
      <c r="K17" s="321">
        <f>INT(F17/2-5)+IF(A17=TRUE,$AD$3,0)</f>
        <v>0</v>
      </c>
      <c r="L17" s="321"/>
      <c r="N17" s="323"/>
      <c r="O17" s="323"/>
      <c r="P17" s="320"/>
      <c r="Q17" s="320"/>
      <c r="R17" s="319"/>
      <c r="S17" s="49"/>
      <c r="T17" s="49"/>
      <c r="U17" s="354"/>
      <c r="V17" s="43"/>
      <c r="W17" s="43"/>
      <c r="X17" s="355"/>
      <c r="Y17" s="355"/>
      <c r="AB17" s="356"/>
      <c r="AC17" s="356"/>
      <c r="AD17" s="357"/>
      <c r="AE17" s="357"/>
      <c r="AH17" s="302"/>
      <c r="AI17" s="302"/>
      <c r="AJ17" s="302"/>
      <c r="AK17" s="302"/>
      <c r="AL17" s="302"/>
      <c r="AM17" s="302"/>
      <c r="AN17" s="302"/>
      <c r="AO17" s="302"/>
      <c r="AP17" s="302"/>
      <c r="AQ17" s="302"/>
      <c r="AR17" s="302"/>
      <c r="AS17" s="302"/>
    </row>
    <row r="18" ht="8" customHeight="1" spans="1:46">
      <c r="A18" s="316"/>
      <c r="B18" s="317"/>
      <c r="C18" s="318"/>
      <c r="D18" s="318"/>
      <c r="E18" s="318"/>
      <c r="F18" s="44"/>
      <c r="G18" s="44"/>
      <c r="H18" s="319"/>
      <c r="I18" s="320"/>
      <c r="J18" s="320"/>
      <c r="K18" s="321"/>
      <c r="L18" s="321"/>
      <c r="AH18" s="302"/>
      <c r="AI18" s="302"/>
      <c r="AJ18" s="302"/>
      <c r="AK18" s="302"/>
      <c r="AL18" s="302"/>
      <c r="AM18" s="302"/>
      <c r="AN18" s="302"/>
      <c r="AO18" s="302"/>
      <c r="AP18" s="302"/>
      <c r="AQ18" s="302"/>
      <c r="AR18" s="302"/>
      <c r="AS18" s="302"/>
    </row>
    <row r="19" ht="17" customHeight="1" spans="1:46">
      <c r="A19" s="316" t="b">
        <v>0</v>
      </c>
      <c r="B19" s="317"/>
      <c r="C19" s="318" t="s">
        <v>53</v>
      </c>
      <c r="D19" s="318"/>
      <c r="E19" s="318"/>
      <c r="F19" s="44">
        <v>10</v>
      </c>
      <c r="G19" s="44"/>
      <c r="H19" s="319" t="s">
        <v>18</v>
      </c>
      <c r="I19" s="320">
        <f>INT(F19/2-5)</f>
        <v>0</v>
      </c>
      <c r="J19" s="320"/>
      <c r="K19" s="321">
        <f>INT(F19/2-5)+IF(A19=TRUE,$AD$3,0)</f>
        <v>0</v>
      </c>
      <c r="L19" s="321"/>
      <c r="N19" s="217" t="s">
        <v>54</v>
      </c>
      <c r="O19" s="217"/>
      <c r="P19" s="217"/>
      <c r="Q19" s="217"/>
      <c r="R19" s="358" t="s">
        <v>38</v>
      </c>
      <c r="S19" s="358"/>
      <c r="T19" s="358"/>
      <c r="V19" s="43" t="s">
        <v>55</v>
      </c>
      <c r="W19" s="43"/>
      <c r="X19" s="44"/>
      <c r="Y19" s="44"/>
      <c r="Z19" s="44"/>
      <c r="AB19" s="43" t="s">
        <v>56</v>
      </c>
      <c r="AC19" s="43"/>
      <c r="AD19" s="359"/>
      <c r="AE19" s="359"/>
      <c r="AF19" s="359"/>
      <c r="AH19" s="302"/>
      <c r="AI19" s="302"/>
      <c r="AJ19" s="302"/>
      <c r="AK19" s="302"/>
      <c r="AL19" s="302"/>
      <c r="AM19" s="302"/>
      <c r="AN19" s="302"/>
      <c r="AO19" s="302"/>
      <c r="AP19" s="302"/>
      <c r="AQ19" s="302"/>
      <c r="AR19" s="302"/>
      <c r="AS19" s="302"/>
    </row>
    <row r="20" ht="8" customHeight="1" spans="1:46">
      <c r="A20" s="316"/>
      <c r="B20" s="317"/>
      <c r="C20" s="318"/>
      <c r="D20" s="318"/>
      <c r="E20" s="318"/>
      <c r="F20" s="44"/>
      <c r="G20" s="44"/>
      <c r="H20" s="319"/>
      <c r="I20" s="320"/>
      <c r="J20" s="320"/>
      <c r="K20" s="321"/>
      <c r="L20" s="321"/>
      <c r="AH20" s="302"/>
      <c r="AI20" s="302"/>
      <c r="AJ20" s="302"/>
      <c r="AK20" s="302"/>
      <c r="AL20" s="302"/>
      <c r="AM20" s="302"/>
      <c r="AN20" s="302"/>
      <c r="AO20" s="302"/>
      <c r="AP20" s="302"/>
      <c r="AQ20" s="302"/>
      <c r="AR20" s="302"/>
      <c r="AS20" s="302"/>
    </row>
    <row r="21" ht="17" customHeight="1" spans="1:46">
      <c r="A21" s="316" t="b">
        <v>0</v>
      </c>
      <c r="B21" s="317"/>
      <c r="C21" s="318" t="s">
        <v>57</v>
      </c>
      <c r="D21" s="318"/>
      <c r="E21" s="318"/>
      <c r="F21" s="44">
        <v>10</v>
      </c>
      <c r="G21" s="44"/>
      <c r="H21" s="319" t="s">
        <v>18</v>
      </c>
      <c r="I21" s="320">
        <f>INT(F21/2-5)</f>
        <v>0</v>
      </c>
      <c r="J21" s="320"/>
      <c r="K21" s="321">
        <f>INT(F21/2-5)+IF(A21=TRUE,$AD$3,0)</f>
        <v>0</v>
      </c>
      <c r="L21" s="321"/>
      <c r="N21" s="43" t="s">
        <v>58</v>
      </c>
      <c r="O21" s="43"/>
      <c r="P21" s="43"/>
      <c r="Q21" s="43"/>
      <c r="R21" s="360">
        <f>SUM(10+I38)</f>
        <v>10</v>
      </c>
      <c r="S21" s="361"/>
      <c r="T21" s="362"/>
      <c r="V21" s="43" t="s">
        <v>59</v>
      </c>
      <c r="W21" s="43"/>
      <c r="X21" s="44"/>
      <c r="Y21" s="44"/>
      <c r="Z21" s="44"/>
      <c r="AA21" s="44"/>
      <c r="AB21" s="44"/>
      <c r="AC21" s="44"/>
      <c r="AD21" s="44"/>
      <c r="AE21" s="44"/>
      <c r="AF21" s="44"/>
      <c r="AH21" s="302"/>
      <c r="AI21" s="302"/>
      <c r="AJ21" s="302"/>
      <c r="AK21" s="302"/>
      <c r="AL21" s="302"/>
      <c r="AM21" s="302"/>
      <c r="AN21" s="302"/>
      <c r="AO21" s="302"/>
      <c r="AP21" s="302"/>
      <c r="AQ21" s="302"/>
      <c r="AR21" s="302"/>
      <c r="AS21" s="302"/>
    </row>
    <row r="22" ht="8" customHeight="1" spans="1:46">
      <c r="A22" s="316"/>
      <c r="B22" s="317"/>
      <c r="C22" s="318"/>
      <c r="D22" s="318"/>
      <c r="E22" s="318"/>
      <c r="F22" s="44"/>
      <c r="G22" s="44"/>
      <c r="H22" s="319"/>
      <c r="I22" s="320"/>
      <c r="J22" s="320"/>
      <c r="K22" s="321"/>
      <c r="L22" s="321"/>
      <c r="N22" s="43"/>
      <c r="O22" s="43"/>
      <c r="P22" s="43"/>
      <c r="Q22" s="43"/>
      <c r="R22" s="363"/>
      <c r="S22" s="364"/>
      <c r="T22" s="365"/>
      <c r="V22" s="43"/>
      <c r="W22" s="43"/>
      <c r="X22" s="44"/>
      <c r="Y22" s="44"/>
      <c r="Z22" s="44"/>
      <c r="AA22" s="44"/>
      <c r="AB22" s="44"/>
      <c r="AC22" s="44"/>
      <c r="AD22" s="44"/>
      <c r="AE22" s="44"/>
      <c r="AF22" s="44"/>
      <c r="AH22" s="353" t="s">
        <v>60</v>
      </c>
      <c r="AI22" s="353"/>
      <c r="AJ22" s="353"/>
      <c r="AK22" s="353"/>
      <c r="AL22" s="353"/>
      <c r="AM22" s="353"/>
      <c r="AN22" s="353"/>
      <c r="AO22" s="353"/>
      <c r="AP22" s="353"/>
      <c r="AQ22" s="353"/>
      <c r="AR22" s="353"/>
      <c r="AS22" s="353"/>
    </row>
    <row r="23" ht="8" customHeight="1" spans="1:46">
      <c r="AH23" s="353"/>
      <c r="AI23" s="353"/>
      <c r="AJ23" s="353"/>
      <c r="AK23" s="353"/>
      <c r="AL23" s="353"/>
      <c r="AM23" s="353"/>
      <c r="AN23" s="353"/>
      <c r="AO23" s="353"/>
      <c r="AP23" s="353"/>
      <c r="AQ23" s="353"/>
      <c r="AR23" s="353"/>
      <c r="AS23" s="353"/>
    </row>
    <row r="24" ht="17" customHeight="1" spans="1:46">
      <c r="B24" s="42" t="s">
        <v>61</v>
      </c>
      <c r="C24" s="42"/>
      <c r="D24" s="42"/>
      <c r="E24" s="42"/>
      <c r="F24" s="42"/>
      <c r="G24" s="42"/>
      <c r="H24" s="42"/>
      <c r="I24" s="42"/>
      <c r="J24" s="42"/>
      <c r="L24" s="42"/>
      <c r="M24" s="42"/>
      <c r="N24" s="42"/>
      <c r="O24" s="42"/>
      <c r="P24" s="42"/>
      <c r="Q24" s="42"/>
      <c r="R24" s="42"/>
      <c r="S24" s="42" t="s">
        <v>62</v>
      </c>
      <c r="T24" s="42"/>
      <c r="U24" s="42"/>
      <c r="V24" s="42"/>
      <c r="W24" s="42"/>
      <c r="X24" s="298" t="str">
        <f>IF(AB24="","","已同调的装备")</f>
        <v/>
      </c>
      <c r="Y24" s="298"/>
      <c r="Z24" s="298"/>
      <c r="AA24" s="298"/>
      <c r="AB24" s="366" t="str">
        <f>IF(COUNTIF(法术书目录!R27:R42,TRUE)=0,"",COUNTIF(法术书目录!R27:R42,TRUE))</f>
        <v/>
      </c>
      <c r="AD24" s="42" t="s">
        <v>63</v>
      </c>
      <c r="AE24" s="42"/>
      <c r="AF24" s="42"/>
      <c r="AG24" s="42"/>
      <c r="AH24" s="42"/>
      <c r="AI24" s="42"/>
      <c r="AJ24" s="42"/>
      <c r="AK24" s="42"/>
      <c r="AL24" s="42"/>
      <c r="AM24" s="42"/>
      <c r="AN24" s="42"/>
      <c r="AO24" s="42"/>
      <c r="AP24" s="42"/>
      <c r="AQ24" s="42"/>
      <c r="AR24" s="42"/>
      <c r="AS24" s="42"/>
    </row>
    <row r="25" ht="17" customHeight="1" spans="1:46">
      <c r="B25" s="311" t="s">
        <v>19</v>
      </c>
      <c r="C25" s="367"/>
      <c r="D25" s="47" t="s">
        <v>64</v>
      </c>
      <c r="E25" s="47"/>
      <c r="F25" s="47" t="s">
        <v>65</v>
      </c>
      <c r="G25" s="47"/>
      <c r="H25" s="367"/>
      <c r="I25" s="47" t="s">
        <v>66</v>
      </c>
      <c r="J25" s="47"/>
      <c r="K25" s="47"/>
      <c r="L25" s="47" t="s">
        <v>67</v>
      </c>
      <c r="M25" s="47"/>
      <c r="N25" s="47"/>
      <c r="O25" s="47"/>
      <c r="P25" s="47" t="s">
        <v>68</v>
      </c>
      <c r="Q25" s="47"/>
      <c r="R25" s="47"/>
      <c r="S25" s="47"/>
      <c r="T25" s="47"/>
      <c r="U25" s="368" t="s">
        <v>69</v>
      </c>
      <c r="V25" s="47"/>
      <c r="W25" s="47" t="s">
        <v>70</v>
      </c>
      <c r="X25" s="47"/>
      <c r="Y25" s="47"/>
      <c r="Z25" s="47"/>
      <c r="AA25" s="47" t="s">
        <v>71</v>
      </c>
      <c r="AB25" s="47"/>
      <c r="AC25" s="47"/>
      <c r="AD25" s="47" t="s">
        <v>44</v>
      </c>
      <c r="AE25" s="47"/>
      <c r="AF25" s="47" t="s">
        <v>72</v>
      </c>
      <c r="AG25" s="47"/>
      <c r="AH25" s="47"/>
      <c r="AI25" s="47"/>
      <c r="AJ25" s="47"/>
      <c r="AK25" s="47"/>
      <c r="AL25" s="368" t="s">
        <v>69</v>
      </c>
      <c r="AM25" s="47" t="s">
        <v>73</v>
      </c>
      <c r="AN25" s="47"/>
      <c r="AO25" s="367"/>
      <c r="AP25" s="47" t="s">
        <v>44</v>
      </c>
      <c r="AQ25" s="47"/>
      <c r="AR25" s="47" t="s">
        <v>71</v>
      </c>
      <c r="AS25" s="47"/>
      <c r="AT25" s="369"/>
    </row>
    <row r="26" ht="17" customHeight="1" spans="1:46">
      <c r="A26" s="316" t="b">
        <v>0</v>
      </c>
      <c r="B26" s="317"/>
      <c r="C26" s="370" t="s">
        <v>74</v>
      </c>
      <c r="D26" s="370"/>
      <c r="E26" s="370"/>
      <c r="F26" s="210"/>
      <c r="G26" s="210"/>
      <c r="H26" s="300" t="s">
        <v>18</v>
      </c>
      <c r="I26" s="371">
        <f>$I$11+IF($A26=TRUE,$AD$3,0)+F26</f>
        <v>0</v>
      </c>
      <c r="J26" s="372"/>
      <c r="L26" s="373" t="s">
        <v>75</v>
      </c>
      <c r="M26" s="373"/>
      <c r="N26" s="300" t="s">
        <v>18</v>
      </c>
      <c r="O26" s="210"/>
      <c r="P26" s="210"/>
      <c r="Q26" s="210"/>
      <c r="R26" s="210"/>
      <c r="S26" s="210"/>
      <c r="T26" s="210"/>
      <c r="U26" s="374"/>
      <c r="V26" s="374"/>
      <c r="W26" s="374"/>
      <c r="X26" s="374"/>
      <c r="Y26" s="374"/>
      <c r="Z26" s="374"/>
      <c r="AA26" s="375"/>
      <c r="AB26" s="375"/>
      <c r="AC26" s="300" t="s">
        <v>18</v>
      </c>
      <c r="AD26" s="376">
        <v>10</v>
      </c>
      <c r="AE26" s="377"/>
      <c r="AF26" s="489" t="s">
        <v>76</v>
      </c>
      <c r="AG26" s="378"/>
      <c r="AH26" s="378"/>
      <c r="AL26" s="374"/>
      <c r="AM26" s="374"/>
      <c r="AN26" s="374"/>
      <c r="AO26" s="374"/>
      <c r="AP26" s="378"/>
      <c r="AQ26" s="378"/>
      <c r="AR26" s="375"/>
      <c r="AS26" s="375"/>
    </row>
    <row r="27" ht="17" customHeight="1" spans="1:46">
      <c r="B27" s="47" t="s">
        <v>77</v>
      </c>
      <c r="C27" s="47"/>
      <c r="D27" s="47"/>
      <c r="E27" s="47"/>
      <c r="F27" s="47"/>
      <c r="G27" s="47"/>
      <c r="H27" s="51"/>
      <c r="I27" s="379"/>
      <c r="J27" s="379"/>
      <c r="L27" s="47" t="s">
        <v>78</v>
      </c>
      <c r="M27" s="47"/>
      <c r="N27" s="380"/>
      <c r="O27" s="47"/>
      <c r="P27" s="47" t="s">
        <v>79</v>
      </c>
      <c r="Q27" s="47"/>
      <c r="R27" s="47"/>
      <c r="S27" s="47"/>
      <c r="T27" s="47"/>
      <c r="U27" s="368" t="s">
        <v>69</v>
      </c>
      <c r="V27" s="47"/>
      <c r="W27" s="47" t="s">
        <v>70</v>
      </c>
      <c r="X27" s="47"/>
      <c r="Y27" s="47"/>
      <c r="Z27" s="47"/>
      <c r="AA27" s="47" t="s">
        <v>71</v>
      </c>
      <c r="AB27" s="47"/>
      <c r="AC27" s="313"/>
      <c r="AD27" s="311" t="s">
        <v>19</v>
      </c>
      <c r="AE27" s="313"/>
      <c r="AF27" s="47" t="s">
        <v>80</v>
      </c>
      <c r="AG27" s="47"/>
      <c r="AH27" s="47"/>
      <c r="AI27" s="47" t="s">
        <v>81</v>
      </c>
      <c r="AJ27" s="47"/>
      <c r="AK27" s="47"/>
      <c r="AL27" s="47"/>
      <c r="AM27" s="47"/>
      <c r="AN27" s="381" t="s">
        <v>82</v>
      </c>
      <c r="AO27" s="381"/>
      <c r="AP27" s="381"/>
      <c r="AQ27" s="47" t="s">
        <v>83</v>
      </c>
      <c r="AR27" s="47"/>
      <c r="AS27" s="47"/>
    </row>
    <row r="28" ht="17" customHeight="1" spans="1:46">
      <c r="A28" s="316" t="b">
        <v>0</v>
      </c>
      <c r="B28" s="317"/>
      <c r="C28" s="370" t="s">
        <v>84</v>
      </c>
      <c r="D28" s="370"/>
      <c r="E28" s="370"/>
      <c r="F28" s="210"/>
      <c r="G28" s="210"/>
      <c r="H28" s="300" t="s">
        <v>18</v>
      </c>
      <c r="I28" s="371">
        <f>$I$13+IF($A28=TRUE,$AD$3,0)+F28</f>
        <v>0</v>
      </c>
      <c r="J28" s="372"/>
      <c r="K28" s="316" t="b">
        <v>0</v>
      </c>
      <c r="L28" s="382" t="s">
        <v>75</v>
      </c>
      <c r="M28" s="382"/>
      <c r="N28" s="300" t="s">
        <v>18</v>
      </c>
      <c r="O28" s="210"/>
      <c r="P28" s="210"/>
      <c r="Q28" s="210"/>
      <c r="R28" s="210"/>
      <c r="S28" s="210"/>
      <c r="T28" s="210"/>
      <c r="U28" s="374"/>
      <c r="V28" s="374"/>
      <c r="W28" s="374"/>
      <c r="X28" s="374"/>
      <c r="Y28" s="374"/>
      <c r="Z28" s="374"/>
      <c r="AA28" s="375"/>
      <c r="AB28" s="375"/>
      <c r="AC28" s="300" t="s">
        <v>18</v>
      </c>
      <c r="AD28" s="383"/>
      <c r="AE28" s="384" t="str">
        <f>IFERROR(CONCATENATE("D20",(IF($K28=TRUE,"+",IF(VLOOKUP(VLOOKUP($L28,法术书目录!$X$9:$AC$47,6,FALSE),$C$11:$L$22,7,FALSE)&lt;0,"","+")))),"D20+")</f>
        <v>D20+</v>
      </c>
      <c r="AF28" s="384"/>
      <c r="AG28" s="210" t="str">
        <f>IFERROR(CONCATENATE(IF($K28=TRUE,$AD$3,""),IF(VLOOKUP(VLOOKUP($L28,法术书目录!$X$9:$AC$47,6,FALSE),$C$11:$L$22,7,FALSE)&lt;0,"",(IF($K28=TRUE,"+",""))),VLOOKUP(VLOOKUP($L28,法术书目录!$X$9:$AC$47,6,FALSE),$C$11:$L$22,7,FALSE)),"")</f>
        <v/>
      </c>
      <c r="AH28" s="210"/>
      <c r="AI28" s="385"/>
      <c r="AJ28" s="386"/>
      <c r="AK28" s="386"/>
      <c r="AL28" s="386" t="str">
        <f>IFERROR(IF(AI28="","",CONCATENATE(IF(VLOOKUP(VLOOKUP($L28,法术书目录!$X$9:$AC$47,6,FALSE),$C$11:$L$22,7,FALSE)&lt;0,"","+"),VLOOKUP(VLOOKUP($L28,法术书目录!$X$9:$AC$47,6,FALSE),$C$11:$L$22,7,FALSE))),"")</f>
        <v/>
      </c>
      <c r="AM28" s="387"/>
      <c r="AN28" s="386"/>
      <c r="AO28" s="387"/>
      <c r="AQ28" s="356" t="s">
        <v>85</v>
      </c>
      <c r="AR28" s="303">
        <v>0</v>
      </c>
      <c r="AS28" s="388"/>
    </row>
    <row r="29" ht="17" customHeight="1" spans="1:46">
      <c r="A29" s="316" t="b">
        <v>0</v>
      </c>
      <c r="B29" s="317"/>
      <c r="C29" s="370" t="s">
        <v>86</v>
      </c>
      <c r="D29" s="370"/>
      <c r="E29" s="370"/>
      <c r="F29" s="210"/>
      <c r="G29" s="210"/>
      <c r="H29" s="300" t="s">
        <v>18</v>
      </c>
      <c r="I29" s="371">
        <f>$I$13+IF($A29=TRUE,$AD$3,0)+F29</f>
        <v>0</v>
      </c>
      <c r="J29" s="372"/>
      <c r="K29" s="316" t="b">
        <v>0</v>
      </c>
      <c r="L29" s="382" t="s">
        <v>75</v>
      </c>
      <c r="M29" s="382"/>
      <c r="N29" s="300" t="s">
        <v>18</v>
      </c>
      <c r="O29" s="211"/>
      <c r="P29" s="211"/>
      <c r="Q29" s="211"/>
      <c r="R29" s="211"/>
      <c r="S29" s="211"/>
      <c r="T29" s="211"/>
      <c r="U29" s="389"/>
      <c r="V29" s="389"/>
      <c r="W29" s="389"/>
      <c r="X29" s="389"/>
      <c r="Y29" s="389"/>
      <c r="Z29" s="389"/>
      <c r="AA29" s="390"/>
      <c r="AB29" s="390"/>
      <c r="AC29" s="300" t="s">
        <v>18</v>
      </c>
      <c r="AD29" s="383"/>
      <c r="AE29" s="384" t="str">
        <f>IFERROR(CONCATENATE("D20",(IF($K29=TRUE,"+",IF(VLOOKUP(VLOOKUP($L29,法术书目录!$X$9:$AC$47,6,FALSE),$C$11:$L$22,7,FALSE)&lt;0,"","+")))),"D20+")</f>
        <v>D20+</v>
      </c>
      <c r="AF29" s="384"/>
      <c r="AG29" s="211" t="str">
        <f>IFERROR(CONCATENATE(IF($K29=TRUE,$AD$3,""),IF(VLOOKUP(VLOOKUP($L29,法术书目录!$X$9:$AC$47,6,FALSE),$C$11:$L$22,7,FALSE)&lt;0,"",(IF($K29=TRUE,"+",""))),VLOOKUP(VLOOKUP($L29,法术书目录!$X$9:$AC$47,6,FALSE),$C$11:$L$22,7,FALSE)),"")</f>
        <v/>
      </c>
      <c r="AH29" s="211"/>
      <c r="AI29" s="391"/>
      <c r="AJ29" s="392"/>
      <c r="AK29" s="392"/>
      <c r="AL29" s="392" t="str">
        <f>IFERROR(IF(AI29="","",CONCATENATE(IF(VLOOKUP(VLOOKUP($L29,法术书目录!$X$9:$AC$47,6,FALSE),$C$11:$L$22,7,FALSE)&lt;0,"","+"),VLOOKUP(VLOOKUP($L29,法术书目录!$X$9:$AC$47,6,FALSE),$C$11:$L$22,7,FALSE))),"")</f>
        <v/>
      </c>
      <c r="AM29" s="393"/>
      <c r="AN29" s="391"/>
      <c r="AO29" s="393"/>
      <c r="AQ29" s="356" t="s">
        <v>87</v>
      </c>
      <c r="AR29" s="394">
        <v>0</v>
      </c>
      <c r="AS29" s="395"/>
    </row>
    <row r="30" ht="17" customHeight="1" spans="1:46">
      <c r="A30" s="316" t="b">
        <v>0</v>
      </c>
      <c r="B30" s="317"/>
      <c r="C30" s="370" t="s">
        <v>88</v>
      </c>
      <c r="D30" s="370"/>
      <c r="E30" s="370"/>
      <c r="F30" s="210"/>
      <c r="G30" s="210"/>
      <c r="H30" s="300" t="s">
        <v>18</v>
      </c>
      <c r="I30" s="371">
        <f>$I$13+IF($A30=TRUE,$AD$3,0)+F30</f>
        <v>0</v>
      </c>
      <c r="J30" s="372"/>
      <c r="K30" s="316" t="b">
        <v>0</v>
      </c>
      <c r="L30" s="382" t="s">
        <v>75</v>
      </c>
      <c r="M30" s="382"/>
      <c r="N30" s="300" t="s">
        <v>18</v>
      </c>
      <c r="O30" s="210"/>
      <c r="P30" s="210"/>
      <c r="Q30" s="210"/>
      <c r="R30" s="210"/>
      <c r="S30" s="210"/>
      <c r="T30" s="210"/>
      <c r="U30" s="374"/>
      <c r="V30" s="374"/>
      <c r="W30" s="374"/>
      <c r="X30" s="374"/>
      <c r="Y30" s="374"/>
      <c r="Z30" s="374"/>
      <c r="AA30" s="375"/>
      <c r="AB30" s="375"/>
      <c r="AC30" s="300" t="s">
        <v>18</v>
      </c>
      <c r="AD30" s="383"/>
      <c r="AE30" s="384" t="str">
        <f>IFERROR(CONCATENATE("D20",(IF($K30=TRUE,"+",IF(VLOOKUP(VLOOKUP($L30,法术书目录!$X$9:$AC$47,6,FALSE),$C$11:$L$22,7,FALSE)&lt;0,"","+")))),"D20+")</f>
        <v>D20+</v>
      </c>
      <c r="AF30" s="384"/>
      <c r="AG30" s="210" t="str">
        <f>IFERROR(CONCATENATE(IF($K30=TRUE,$AD$3,""),IF(VLOOKUP(VLOOKUP($L30,法术书目录!$X$9:$AC$47,6,FALSE),$C$11:$L$22,7,FALSE)&lt;0,"",(IF($K30=TRUE,"+",""))),VLOOKUP(VLOOKUP($L30,法术书目录!$X$9:$AC$47,6,FALSE),$C$11:$L$22,7,FALSE)),"")</f>
        <v/>
      </c>
      <c r="AH30" s="210"/>
      <c r="AI30" s="385"/>
      <c r="AJ30" s="386"/>
      <c r="AK30" s="386"/>
      <c r="AL30" s="386" t="str">
        <f>IFERROR(IF(AI30="","",CONCATENATE(IF(VLOOKUP(VLOOKUP($L30,法术书目录!$X$9:$AC$47,6,FALSE),$C$11:$L$22,7,FALSE)&lt;0,"","+"),VLOOKUP(VLOOKUP($L30,法术书目录!$X$9:$AC$47,6,FALSE),$C$11:$L$22,7,FALSE))),"")</f>
        <v/>
      </c>
      <c r="AM30" s="387"/>
      <c r="AN30" s="385"/>
      <c r="AO30" s="387"/>
      <c r="AQ30" s="356" t="s">
        <v>89</v>
      </c>
      <c r="AR30" s="303">
        <v>0</v>
      </c>
      <c r="AS30" s="388"/>
    </row>
    <row r="31" ht="17" customHeight="1" spans="1:46">
      <c r="B31" s="369" t="s">
        <v>90</v>
      </c>
      <c r="C31" s="369"/>
      <c r="D31" s="369"/>
      <c r="E31" s="369"/>
      <c r="F31" s="369"/>
      <c r="G31" s="369"/>
      <c r="H31" s="51"/>
      <c r="I31" s="379"/>
      <c r="J31" s="379"/>
      <c r="K31" s="316" t="b">
        <v>0</v>
      </c>
      <c r="L31" s="382" t="s">
        <v>75</v>
      </c>
      <c r="M31" s="382"/>
      <c r="N31" s="300" t="s">
        <v>18</v>
      </c>
      <c r="O31" s="211"/>
      <c r="P31" s="211"/>
      <c r="Q31" s="211"/>
      <c r="R31" s="211"/>
      <c r="S31" s="211"/>
      <c r="T31" s="211"/>
      <c r="U31" s="389"/>
      <c r="V31" s="389"/>
      <c r="W31" s="389"/>
      <c r="X31" s="389"/>
      <c r="Y31" s="389"/>
      <c r="Z31" s="389"/>
      <c r="AA31" s="390"/>
      <c r="AB31" s="390"/>
      <c r="AC31" s="300" t="s">
        <v>18</v>
      </c>
      <c r="AD31" s="383"/>
      <c r="AE31" s="384" t="str">
        <f>IFERROR(CONCATENATE("D20",(IF($K31=TRUE,"+",IF(VLOOKUP(VLOOKUP($L31,法术书目录!$X$9:$AC$47,6,FALSE),$C$11:$L$22,7,FALSE)&lt;0,"","+")))),"D20+")</f>
        <v>D20+</v>
      </c>
      <c r="AF31" s="384"/>
      <c r="AG31" s="211" t="str">
        <f>IFERROR(CONCATENATE(IF($K31=TRUE,$AD$3,""),IF(VLOOKUP(VLOOKUP($L31,法术书目录!$X$9:$AC$47,6,FALSE),$C$11:$L$22,7,FALSE)&lt;0,"",(IF($K31=TRUE,"+",""))),VLOOKUP(VLOOKUP($L31,法术书目录!$X$9:$AC$47,6,FALSE),$C$11:$L$22,7,FALSE)),"")</f>
        <v/>
      </c>
      <c r="AH31" s="211"/>
      <c r="AI31" s="391"/>
      <c r="AJ31" s="392"/>
      <c r="AK31" s="392"/>
      <c r="AL31" s="392" t="str">
        <f>IFERROR(IF(AI31="","",CONCATENATE(IF(VLOOKUP(VLOOKUP($L31,法术书目录!$X$9:$AC$47,6,FALSE),$C$11:$L$22,7,FALSE)&lt;0,"","+"),VLOOKUP(VLOOKUP($L31,法术书目录!$X$9:$AC$47,6,FALSE),$C$11:$L$22,7,FALSE))),"")</f>
        <v/>
      </c>
      <c r="AM31" s="393"/>
      <c r="AN31" s="391"/>
      <c r="AO31" s="393"/>
      <c r="AQ31" s="356" t="s">
        <v>91</v>
      </c>
      <c r="AR31" s="394">
        <v>0</v>
      </c>
      <c r="AS31" s="395"/>
    </row>
    <row r="32" ht="17" customHeight="1" spans="1:46">
      <c r="A32" s="316" t="b">
        <v>0</v>
      </c>
      <c r="B32" s="317"/>
      <c r="C32" s="370" t="s">
        <v>92</v>
      </c>
      <c r="D32" s="370"/>
      <c r="E32" s="370"/>
      <c r="F32" s="210"/>
      <c r="G32" s="210"/>
      <c r="H32" s="300" t="s">
        <v>18</v>
      </c>
      <c r="I32" s="371">
        <f>$I$17+IF($A32=TRUE,$AD$3,0)+F32</f>
        <v>0</v>
      </c>
      <c r="J32" s="372"/>
      <c r="K32" s="316" t="b">
        <v>0</v>
      </c>
      <c r="L32" s="382" t="s">
        <v>75</v>
      </c>
      <c r="M32" s="382"/>
      <c r="N32" s="300" t="s">
        <v>18</v>
      </c>
      <c r="O32" s="210"/>
      <c r="P32" s="210"/>
      <c r="Q32" s="210"/>
      <c r="R32" s="210"/>
      <c r="S32" s="210"/>
      <c r="T32" s="210"/>
      <c r="U32" s="374"/>
      <c r="V32" s="374"/>
      <c r="W32" s="374"/>
      <c r="X32" s="374"/>
      <c r="Y32" s="374"/>
      <c r="Z32" s="374"/>
      <c r="AA32" s="375"/>
      <c r="AB32" s="375"/>
      <c r="AC32" s="300" t="s">
        <v>18</v>
      </c>
      <c r="AD32" s="383"/>
      <c r="AE32" s="384" t="str">
        <f>IFERROR(CONCATENATE("D20",(IF($K32=TRUE,"+",IF(VLOOKUP(VLOOKUP($L32,法术书目录!$X$9:$AC$47,6,FALSE),$C$11:$L$22,7,FALSE)&lt;0,"","+")))),"D20+")</f>
        <v>D20+</v>
      </c>
      <c r="AF32" s="384"/>
      <c r="AG32" s="210" t="str">
        <f>IFERROR(CONCATENATE(IF($K32=TRUE,$AD$3,""),IF(VLOOKUP(VLOOKUP($L32,法术书目录!$X$9:$AC$47,6,FALSE),$C$11:$L$22,7,FALSE)&lt;0,"",(IF($K32=TRUE,"+",""))),VLOOKUP(VLOOKUP($L32,法术书目录!$X$9:$AC$47,6,FALSE),$C$11:$L$22,7,FALSE)),"")</f>
        <v/>
      </c>
      <c r="AH32" s="210"/>
      <c r="AI32" s="385"/>
      <c r="AJ32" s="386"/>
      <c r="AK32" s="386"/>
      <c r="AL32" s="386" t="str">
        <f>IFERROR(IF(AI32="","",CONCATENATE(IF(VLOOKUP(VLOOKUP($L32,法术书目录!$X$9:$AC$47,6,FALSE),$C$11:$L$22,7,FALSE)&lt;0,"","+"),VLOOKUP(VLOOKUP($L32,法术书目录!$X$9:$AC$47,6,FALSE),$C$11:$L$22,7,FALSE))),"")</f>
        <v/>
      </c>
      <c r="AM32" s="387"/>
      <c r="AN32" s="385"/>
      <c r="AO32" s="387"/>
      <c r="AQ32" s="356" t="s">
        <v>93</v>
      </c>
      <c r="AR32" s="303">
        <v>0</v>
      </c>
      <c r="AS32" s="388"/>
    </row>
    <row r="33" ht="17" customHeight="1" spans="1:46">
      <c r="A33" s="316" t="b">
        <v>0</v>
      </c>
      <c r="B33" s="317"/>
      <c r="C33" s="370" t="s">
        <v>94</v>
      </c>
      <c r="D33" s="370"/>
      <c r="E33" s="370"/>
      <c r="F33" s="210"/>
      <c r="G33" s="210"/>
      <c r="H33" s="300" t="s">
        <v>18</v>
      </c>
      <c r="I33" s="371">
        <f>$I$17+IF($A33=TRUE,$AD$3,0)+F33</f>
        <v>0</v>
      </c>
      <c r="J33" s="372"/>
      <c r="L33" s="47" t="s">
        <v>35</v>
      </c>
      <c r="M33" s="47"/>
      <c r="N33" s="313"/>
      <c r="O33" s="47"/>
      <c r="P33" s="47" t="s">
        <v>68</v>
      </c>
      <c r="Q33" s="47"/>
      <c r="R33" s="47"/>
      <c r="S33" s="47"/>
      <c r="T33" s="47"/>
      <c r="U33" s="368" t="s">
        <v>69</v>
      </c>
      <c r="V33" s="47"/>
      <c r="W33" s="47" t="s">
        <v>70</v>
      </c>
      <c r="X33" s="47"/>
      <c r="Y33" s="47"/>
      <c r="Z33" s="47"/>
      <c r="AA33" s="47" t="s">
        <v>71</v>
      </c>
      <c r="AB33" s="47"/>
      <c r="AD33" s="396"/>
      <c r="AE33" s="396"/>
      <c r="AF33" s="396"/>
      <c r="AG33" s="396"/>
      <c r="AM33" s="396"/>
      <c r="AN33" s="396"/>
      <c r="AO33" s="396"/>
      <c r="AP33" s="396"/>
    </row>
    <row r="34" ht="17" customHeight="1" spans="1:46">
      <c r="A34" s="316" t="b">
        <v>0</v>
      </c>
      <c r="B34" s="317"/>
      <c r="C34" s="370" t="s">
        <v>95</v>
      </c>
      <c r="D34" s="370"/>
      <c r="E34" s="370"/>
      <c r="F34" s="210"/>
      <c r="G34" s="210"/>
      <c r="H34" s="300" t="s">
        <v>18</v>
      </c>
      <c r="I34" s="371">
        <f>$I$17+IF($A34=TRUE,$AD$3,0)+F34</f>
        <v>0</v>
      </c>
      <c r="J34" s="372"/>
      <c r="L34" s="373" t="s">
        <v>75</v>
      </c>
      <c r="M34" s="373"/>
      <c r="N34" s="300" t="s">
        <v>18</v>
      </c>
      <c r="O34" s="210"/>
      <c r="P34" s="210"/>
      <c r="Q34" s="210"/>
      <c r="R34" s="210"/>
      <c r="S34" s="210"/>
      <c r="T34" s="210"/>
      <c r="U34" s="374"/>
      <c r="V34" s="374"/>
      <c r="W34" s="374"/>
      <c r="X34" s="374"/>
      <c r="Y34" s="374"/>
      <c r="Z34" s="374"/>
      <c r="AA34" s="375"/>
      <c r="AB34" s="375"/>
      <c r="AD34" s="42" t="s">
        <v>96</v>
      </c>
      <c r="AE34" s="42"/>
      <c r="AF34" s="42"/>
      <c r="AG34" s="42"/>
      <c r="AH34" s="42"/>
      <c r="AI34" s="42"/>
      <c r="AJ34" s="42"/>
      <c r="AK34" s="42"/>
      <c r="AL34" s="42"/>
      <c r="AM34" s="42"/>
      <c r="AN34" s="42"/>
      <c r="AO34" s="42"/>
      <c r="AP34" s="42"/>
      <c r="AQ34" s="42"/>
      <c r="AR34" s="42"/>
      <c r="AS34" s="42"/>
    </row>
    <row r="35" ht="17" customHeight="1" spans="1:46">
      <c r="A35" s="316" t="b">
        <v>0</v>
      </c>
      <c r="B35" s="317"/>
      <c r="C35" s="370" t="s">
        <v>97</v>
      </c>
      <c r="D35" s="370"/>
      <c r="E35" s="370"/>
      <c r="F35" s="210"/>
      <c r="G35" s="210"/>
      <c r="H35" s="300" t="s">
        <v>18</v>
      </c>
      <c r="I35" s="371">
        <f>$I$17+IF($A35=TRUE,$AD$3,0)+F35</f>
        <v>0</v>
      </c>
      <c r="J35" s="372"/>
      <c r="L35" s="373" t="s">
        <v>75</v>
      </c>
      <c r="M35" s="373"/>
      <c r="N35" s="300" t="s">
        <v>18</v>
      </c>
      <c r="O35" s="211"/>
      <c r="P35" s="211"/>
      <c r="Q35" s="211"/>
      <c r="R35" s="211"/>
      <c r="S35" s="211"/>
      <c r="T35" s="211"/>
      <c r="U35" s="389"/>
      <c r="V35" s="389"/>
      <c r="W35" s="389"/>
      <c r="X35" s="389"/>
      <c r="Y35" s="389"/>
      <c r="Z35" s="389"/>
      <c r="AA35" s="390"/>
      <c r="AB35" s="390"/>
      <c r="AC35" s="51"/>
      <c r="AD35" s="47" t="s">
        <v>98</v>
      </c>
      <c r="AE35" s="47"/>
      <c r="AF35" s="47"/>
      <c r="AH35" s="47" t="s">
        <v>99</v>
      </c>
      <c r="AI35" s="47"/>
      <c r="AJ35" s="47"/>
      <c r="AK35" s="47"/>
      <c r="AL35" s="47"/>
      <c r="AN35" s="47" t="s">
        <v>100</v>
      </c>
      <c r="AO35" s="47"/>
      <c r="AP35" s="47"/>
      <c r="AQ35" s="47"/>
      <c r="AR35" s="47"/>
      <c r="AS35" s="47"/>
    </row>
    <row r="36" ht="17" customHeight="1" spans="1:46">
      <c r="A36" s="316" t="b">
        <v>0</v>
      </c>
      <c r="B36" s="317"/>
      <c r="C36" s="370" t="s">
        <v>101</v>
      </c>
      <c r="D36" s="370"/>
      <c r="E36" s="370"/>
      <c r="F36" s="210"/>
      <c r="G36" s="210"/>
      <c r="H36" s="300" t="s">
        <v>18</v>
      </c>
      <c r="I36" s="371">
        <f>$I$17+IF($A36=TRUE,$AD$3,0)+F36</f>
        <v>0</v>
      </c>
      <c r="J36" s="372"/>
      <c r="L36" s="373" t="s">
        <v>75</v>
      </c>
      <c r="M36" s="373"/>
      <c r="N36" s="300" t="s">
        <v>18</v>
      </c>
      <c r="O36" s="210"/>
      <c r="P36" s="210"/>
      <c r="Q36" s="210"/>
      <c r="R36" s="210"/>
      <c r="S36" s="210"/>
      <c r="T36" s="210"/>
      <c r="U36" s="374"/>
      <c r="V36" s="374"/>
      <c r="W36" s="374"/>
      <c r="X36" s="374"/>
      <c r="Y36" s="374"/>
      <c r="Z36" s="374"/>
      <c r="AA36" s="375"/>
      <c r="AB36" s="375"/>
      <c r="AC36" s="51"/>
      <c r="AD36" s="44"/>
      <c r="AE36" s="44"/>
      <c r="AF36" s="44"/>
      <c r="AG36" s="300" t="s">
        <v>18</v>
      </c>
      <c r="AH36" s="385" t="str">
        <f>IFERROR(VLOOKUP(AD36,法术书目录!W49:Y51,3,FALSE),"")</f>
        <v/>
      </c>
      <c r="AI36" s="386"/>
      <c r="AJ36" s="386"/>
      <c r="AK36" s="397" t="str">
        <f>IFERROR(CONCATENATE(VLOOKUP(AD36,$C$11:$J$22,7,FALSE),"+",$AD$3),"")</f>
        <v/>
      </c>
      <c r="AL36" s="398"/>
      <c r="AN36" s="399"/>
      <c r="AO36" s="399"/>
      <c r="AP36" s="399"/>
      <c r="AQ36" s="399" t="str">
        <f>IFERROR(VLOOKUP(AN36,法术书目录!$O$9:$P$20,2,FALSE),"")</f>
        <v/>
      </c>
      <c r="AR36" s="399"/>
      <c r="AS36" s="399"/>
    </row>
    <row r="37" ht="17" customHeight="1" spans="1:46">
      <c r="B37" s="47" t="s">
        <v>102</v>
      </c>
      <c r="C37" s="47"/>
      <c r="D37" s="47"/>
      <c r="E37" s="47"/>
      <c r="F37" s="47"/>
      <c r="G37" s="47"/>
      <c r="H37" s="51"/>
      <c r="I37" s="379"/>
      <c r="J37" s="379"/>
      <c r="L37" s="373" t="s">
        <v>75</v>
      </c>
      <c r="M37" s="373"/>
      <c r="N37" s="300" t="s">
        <v>18</v>
      </c>
      <c r="O37" s="211"/>
      <c r="P37" s="211"/>
      <c r="Q37" s="211"/>
      <c r="R37" s="211"/>
      <c r="S37" s="211"/>
      <c r="T37" s="211"/>
      <c r="U37" s="389"/>
      <c r="V37" s="389"/>
      <c r="W37" s="389"/>
      <c r="X37" s="389"/>
      <c r="Y37" s="389"/>
      <c r="Z37" s="389"/>
      <c r="AA37" s="390"/>
      <c r="AB37" s="390"/>
      <c r="AC37" s="51"/>
      <c r="AD37" s="212"/>
      <c r="AE37" s="212"/>
      <c r="AF37" s="212" t="s">
        <v>18</v>
      </c>
      <c r="AG37" s="300" t="s">
        <v>18</v>
      </c>
      <c r="AH37" s="391" t="str">
        <f>IFERROR(VLOOKUP(AD37,法术书目录!W49:Y51,3,FALSE),"")</f>
        <v/>
      </c>
      <c r="AI37" s="392"/>
      <c r="AJ37" s="392"/>
      <c r="AK37" s="400" t="str">
        <f>IFERROR(CONCATENATE(VLOOKUP(AD37,$C$11:$J$22,7,FALSE),"+",$AD$3),"")</f>
        <v/>
      </c>
      <c r="AL37" s="401"/>
      <c r="AN37" s="402"/>
      <c r="AO37" s="402"/>
      <c r="AP37" s="402"/>
      <c r="AQ37" s="402" t="str">
        <f>IFERROR(VLOOKUP(AN37,法术书目录!$O$9:$P$20,2,FALSE),"")</f>
        <v/>
      </c>
      <c r="AR37" s="402"/>
      <c r="AS37" s="402"/>
    </row>
    <row r="38" ht="17" customHeight="1" spans="1:46">
      <c r="A38" s="316" t="b">
        <v>0</v>
      </c>
      <c r="B38" s="317"/>
      <c r="C38" s="370" t="s">
        <v>103</v>
      </c>
      <c r="D38" s="370"/>
      <c r="E38" s="370"/>
      <c r="F38" s="210"/>
      <c r="G38" s="210"/>
      <c r="H38" s="300" t="s">
        <v>18</v>
      </c>
      <c r="I38" s="371">
        <f>$I$19+IF($A38=TRUE,$AD$3,0)+F38</f>
        <v>0</v>
      </c>
      <c r="J38" s="372"/>
      <c r="L38" s="373" t="s">
        <v>75</v>
      </c>
      <c r="M38" s="373"/>
      <c r="N38" s="300" t="s">
        <v>18</v>
      </c>
      <c r="O38" s="210"/>
      <c r="P38" s="210"/>
      <c r="Q38" s="210"/>
      <c r="R38" s="210"/>
      <c r="S38" s="210"/>
      <c r="T38" s="210"/>
      <c r="U38" s="374"/>
      <c r="V38" s="374"/>
      <c r="W38" s="374"/>
      <c r="X38" s="374"/>
      <c r="Y38" s="374"/>
      <c r="Z38" s="374"/>
      <c r="AA38" s="375"/>
      <c r="AB38" s="375"/>
      <c r="AC38" s="51"/>
      <c r="AO38" s="47" t="s">
        <v>104</v>
      </c>
      <c r="AP38" s="47"/>
      <c r="AQ38" s="47"/>
      <c r="AR38" s="47"/>
      <c r="AS38" s="47"/>
    </row>
    <row r="39" ht="17" customHeight="1" spans="1:46">
      <c r="A39" s="316" t="b">
        <v>0</v>
      </c>
      <c r="B39" s="317"/>
      <c r="C39" s="370" t="s">
        <v>105</v>
      </c>
      <c r="D39" s="370"/>
      <c r="E39" s="370"/>
      <c r="F39" s="210"/>
      <c r="G39" s="210"/>
      <c r="H39" s="300" t="s">
        <v>18</v>
      </c>
      <c r="I39" s="371">
        <f>$I$19+IF($A39=TRUE,$AD$3,0)+F39</f>
        <v>0</v>
      </c>
      <c r="J39" s="372"/>
      <c r="L39" s="373" t="s">
        <v>75</v>
      </c>
      <c r="M39" s="373"/>
      <c r="N39" s="300" t="s">
        <v>18</v>
      </c>
      <c r="O39" s="211"/>
      <c r="P39" s="211"/>
      <c r="Q39" s="211"/>
      <c r="R39" s="211"/>
      <c r="S39" s="211"/>
      <c r="T39" s="211"/>
      <c r="U39" s="389"/>
      <c r="V39" s="389"/>
      <c r="W39" s="389"/>
      <c r="X39" s="389"/>
      <c r="Y39" s="389"/>
      <c r="Z39" s="389"/>
      <c r="AA39" s="390"/>
      <c r="AB39" s="390"/>
      <c r="AC39" s="51"/>
      <c r="AD39" s="43" t="s">
        <v>54</v>
      </c>
      <c r="AE39" s="43"/>
      <c r="AF39" s="43"/>
      <c r="AG39" s="43"/>
      <c r="AH39" s="43"/>
      <c r="AI39" s="358" t="s">
        <v>52</v>
      </c>
      <c r="AJ39" s="358"/>
      <c r="AK39" s="358"/>
      <c r="AM39" s="403">
        <v>1</v>
      </c>
      <c r="AN39" s="403"/>
      <c r="AO39" s="404"/>
      <c r="AP39" s="405"/>
      <c r="AQ39" s="406" t="s">
        <v>42</v>
      </c>
      <c r="AR39" s="407"/>
      <c r="AS39" s="408"/>
    </row>
    <row r="40" ht="17" customHeight="1" spans="1:46">
      <c r="A40" s="316" t="b">
        <v>0</v>
      </c>
      <c r="B40" s="317"/>
      <c r="C40" s="370" t="s">
        <v>106</v>
      </c>
      <c r="D40" s="370"/>
      <c r="E40" s="370"/>
      <c r="F40" s="210"/>
      <c r="G40" s="210"/>
      <c r="H40" s="300" t="s">
        <v>18</v>
      </c>
      <c r="I40" s="371">
        <f>$I$19+IF($A40=TRUE,$AD$3,0)+F40</f>
        <v>0</v>
      </c>
      <c r="J40" s="372"/>
      <c r="L40" s="373" t="s">
        <v>75</v>
      </c>
      <c r="M40" s="373"/>
      <c r="N40" s="300" t="s">
        <v>18</v>
      </c>
      <c r="O40" s="210"/>
      <c r="P40" s="210"/>
      <c r="Q40" s="210"/>
      <c r="R40" s="210"/>
      <c r="S40" s="210"/>
      <c r="T40" s="210"/>
      <c r="U40" s="374"/>
      <c r="V40" s="374"/>
      <c r="W40" s="374"/>
      <c r="X40" s="374"/>
      <c r="Y40" s="374"/>
      <c r="Z40" s="374"/>
      <c r="AA40" s="375"/>
      <c r="AB40" s="375"/>
      <c r="AC40" s="51"/>
      <c r="AD40" s="323" t="s">
        <v>107</v>
      </c>
      <c r="AE40" s="323"/>
      <c r="AF40" s="323"/>
      <c r="AG40" s="323"/>
      <c r="AH40" s="323"/>
      <c r="AI40" s="409">
        <f>SUM(8+AD3+IF(AI39="智力",I17,IF(AI39="感知",I19,IF(AI39="魅力",I21,))))</f>
        <v>10</v>
      </c>
      <c r="AJ40" s="409"/>
      <c r="AK40" s="409"/>
      <c r="AM40" s="403">
        <v>2</v>
      </c>
      <c r="AN40" s="403"/>
      <c r="AO40" s="404"/>
      <c r="AP40" s="405"/>
      <c r="AQ40" s="406" t="s">
        <v>42</v>
      </c>
      <c r="AR40" s="407"/>
      <c r="AS40" s="408"/>
    </row>
    <row r="41" ht="17" customHeight="1" spans="1:46">
      <c r="A41" s="316" t="b">
        <v>0</v>
      </c>
      <c r="B41" s="317"/>
      <c r="C41" s="370" t="s">
        <v>108</v>
      </c>
      <c r="D41" s="370"/>
      <c r="E41" s="370"/>
      <c r="F41" s="210"/>
      <c r="G41" s="210"/>
      <c r="H41" s="300" t="s">
        <v>18</v>
      </c>
      <c r="I41" s="371">
        <f>$I$19+IF($A41=TRUE,$AD$3,0)+F41</f>
        <v>0</v>
      </c>
      <c r="J41" s="372"/>
      <c r="L41" s="373" t="s">
        <v>75</v>
      </c>
      <c r="M41" s="373"/>
      <c r="N41" s="300" t="s">
        <v>18</v>
      </c>
      <c r="O41" s="211"/>
      <c r="P41" s="211"/>
      <c r="Q41" s="211"/>
      <c r="R41" s="211"/>
      <c r="S41" s="211"/>
      <c r="T41" s="211"/>
      <c r="U41" s="389"/>
      <c r="V41" s="389"/>
      <c r="W41" s="389"/>
      <c r="X41" s="389"/>
      <c r="Y41" s="389"/>
      <c r="Z41" s="389"/>
      <c r="AA41" s="390"/>
      <c r="AB41" s="390"/>
      <c r="AC41" s="51"/>
      <c r="AD41" s="323"/>
      <c r="AE41" s="323"/>
      <c r="AF41" s="323"/>
      <c r="AG41" s="323"/>
      <c r="AH41" s="323"/>
      <c r="AI41" s="409"/>
      <c r="AJ41" s="409"/>
      <c r="AK41" s="409"/>
      <c r="AM41" s="403">
        <v>3</v>
      </c>
      <c r="AN41" s="403"/>
      <c r="AO41" s="404"/>
      <c r="AP41" s="405"/>
      <c r="AQ41" s="406" t="s">
        <v>42</v>
      </c>
      <c r="AR41" s="407"/>
      <c r="AS41" s="408"/>
    </row>
    <row r="42" ht="17" customHeight="1" spans="1:46">
      <c r="A42" s="316" t="b">
        <v>0</v>
      </c>
      <c r="B42" s="317"/>
      <c r="C42" s="370" t="s">
        <v>109</v>
      </c>
      <c r="D42" s="370"/>
      <c r="E42" s="370"/>
      <c r="F42" s="210"/>
      <c r="G42" s="210"/>
      <c r="H42" s="300" t="s">
        <v>18</v>
      </c>
      <c r="I42" s="371">
        <f>$I$19+IF($A42=TRUE,$AD$3,0)+F42</f>
        <v>0</v>
      </c>
      <c r="J42" s="372"/>
      <c r="L42" s="373" t="s">
        <v>75</v>
      </c>
      <c r="M42" s="373"/>
      <c r="N42" s="300" t="s">
        <v>18</v>
      </c>
      <c r="O42" s="210"/>
      <c r="P42" s="210"/>
      <c r="Q42" s="210"/>
      <c r="R42" s="210"/>
      <c r="S42" s="210"/>
      <c r="T42" s="210"/>
      <c r="U42" s="374"/>
      <c r="V42" s="374"/>
      <c r="W42" s="374"/>
      <c r="X42" s="374"/>
      <c r="Y42" s="374"/>
      <c r="Z42" s="374"/>
      <c r="AA42" s="375"/>
      <c r="AB42" s="375"/>
      <c r="AC42" s="51"/>
      <c r="AE42" s="47" t="s">
        <v>110</v>
      </c>
      <c r="AF42" s="47"/>
      <c r="AG42" s="47"/>
      <c r="AH42" s="47"/>
      <c r="AI42" s="47"/>
      <c r="AJ42" s="47"/>
      <c r="AK42" s="47"/>
      <c r="AM42" s="403">
        <v>4</v>
      </c>
      <c r="AN42" s="403"/>
      <c r="AO42" s="404"/>
      <c r="AP42" s="405"/>
      <c r="AQ42" s="406" t="s">
        <v>42</v>
      </c>
      <c r="AR42" s="407"/>
      <c r="AS42" s="408"/>
    </row>
    <row r="43" ht="17" customHeight="1" spans="1:46">
      <c r="B43" s="47" t="s">
        <v>111</v>
      </c>
      <c r="C43" s="47"/>
      <c r="D43" s="47"/>
      <c r="E43" s="47"/>
      <c r="F43" s="47"/>
      <c r="G43" s="47"/>
      <c r="H43" s="51"/>
      <c r="I43" s="379"/>
      <c r="J43" s="379"/>
      <c r="L43" s="410" t="s">
        <v>112</v>
      </c>
      <c r="M43" s="410"/>
      <c r="N43" s="410"/>
      <c r="O43" s="411">
        <v>5</v>
      </c>
      <c r="P43" s="412"/>
      <c r="Q43" s="47"/>
      <c r="R43" s="47" t="s">
        <v>113</v>
      </c>
      <c r="S43" s="47"/>
      <c r="T43" s="47"/>
      <c r="U43" s="47"/>
      <c r="V43" s="47"/>
      <c r="W43" s="47"/>
      <c r="X43" s="47"/>
      <c r="Y43" s="47"/>
      <c r="Z43" s="47"/>
      <c r="AA43" s="47"/>
      <c r="AB43" s="47"/>
      <c r="AC43" s="47"/>
      <c r="AE43" s="413" t="s">
        <v>114</v>
      </c>
      <c r="AF43" s="414"/>
      <c r="AG43" s="49"/>
      <c r="AH43" s="49"/>
      <c r="AI43" s="49"/>
      <c r="AJ43" s="49"/>
      <c r="AK43" s="49"/>
      <c r="AM43" s="403">
        <v>5</v>
      </c>
      <c r="AN43" s="403"/>
      <c r="AO43" s="404"/>
      <c r="AP43" s="405"/>
      <c r="AQ43" s="406" t="s">
        <v>42</v>
      </c>
      <c r="AR43" s="407"/>
      <c r="AS43" s="408"/>
    </row>
    <row r="44" ht="17" customHeight="1" spans="1:46">
      <c r="A44" s="316" t="b">
        <v>0</v>
      </c>
      <c r="B44" s="317"/>
      <c r="C44" s="370" t="s">
        <v>115</v>
      </c>
      <c r="D44" s="370"/>
      <c r="E44" s="370"/>
      <c r="F44" s="210"/>
      <c r="G44" s="210"/>
      <c r="H44" s="300" t="s">
        <v>18</v>
      </c>
      <c r="I44" s="371">
        <f>$I$21+IF($A44=TRUE,$AD$3,0)+F44</f>
        <v>0</v>
      </c>
      <c r="J44" s="372"/>
      <c r="L44" s="415" t="s">
        <v>62</v>
      </c>
      <c r="M44" s="416"/>
      <c r="N44" s="417"/>
      <c r="O44" s="415" t="s">
        <v>116</v>
      </c>
      <c r="P44" s="416"/>
      <c r="Q44" s="417"/>
      <c r="R44" s="415" t="s">
        <v>117</v>
      </c>
      <c r="S44" s="416"/>
      <c r="T44" s="417"/>
      <c r="U44" s="300" t="s">
        <v>18</v>
      </c>
      <c r="V44" s="43" t="s">
        <v>118</v>
      </c>
      <c r="W44" s="43"/>
      <c r="X44" s="43"/>
      <c r="Y44" s="43"/>
      <c r="Z44" s="300" t="s">
        <v>40</v>
      </c>
      <c r="AA44" s="415" t="s">
        <v>119</v>
      </c>
      <c r="AB44" s="416"/>
      <c r="AC44" s="417"/>
      <c r="AD44" s="300" t="s">
        <v>40</v>
      </c>
      <c r="AE44" s="418" t="s">
        <v>120</v>
      </c>
      <c r="AF44" s="419"/>
      <c r="AG44" s="55"/>
      <c r="AH44" s="55"/>
      <c r="AI44" s="55"/>
      <c r="AJ44" s="55"/>
      <c r="AK44" s="55"/>
      <c r="AM44" s="403">
        <v>6</v>
      </c>
      <c r="AN44" s="403"/>
      <c r="AO44" s="404"/>
      <c r="AP44" s="405"/>
      <c r="AQ44" s="406" t="s">
        <v>42</v>
      </c>
      <c r="AR44" s="407"/>
      <c r="AS44" s="408"/>
    </row>
    <row r="45" ht="17" customHeight="1" spans="1:46">
      <c r="A45" s="316" t="b">
        <v>0</v>
      </c>
      <c r="B45" s="317"/>
      <c r="C45" s="370" t="s">
        <v>121</v>
      </c>
      <c r="D45" s="370"/>
      <c r="E45" s="370"/>
      <c r="F45" s="210"/>
      <c r="G45" s="210"/>
      <c r="H45" s="300" t="s">
        <v>18</v>
      </c>
      <c r="I45" s="371">
        <f>$I$21+IF($A45=TRUE,$AD$3,0)+F45</f>
        <v>0</v>
      </c>
      <c r="J45" s="372"/>
      <c r="L45" s="420">
        <f>SUM(AA34:AB42,AA28:AB32,AA26,AR26)</f>
        <v>0</v>
      </c>
      <c r="M45" s="421"/>
      <c r="N45" s="422"/>
      <c r="O45" s="420">
        <f>背包!V3</f>
        <v>0</v>
      </c>
      <c r="P45" s="421"/>
      <c r="Q45" s="422"/>
      <c r="R45" s="420">
        <f>背包!AS3</f>
        <v>0</v>
      </c>
      <c r="S45" s="421"/>
      <c r="T45" s="422"/>
      <c r="U45" s="300"/>
      <c r="V45" s="423">
        <f>SUM(L45:T45)+AA45+AA47</f>
        <v>0</v>
      </c>
      <c r="W45" s="423"/>
      <c r="X45" s="423"/>
      <c r="Y45" s="423"/>
      <c r="Z45" s="300"/>
      <c r="AA45" s="424">
        <f>SUM(AG43:AK47)/50</f>
        <v>0</v>
      </c>
      <c r="AB45" s="424"/>
      <c r="AC45" s="424"/>
      <c r="AD45" s="300"/>
      <c r="AE45" s="425" t="s">
        <v>122</v>
      </c>
      <c r="AF45" s="426"/>
      <c r="AG45" s="49"/>
      <c r="AH45" s="49"/>
      <c r="AI45" s="49"/>
      <c r="AJ45" s="49"/>
      <c r="AK45" s="49"/>
      <c r="AM45" s="403">
        <v>7</v>
      </c>
      <c r="AN45" s="403"/>
      <c r="AO45" s="404"/>
      <c r="AP45" s="405"/>
      <c r="AQ45" s="406" t="s">
        <v>42</v>
      </c>
      <c r="AR45" s="407"/>
      <c r="AS45" s="408"/>
    </row>
    <row r="46" ht="17" customHeight="1" spans="1:46">
      <c r="A46" s="316" t="b">
        <v>0</v>
      </c>
      <c r="B46" s="317"/>
      <c r="C46" s="370" t="s">
        <v>123</v>
      </c>
      <c r="D46" s="370"/>
      <c r="E46" s="370"/>
      <c r="F46" s="210"/>
      <c r="G46" s="210"/>
      <c r="H46" s="300" t="s">
        <v>18</v>
      </c>
      <c r="I46" s="371">
        <f>$I$21+IF($A46=TRUE,$AD$3,0)+F46</f>
        <v>0</v>
      </c>
      <c r="J46" s="372"/>
      <c r="L46" s="415" t="s">
        <v>124</v>
      </c>
      <c r="M46" s="416"/>
      <c r="N46" s="417"/>
      <c r="O46" s="415" t="s">
        <v>125</v>
      </c>
      <c r="P46" s="416"/>
      <c r="Q46" s="417"/>
      <c r="R46" s="415" t="s">
        <v>126</v>
      </c>
      <c r="S46" s="416"/>
      <c r="T46" s="417"/>
      <c r="V46" s="43" t="s">
        <v>127</v>
      </c>
      <c r="W46" s="43"/>
      <c r="X46" s="43"/>
      <c r="Y46" s="43"/>
      <c r="AA46" s="415" t="s">
        <v>128</v>
      </c>
      <c r="AB46" s="416"/>
      <c r="AC46" s="417"/>
      <c r="AE46" s="427" t="s">
        <v>129</v>
      </c>
      <c r="AF46" s="428"/>
      <c r="AG46" s="55"/>
      <c r="AH46" s="55"/>
      <c r="AI46" s="55"/>
      <c r="AJ46" s="55"/>
      <c r="AK46" s="55"/>
      <c r="AM46" s="403">
        <v>8</v>
      </c>
      <c r="AN46" s="403"/>
      <c r="AO46" s="404"/>
      <c r="AP46" s="405"/>
      <c r="AQ46" s="406" t="s">
        <v>42</v>
      </c>
      <c r="AR46" s="407"/>
      <c r="AS46" s="408"/>
    </row>
    <row r="47" ht="17" customHeight="1" spans="1:46">
      <c r="A47" s="316" t="b">
        <v>0</v>
      </c>
      <c r="B47" s="317"/>
      <c r="C47" s="370" t="s">
        <v>130</v>
      </c>
      <c r="D47" s="370"/>
      <c r="E47" s="370"/>
      <c r="F47" s="210"/>
      <c r="G47" s="210"/>
      <c r="H47" s="300" t="s">
        <v>18</v>
      </c>
      <c r="I47" s="371">
        <f>$I$21+IF($A47=TRUE,$AD$3,0)+F47</f>
        <v>0</v>
      </c>
      <c r="J47" s="372"/>
      <c r="L47" s="420">
        <f>F11*O43</f>
        <v>50</v>
      </c>
      <c r="M47" s="421"/>
      <c r="N47" s="422"/>
      <c r="O47" s="420">
        <f>F11*O43*2</f>
        <v>100</v>
      </c>
      <c r="P47" s="421"/>
      <c r="Q47" s="422"/>
      <c r="R47" s="420">
        <f>F11*O43*3</f>
        <v>150</v>
      </c>
      <c r="S47" s="421"/>
      <c r="T47" s="422"/>
      <c r="V47" s="423" t="str">
        <f>IF(V45&lt;=L47,"轻载",IF(V45&lt;=O47,"中载",IF(V45&lt;=R47,"重载","重载")))</f>
        <v>轻载</v>
      </c>
      <c r="W47" s="423"/>
      <c r="X47" s="423"/>
      <c r="Y47" s="423"/>
      <c r="AA47" s="429">
        <f>IF(背包!V27="无效",0,15)+IF(背包!AS27="无效",0,15)</f>
        <v>0</v>
      </c>
      <c r="AB47" s="429"/>
      <c r="AC47" s="429"/>
      <c r="AE47" s="430" t="s">
        <v>131</v>
      </c>
      <c r="AF47" s="431"/>
      <c r="AG47" s="49"/>
      <c r="AH47" s="49"/>
      <c r="AI47" s="49"/>
      <c r="AJ47" s="49"/>
      <c r="AK47" s="49"/>
      <c r="AM47" s="403">
        <v>9</v>
      </c>
      <c r="AN47" s="403"/>
      <c r="AO47" s="404"/>
      <c r="AP47" s="405"/>
      <c r="AQ47" s="406" t="s">
        <v>42</v>
      </c>
      <c r="AR47" s="407"/>
      <c r="AS47" s="408"/>
    </row>
    <row r="48" ht="17" customHeight="1" spans="1:46">
      <c r="B48" s="47" t="s">
        <v>132</v>
      </c>
      <c r="C48" s="47"/>
      <c r="D48" s="47"/>
      <c r="E48" s="47"/>
      <c r="F48" s="47"/>
      <c r="G48" s="47"/>
      <c r="H48" s="47"/>
      <c r="I48" s="47"/>
      <c r="J48" s="47"/>
      <c r="K48" s="47"/>
      <c r="M48" s="47" t="s">
        <v>133</v>
      </c>
      <c r="N48" s="47"/>
      <c r="O48" s="47"/>
      <c r="P48" s="47" t="s">
        <v>134</v>
      </c>
      <c r="Q48" s="47"/>
      <c r="R48" s="47"/>
      <c r="S48" s="47"/>
      <c r="T48" s="47"/>
      <c r="U48" s="47"/>
      <c r="V48" s="47" t="s">
        <v>135</v>
      </c>
      <c r="W48" s="47"/>
      <c r="X48" s="47"/>
      <c r="Y48" s="47"/>
      <c r="Z48" s="47"/>
      <c r="AA48" s="47"/>
      <c r="AB48" s="47" t="s">
        <v>136</v>
      </c>
      <c r="AC48" s="47"/>
      <c r="AD48" s="47"/>
      <c r="AE48" s="47"/>
      <c r="AF48" s="47"/>
      <c r="AG48" s="47"/>
      <c r="AH48" s="47" t="s">
        <v>137</v>
      </c>
      <c r="AI48" s="47"/>
      <c r="AJ48" s="47"/>
      <c r="AK48" s="47"/>
      <c r="AL48" s="47"/>
      <c r="AM48" s="47"/>
      <c r="AN48" s="47" t="s">
        <v>138</v>
      </c>
      <c r="AO48" s="47"/>
      <c r="AP48" s="47"/>
      <c r="AQ48" s="47"/>
      <c r="AR48" s="47"/>
      <c r="AS48" s="47"/>
      <c r="AT48" s="310"/>
    </row>
    <row r="49" ht="17" customHeight="1" spans="2:46">
      <c r="B49" s="210" t="str">
        <f>IFERROR(IF(VLOOKUP($C53,列表!$B:$T,17,FALSE)="!",".",""),"")</f>
        <v/>
      </c>
      <c r="C49" s="210"/>
      <c r="D49" s="210"/>
      <c r="E49" s="210"/>
      <c r="F49" s="210"/>
      <c r="G49" s="210"/>
      <c r="H49" s="210" t="s">
        <v>137</v>
      </c>
      <c r="I49" s="210"/>
      <c r="J49" s="210"/>
      <c r="K49" s="210"/>
      <c r="L49" s="432" t="s">
        <v>18</v>
      </c>
      <c r="M49" s="433" t="str">
        <f>IFERROR(IF(B49/50=0,"",B49/50),"")</f>
        <v/>
      </c>
      <c r="N49" s="433"/>
      <c r="O49" s="433"/>
      <c r="P49" s="433" t="str">
        <f>IFERROR(IF(VLOOKUP($H$49,法术书目录!$T$2:$Y$6,(HLOOKUP(P$48,法术书目录!$U$1:$Y$7,7,FALSE)+1),FALSE)*$B$49=0,"",VLOOKUP($H$49,法术书目录!$T$2:$Y$6,(HLOOKUP(P$48,法术书目录!$U$1:$Y$7,7,FALSE)+1),FALSE)*$B$49),"")</f>
        <v/>
      </c>
      <c r="Q49" s="433"/>
      <c r="R49" s="433"/>
      <c r="S49" s="433"/>
      <c r="T49" s="433"/>
      <c r="U49" s="433"/>
      <c r="V49" s="433" t="str">
        <f>IFERROR(IF(VLOOKUP($H$49,法术书目录!$T$2:$Y$6,(HLOOKUP(V$48,法术书目录!$U$1:$Y$7,7,FALSE)+1),FALSE)*$B$49=0,"",VLOOKUP($H$49,法术书目录!$T$2:$Y$6,(HLOOKUP(V$48,法术书目录!$U$1:$Y$7,7,FALSE)+1),FALSE)*$B$49),"")</f>
        <v/>
      </c>
      <c r="W49" s="433"/>
      <c r="X49" s="433"/>
      <c r="Y49" s="433"/>
      <c r="Z49" s="433"/>
      <c r="AA49" s="433"/>
      <c r="AB49" s="433" t="str">
        <f>IFERROR(IF(VLOOKUP($H$49,法术书目录!$T$2:$Y$6,(HLOOKUP(AB$48,法术书目录!$U$1:$Y$7,7,FALSE)+1),FALSE)*$B$49=0,"",VLOOKUP($H$49,法术书目录!$T$2:$Y$6,(HLOOKUP(AB$48,法术书目录!$U$1:$Y$7,7,FALSE)+1),FALSE)*$B$49),"")</f>
        <v/>
      </c>
      <c r="AC49" s="433"/>
      <c r="AD49" s="433"/>
      <c r="AE49" s="433"/>
      <c r="AF49" s="433"/>
      <c r="AG49" s="433"/>
      <c r="AH49" s="433" t="str">
        <f>IFERROR(IF(VLOOKUP($H$49,法术书目录!$T$2:$Y$6,(HLOOKUP(AH$48,法术书目录!$U$1:$Y$7,7,FALSE)+1),FALSE)*$B$49=0,"",VLOOKUP($H$49,法术书目录!$T$2:$Y$6,(HLOOKUP(AH$48,法术书目录!$U$1:$Y$7,7,FALSE)+1),FALSE)*$B$49),"")</f>
        <v/>
      </c>
      <c r="AI49" s="433"/>
      <c r="AJ49" s="433"/>
      <c r="AK49" s="433"/>
      <c r="AL49" s="433"/>
      <c r="AM49" s="433"/>
      <c r="AN49" s="433" t="str">
        <f>IFERROR(IF(VLOOKUP($H$49,法术书目录!$T$2:$Y$6,(HLOOKUP(AN$48,法术书目录!$U$1:$Y$7,7,FALSE)+1),FALSE)*$B$49=0,"",VLOOKUP($H$49,法术书目录!$T$2:$Y$6,(HLOOKUP(AN$48,法术书目录!$U$1:$Y$7,7,FALSE)+1),FALSE)*$B$49),"")</f>
        <v/>
      </c>
      <c r="AO49" s="433"/>
      <c r="AP49" s="433"/>
      <c r="AQ49" s="433"/>
      <c r="AR49" s="433"/>
      <c r="AS49" s="433"/>
      <c r="AT49" s="310"/>
    </row>
    <row r="50" ht="17" customHeight="1" spans="2:46">
      <c r="AP50" s="310"/>
      <c r="AQ50" s="310"/>
      <c r="AR50" s="310"/>
      <c r="AS50" s="310"/>
      <c r="AT50" s="310"/>
    </row>
    <row r="51" ht="17" customHeight="1" spans="2:46">
      <c r="B51" s="42"/>
      <c r="C51" s="42"/>
      <c r="D51" s="42"/>
      <c r="E51" s="42" t="s">
        <v>139</v>
      </c>
      <c r="F51" s="42"/>
      <c r="G51" s="42"/>
      <c r="H51" s="42"/>
      <c r="I51" s="42"/>
      <c r="J51" s="42"/>
      <c r="K51" s="42"/>
      <c r="L51" s="42"/>
      <c r="M51" s="42"/>
      <c r="N51" s="42"/>
      <c r="O51" s="42"/>
      <c r="P51" s="42"/>
      <c r="Q51" s="42"/>
      <c r="R51" s="42"/>
      <c r="S51" s="434" t="str">
        <f>IF(U51="","","已准备")</f>
        <v/>
      </c>
      <c r="T51" s="434"/>
      <c r="U51" s="366" t="str">
        <f>IF(COUNTA(C53:G67,J53:N67,Q53:U67)=0,"",COUNTA(C53:G67,J53:N67,Q53:U67))</f>
        <v/>
      </c>
      <c r="W51" s="42" t="s">
        <v>140</v>
      </c>
      <c r="X51" s="42"/>
      <c r="Y51" s="42"/>
      <c r="Z51" s="42"/>
      <c r="AA51" s="42"/>
      <c r="AB51" s="42"/>
      <c r="AC51" s="42"/>
      <c r="AD51" s="42"/>
      <c r="AE51" s="42"/>
      <c r="AF51" s="42"/>
      <c r="AG51" s="42"/>
      <c r="AH51" s="42"/>
      <c r="AI51" s="42"/>
      <c r="AJ51" s="42"/>
      <c r="AK51" s="42"/>
      <c r="AL51" s="42"/>
      <c r="AM51" s="42"/>
      <c r="AN51" s="42"/>
      <c r="AO51" s="42"/>
      <c r="AP51" s="42"/>
      <c r="AQ51" s="42"/>
      <c r="AR51" s="42"/>
      <c r="AS51" s="42"/>
      <c r="AT51" s="310"/>
    </row>
    <row r="52" ht="17" customHeight="1" spans="2:46">
      <c r="B52" s="47" t="s">
        <v>15</v>
      </c>
      <c r="C52" s="47" t="s">
        <v>141</v>
      </c>
      <c r="D52" s="47"/>
      <c r="E52" s="47"/>
      <c r="F52" s="47"/>
      <c r="G52" s="47"/>
      <c r="H52" s="47"/>
      <c r="I52" s="47" t="s">
        <v>15</v>
      </c>
      <c r="J52" s="47" t="s">
        <v>141</v>
      </c>
      <c r="K52" s="47"/>
      <c r="L52" s="47"/>
      <c r="M52" s="47"/>
      <c r="N52" s="47"/>
      <c r="O52" s="47"/>
      <c r="P52" s="47" t="s">
        <v>15</v>
      </c>
      <c r="Q52" s="47" t="s">
        <v>141</v>
      </c>
      <c r="R52" s="47"/>
      <c r="S52" s="47"/>
      <c r="T52" s="47"/>
      <c r="U52" s="47"/>
      <c r="W52" s="47" t="s">
        <v>142</v>
      </c>
      <c r="X52" s="47"/>
      <c r="Y52" s="47"/>
      <c r="Z52" s="47"/>
      <c r="AA52" s="47"/>
      <c r="AB52" s="396"/>
      <c r="AC52" s="47" t="s">
        <v>143</v>
      </c>
      <c r="AD52" s="47"/>
      <c r="AE52" s="396"/>
      <c r="AF52" s="47" t="s">
        <v>144</v>
      </c>
      <c r="AG52" s="47"/>
      <c r="AH52" s="47"/>
      <c r="AI52" s="47"/>
      <c r="AJ52" s="47"/>
      <c r="AK52" s="47"/>
      <c r="AL52" s="396"/>
      <c r="AM52" s="47" t="s">
        <v>145</v>
      </c>
      <c r="AN52" s="47"/>
      <c r="AO52" s="47"/>
      <c r="AP52" s="47"/>
      <c r="AQ52" s="47"/>
      <c r="AR52" s="47"/>
      <c r="AS52" s="47"/>
      <c r="AT52" s="310"/>
    </row>
    <row r="53" ht="17" customHeight="1" spans="2:46">
      <c r="B53" s="435" t="str">
        <f>CONCATENATE(IFERROR(VLOOKUP((VLOOKUP($C53,列表!$B:$T,13,FALSE)),法术书目录!$Q$1:$R$10,2,FALSE),""),IFERROR(IF(VLOOKUP($C53,列表!$B:$T,17,FALSE)="!",".",""),""))</f>
        <v/>
      </c>
      <c r="C53" s="436"/>
      <c r="D53" s="436"/>
      <c r="E53" s="436"/>
      <c r="F53" s="436"/>
      <c r="G53" s="436"/>
      <c r="I53" s="435" t="str">
        <f>CONCATENATE(IFERROR(VLOOKUP((VLOOKUP($J53,列表!$B:$T,13,FALSE)),法术书目录!$Q$1:$R$10,2,FALSE),""),IFERROR(IF(VLOOKUP($J53,列表!$B:$T,17,FALSE)="!",".",""),""))</f>
        <v/>
      </c>
      <c r="J53" s="436"/>
      <c r="K53" s="436"/>
      <c r="L53" s="436"/>
      <c r="M53" s="436"/>
      <c r="N53" s="436"/>
      <c r="P53" s="435" t="str">
        <f>CONCATENATE(IFERROR(VLOOKUP((VLOOKUP($Q53,列表!$B:$T,13,FALSE)),法术书目录!$Q$1:$R$10,2,FALSE),""),IFERROR(IF(VLOOKUP($Q53,列表!$B:$T,17,FALSE)="!",".",""),""))</f>
        <v/>
      </c>
      <c r="Q53" s="436"/>
      <c r="R53" s="436"/>
      <c r="S53" s="436"/>
      <c r="T53" s="436"/>
      <c r="U53" s="436"/>
      <c r="W53" s="436"/>
      <c r="X53" s="436"/>
      <c r="Y53" s="436"/>
      <c r="Z53" s="436"/>
      <c r="AA53" s="436"/>
      <c r="AB53" s="396"/>
      <c r="AC53" s="435" t="str">
        <f>IFERROR(VLOOKUP(W53,列表!$B:$T,13,FALSE),"")</f>
        <v/>
      </c>
      <c r="AD53" s="435"/>
      <c r="AE53" s="396"/>
      <c r="AF53" s="435" t="str">
        <f>IFERROR(VLOOKUP(W53,列表!$B:$T,14,FALSE),"")</f>
        <v/>
      </c>
      <c r="AG53" s="435"/>
      <c r="AH53" s="435"/>
      <c r="AI53" s="435"/>
      <c r="AJ53" s="435"/>
      <c r="AK53" s="435"/>
      <c r="AL53" s="396"/>
      <c r="AM53" s="435" t="str">
        <f>IFERROR(VLOOKUP(W53,列表!$B:$T,3,FALSE),"")</f>
        <v/>
      </c>
      <c r="AN53" s="435"/>
      <c r="AO53" s="435"/>
      <c r="AP53" s="435"/>
      <c r="AQ53" s="435"/>
      <c r="AR53" s="435"/>
      <c r="AS53" s="435"/>
      <c r="AT53" s="310"/>
    </row>
    <row r="54" ht="17" customHeight="1" spans="2:46">
      <c r="B54" s="435" t="str">
        <f>CONCATENATE(IFERROR(VLOOKUP((VLOOKUP($C54,列表!$B:$T,13,FALSE)),法术书目录!$Q$1:$R$10,2,FALSE),""),IFERROR(IF(VLOOKUP($C54,列表!$B:$T,17,FALSE)="!",".",""),""))</f>
        <v/>
      </c>
      <c r="C54" s="436"/>
      <c r="D54" s="436"/>
      <c r="E54" s="436"/>
      <c r="F54" s="436"/>
      <c r="G54" s="436"/>
      <c r="I54" s="435" t="str">
        <f>CONCATENATE(IFERROR(VLOOKUP((VLOOKUP($J54,列表!$B:$T,13,FALSE)),法术书目录!$Q$1:$R$10,2,FALSE),""),IFERROR(IF(VLOOKUP($J54,列表!$B:$T,17,FALSE)="!",".",""),""))</f>
        <v/>
      </c>
      <c r="J54" s="436"/>
      <c r="K54" s="436"/>
      <c r="L54" s="436"/>
      <c r="M54" s="436"/>
      <c r="N54" s="436"/>
      <c r="P54" s="435" t="str">
        <f>CONCATENATE(IFERROR(VLOOKUP((VLOOKUP($Q54,列表!$B:$T,13,FALSE)),法术书目录!$Q$1:$R$10,2,FALSE),""),IFERROR(IF(VLOOKUP($Q54,列表!$B:$T,17,FALSE)="!",".",""),""))</f>
        <v/>
      </c>
      <c r="Q54" s="436"/>
      <c r="R54" s="436"/>
      <c r="S54" s="436"/>
      <c r="T54" s="436"/>
      <c r="U54" s="436"/>
      <c r="W54" s="47" t="s">
        <v>146</v>
      </c>
      <c r="X54" s="47"/>
      <c r="Y54" s="47"/>
      <c r="Z54" s="47"/>
      <c r="AA54" s="47"/>
      <c r="AB54" s="47"/>
      <c r="AC54" s="47"/>
      <c r="AD54" s="47"/>
      <c r="AE54" s="47"/>
      <c r="AF54" s="47"/>
      <c r="AG54" s="47"/>
      <c r="AH54" s="396"/>
      <c r="AI54" s="47" t="s">
        <v>147</v>
      </c>
      <c r="AJ54" s="47"/>
      <c r="AK54" s="47"/>
      <c r="AL54" s="47"/>
      <c r="AM54" s="47"/>
      <c r="AN54" s="47"/>
      <c r="AO54" s="47"/>
      <c r="AP54" s="47"/>
      <c r="AQ54" s="47"/>
      <c r="AR54" s="47"/>
      <c r="AS54" s="47"/>
      <c r="AT54" s="310"/>
    </row>
    <row r="55" ht="17" customHeight="1" spans="2:46">
      <c r="B55" s="435" t="str">
        <f>CONCATENATE(IFERROR(VLOOKUP((VLOOKUP($C55,列表!$B:$T,13,FALSE)),法术书目录!$Q$1:$R$10,2,FALSE),""),IFERROR(IF(VLOOKUP($C55,列表!$B:$T,17,FALSE)="!",".",""),""))</f>
        <v/>
      </c>
      <c r="C55" s="436"/>
      <c r="D55" s="436"/>
      <c r="E55" s="436"/>
      <c r="F55" s="436"/>
      <c r="G55" s="436"/>
      <c r="I55" s="435" t="str">
        <f>CONCATENATE(IFERROR(VLOOKUP((VLOOKUP($J55,列表!$B:$T,13,FALSE)),法术书目录!$Q$1:$R$10,2,FALSE),""),IFERROR(IF(VLOOKUP($J55,列表!$B:$T,17,FALSE)="!",".",""),""))</f>
        <v/>
      </c>
      <c r="J55" s="436"/>
      <c r="K55" s="436"/>
      <c r="L55" s="436"/>
      <c r="M55" s="436"/>
      <c r="N55" s="436"/>
      <c r="P55" s="435" t="str">
        <f>CONCATENATE(IFERROR(VLOOKUP((VLOOKUP($Q55,列表!$B:$T,13,FALSE)),法术书目录!$Q$1:$R$10,2,FALSE),""),IFERROR(IF(VLOOKUP($Q55,列表!$B:$T,17,FALSE)="!",".",""),""))</f>
        <v/>
      </c>
      <c r="Q55" s="436"/>
      <c r="R55" s="436"/>
      <c r="S55" s="436"/>
      <c r="T55" s="436"/>
      <c r="U55" s="436"/>
      <c r="W55" s="435" t="str">
        <f>IFERROR(VLOOKUP(W53,列表!$B:$T,5,FALSE),"")</f>
        <v/>
      </c>
      <c r="X55" s="435"/>
      <c r="Y55" s="435"/>
      <c r="Z55" s="435"/>
      <c r="AA55" s="435"/>
      <c r="AB55" s="435"/>
      <c r="AC55" s="435"/>
      <c r="AD55" s="435"/>
      <c r="AE55" s="435"/>
      <c r="AF55" s="435"/>
      <c r="AG55" s="435"/>
      <c r="AH55" s="396"/>
      <c r="AI55" s="435" t="str">
        <f>IFERROR(VLOOKUP(W53,列表!$B:$T,6,FALSE),"")</f>
        <v/>
      </c>
      <c r="AJ55" s="435"/>
      <c r="AK55" s="435"/>
      <c r="AL55" s="435"/>
      <c r="AM55" s="435"/>
      <c r="AN55" s="435"/>
      <c r="AO55" s="435"/>
      <c r="AP55" s="435"/>
      <c r="AQ55" s="435"/>
      <c r="AR55" s="435"/>
      <c r="AS55" s="435"/>
      <c r="AT55" s="310"/>
    </row>
    <row r="56" ht="17" customHeight="1" spans="2:46">
      <c r="B56" s="435" t="str">
        <f>CONCATENATE(IFERROR(VLOOKUP((VLOOKUP($C56,列表!$B:$T,13,FALSE)),法术书目录!$Q$1:$R$10,2,FALSE),""),IFERROR(IF(VLOOKUP($C56,列表!$B:$T,17,FALSE)="!",".",""),""))</f>
        <v/>
      </c>
      <c r="C56" s="436"/>
      <c r="D56" s="436"/>
      <c r="E56" s="436"/>
      <c r="F56" s="436"/>
      <c r="G56" s="436"/>
      <c r="I56" s="435" t="str">
        <f>CONCATENATE(IFERROR(VLOOKUP((VLOOKUP($J56,列表!$B:$T,13,FALSE)),法术书目录!$Q$1:$R$10,2,FALSE),""),IFERROR(IF(VLOOKUP($J56,列表!$B:$T,17,FALSE)="!",".",""),""))</f>
        <v/>
      </c>
      <c r="J56" s="436"/>
      <c r="K56" s="436"/>
      <c r="L56" s="436"/>
      <c r="M56" s="436"/>
      <c r="N56" s="436"/>
      <c r="P56" s="435" t="str">
        <f>CONCATENATE(IFERROR(VLOOKUP((VLOOKUP($Q56,列表!$B:$T,13,FALSE)),法术书目录!$Q$1:$R$10,2,FALSE),""),IFERROR(IF(VLOOKUP($Q56,列表!$B:$T,17,FALSE)="!",".",""),""))</f>
        <v/>
      </c>
      <c r="Q56" s="436"/>
      <c r="R56" s="436"/>
      <c r="S56" s="436"/>
      <c r="T56" s="436"/>
      <c r="U56" s="436"/>
      <c r="W56" s="47" t="s">
        <v>148</v>
      </c>
      <c r="X56" s="47"/>
      <c r="Y56" s="47"/>
      <c r="Z56" s="47"/>
      <c r="AA56" s="47"/>
      <c r="AB56" s="367"/>
      <c r="AC56" s="47" t="s">
        <v>149</v>
      </c>
      <c r="AD56" s="47"/>
      <c r="AE56" s="47"/>
      <c r="AF56" s="47"/>
      <c r="AG56" s="47"/>
      <c r="AH56" s="47"/>
      <c r="AI56" s="437" t="str">
        <f>IFERROR(VLOOKUP(W53,列表!$B:$T,15,FALSE),"")</f>
        <v/>
      </c>
      <c r="AJ56" s="437"/>
      <c r="AK56" s="437"/>
      <c r="AL56" s="437"/>
      <c r="AM56" s="437"/>
      <c r="AN56" s="437"/>
      <c r="AO56" s="437"/>
      <c r="AP56" s="437"/>
      <c r="AQ56" s="437"/>
      <c r="AR56" s="437"/>
      <c r="AS56" s="437"/>
      <c r="AT56" s="310"/>
    </row>
    <row r="57" ht="17" customHeight="1" spans="2:46">
      <c r="B57" s="435" t="str">
        <f>CONCATENATE(IFERROR(VLOOKUP((VLOOKUP($C57,列表!$B:$T,13,FALSE)),法术书目录!$Q$1:$R$10,2,FALSE),""),IFERROR(IF(VLOOKUP($C57,列表!$B:$T,17,FALSE)="!",".",""),""))</f>
        <v/>
      </c>
      <c r="C57" s="436"/>
      <c r="D57" s="436"/>
      <c r="E57" s="436"/>
      <c r="F57" s="436"/>
      <c r="G57" s="436"/>
      <c r="I57" s="435" t="str">
        <f>CONCATENATE(IFERROR(VLOOKUP((VLOOKUP($J57,列表!$B:$T,13,FALSE)),法术书目录!$Q$1:$R$10,2,FALSE),""),IFERROR(IF(VLOOKUP($J57,列表!$B:$T,17,FALSE)="!",".",""),""))</f>
        <v/>
      </c>
      <c r="J57" s="436"/>
      <c r="K57" s="436"/>
      <c r="L57" s="436"/>
      <c r="M57" s="436"/>
      <c r="N57" s="436"/>
      <c r="P57" s="435" t="str">
        <f>CONCATENATE(IFERROR(VLOOKUP((VLOOKUP($Q57,列表!$B:$T,13,FALSE)),法术书目录!$Q$1:$R$10,2,FALSE),""),IFERROR(IF(VLOOKUP($Q57,列表!$B:$T,17,FALSE)="!",".",""),""))</f>
        <v/>
      </c>
      <c r="Q57" s="436"/>
      <c r="R57" s="436"/>
      <c r="S57" s="436"/>
      <c r="T57" s="436"/>
      <c r="U57" s="436"/>
      <c r="W57" s="438" t="str">
        <f>IFERROR(VLOOKUP(W53,列表!$B:$T,8,FALSE),"")</f>
        <v/>
      </c>
      <c r="X57" s="439"/>
      <c r="Y57" s="439"/>
      <c r="Z57" s="439"/>
      <c r="AA57" s="440"/>
      <c r="AB57" s="441"/>
      <c r="AC57" s="438" t="str">
        <f>IFERROR(IF(VLOOKUP(W53,列表!$B:$T,16,FALSE)=0,"",VLOOKUP(W53,列表!$B:$T,16,FALSE)),"")</f>
        <v/>
      </c>
      <c r="AD57" s="439"/>
      <c r="AE57" s="439"/>
      <c r="AF57" s="439"/>
      <c r="AG57" s="439"/>
      <c r="AH57" s="439"/>
      <c r="AI57" s="439"/>
      <c r="AJ57" s="439"/>
      <c r="AK57" s="439"/>
      <c r="AL57" s="439"/>
      <c r="AM57" s="439"/>
      <c r="AN57" s="439"/>
      <c r="AO57" s="439"/>
      <c r="AP57" s="439"/>
      <c r="AQ57" s="439"/>
      <c r="AR57" s="439"/>
      <c r="AS57" s="440"/>
      <c r="AT57" s="310"/>
    </row>
    <row r="58" ht="17" customHeight="1" spans="2:46">
      <c r="B58" s="435" t="str">
        <f>CONCATENATE(IFERROR(VLOOKUP((VLOOKUP($C58,列表!$B:$T,13,FALSE)),法术书目录!$Q$1:$R$10,2,FALSE),""),IFERROR(IF(VLOOKUP($C58,列表!$B:$T,17,FALSE)="!",".",""),""))</f>
        <v/>
      </c>
      <c r="C58" s="436"/>
      <c r="D58" s="436"/>
      <c r="E58" s="436"/>
      <c r="F58" s="436"/>
      <c r="G58" s="436"/>
      <c r="I58" s="435" t="str">
        <f>CONCATENATE(IFERROR(VLOOKUP((VLOOKUP($J58,列表!$B:$T,13,FALSE)),法术书目录!$Q$1:$R$10,2,FALSE),""),IFERROR(IF(VLOOKUP($J58,列表!$B:$T,17,FALSE)="!",".",""),""))</f>
        <v/>
      </c>
      <c r="J58" s="436"/>
      <c r="K58" s="436"/>
      <c r="L58" s="436"/>
      <c r="M58" s="436"/>
      <c r="N58" s="436"/>
      <c r="P58" s="435" t="str">
        <f>CONCATENATE(IFERROR(VLOOKUP((VLOOKUP($Q58,列表!$B:$T,13,FALSE)),法术书目录!$Q$1:$R$10,2,FALSE),""),IFERROR(IF(VLOOKUP($Q58,列表!$B:$T,17,FALSE)="!",".",""),""))</f>
        <v/>
      </c>
      <c r="Q58" s="436"/>
      <c r="R58" s="436"/>
      <c r="S58" s="436"/>
      <c r="T58" s="436"/>
      <c r="U58" s="436"/>
      <c r="W58" s="47" t="s">
        <v>150</v>
      </c>
      <c r="X58" s="47"/>
      <c r="Y58" s="47"/>
      <c r="Z58" s="47"/>
      <c r="AA58" s="47"/>
      <c r="AB58" s="47"/>
      <c r="AC58" s="47"/>
      <c r="AD58" s="47"/>
      <c r="AE58" s="47"/>
      <c r="AF58" s="47"/>
      <c r="AG58" s="47"/>
      <c r="AH58" s="47"/>
      <c r="AI58" s="47"/>
      <c r="AJ58" s="47"/>
      <c r="AK58" s="47"/>
      <c r="AL58" s="47"/>
      <c r="AM58" s="47"/>
      <c r="AN58" s="47"/>
      <c r="AO58" s="47"/>
      <c r="AP58" s="47"/>
      <c r="AQ58" s="47"/>
      <c r="AR58" s="47"/>
      <c r="AS58" s="47"/>
      <c r="AT58" s="310"/>
    </row>
    <row r="59" ht="17" customHeight="1" spans="2:46">
      <c r="B59" s="435" t="str">
        <f>CONCATENATE(IFERROR(VLOOKUP((VLOOKUP($C59,列表!$B:$T,13,FALSE)),法术书目录!$Q$1:$R$10,2,FALSE),""),IFERROR(IF(VLOOKUP($C59,列表!$B:$T,17,FALSE)="!",".",""),""))</f>
        <v/>
      </c>
      <c r="C59" s="436"/>
      <c r="D59" s="436"/>
      <c r="E59" s="436"/>
      <c r="F59" s="436"/>
      <c r="G59" s="436"/>
      <c r="I59" s="435" t="str">
        <f>CONCATENATE(IFERROR(VLOOKUP((VLOOKUP($J59,列表!$B:$T,13,FALSE)),法术书目录!$Q$1:$R$10,2,FALSE),""),IFERROR(IF(VLOOKUP($J59,列表!$B:$T,17,FALSE)="!",".",""),""))</f>
        <v/>
      </c>
      <c r="J59" s="436"/>
      <c r="K59" s="436"/>
      <c r="L59" s="436"/>
      <c r="M59" s="436"/>
      <c r="N59" s="436"/>
      <c r="P59" s="435" t="str">
        <f>CONCATENATE(IFERROR(VLOOKUP((VLOOKUP($Q59,列表!$B:$T,13,FALSE)),法术书目录!$Q$1:$R$10,2,FALSE),""),IFERROR(IF(VLOOKUP($Q59,列表!$B:$T,17,FALSE)="!",".",""),""))</f>
        <v/>
      </c>
      <c r="Q59" s="436"/>
      <c r="R59" s="436"/>
      <c r="S59" s="436"/>
      <c r="T59" s="436"/>
      <c r="U59" s="436"/>
      <c r="W59" s="442" t="str">
        <f>IFERROR(VLOOKUP(W53,列表!$B:$T,9,FALSE),"")</f>
        <v/>
      </c>
      <c r="X59" s="442"/>
      <c r="Y59" s="442"/>
      <c r="Z59" s="442"/>
      <c r="AA59" s="442"/>
      <c r="AB59" s="442"/>
      <c r="AC59" s="442"/>
      <c r="AD59" s="442"/>
      <c r="AE59" s="442"/>
      <c r="AF59" s="442"/>
      <c r="AG59" s="442"/>
      <c r="AH59" s="442"/>
      <c r="AI59" s="442"/>
      <c r="AJ59" s="442"/>
      <c r="AK59" s="442"/>
      <c r="AL59" s="442"/>
      <c r="AM59" s="442"/>
      <c r="AN59" s="442"/>
      <c r="AO59" s="442"/>
      <c r="AP59" s="442"/>
      <c r="AQ59" s="442"/>
      <c r="AR59" s="442"/>
      <c r="AS59" s="442"/>
      <c r="AT59" s="310"/>
    </row>
    <row r="60" ht="17" customHeight="1" spans="2:46">
      <c r="B60" s="435" t="str">
        <f>CONCATENATE(IFERROR(VLOOKUP((VLOOKUP($C60,列表!$B:$T,13,FALSE)),法术书目录!$Q$1:$R$10,2,FALSE),""),IFERROR(IF(VLOOKUP($C60,列表!$B:$T,17,FALSE)="!",".",""),""))</f>
        <v/>
      </c>
      <c r="C60" s="436"/>
      <c r="D60" s="436"/>
      <c r="E60" s="436"/>
      <c r="F60" s="436"/>
      <c r="G60" s="436"/>
      <c r="I60" s="435" t="str">
        <f>CONCATENATE(IFERROR(VLOOKUP((VLOOKUP($J60,列表!$B:$T,13,FALSE)),法术书目录!$Q$1:$R$10,2,FALSE),""),IFERROR(IF(VLOOKUP($J60,列表!$B:$T,17,FALSE)="!",".",""),""))</f>
        <v/>
      </c>
      <c r="J60" s="436"/>
      <c r="K60" s="436"/>
      <c r="L60" s="436"/>
      <c r="M60" s="436"/>
      <c r="N60" s="436"/>
      <c r="P60" s="435" t="str">
        <f>CONCATENATE(IFERROR(VLOOKUP((VLOOKUP($Q60,列表!$B:$T,13,FALSE)),法术书目录!$Q$1:$R$10,2,FALSE),""),IFERROR(IF(VLOOKUP($Q60,列表!$B:$T,17,FALSE)="!",".",""),""))</f>
        <v/>
      </c>
      <c r="Q60" s="436"/>
      <c r="R60" s="436"/>
      <c r="S60" s="436"/>
      <c r="T60" s="436"/>
      <c r="U60" s="436"/>
      <c r="W60" s="442"/>
      <c r="X60" s="442"/>
      <c r="Y60" s="442"/>
      <c r="Z60" s="442"/>
      <c r="AA60" s="442"/>
      <c r="AB60" s="442"/>
      <c r="AC60" s="442"/>
      <c r="AD60" s="442"/>
      <c r="AE60" s="442"/>
      <c r="AF60" s="442"/>
      <c r="AG60" s="442"/>
      <c r="AH60" s="442"/>
      <c r="AI60" s="442"/>
      <c r="AJ60" s="442"/>
      <c r="AK60" s="442"/>
      <c r="AL60" s="442"/>
      <c r="AM60" s="442"/>
      <c r="AN60" s="442"/>
      <c r="AO60" s="442"/>
      <c r="AP60" s="442"/>
      <c r="AQ60" s="442"/>
      <c r="AR60" s="442"/>
      <c r="AS60" s="442"/>
      <c r="AT60" s="310"/>
    </row>
    <row r="61" ht="17" customHeight="1" spans="2:46">
      <c r="B61" s="435" t="str">
        <f>CONCATENATE(IFERROR(VLOOKUP((VLOOKUP($C61,列表!$B:$T,13,FALSE)),法术书目录!$Q$1:$R$10,2,FALSE),""),IFERROR(IF(VLOOKUP($C61,列表!$B:$T,17,FALSE)="!",".",""),""))</f>
        <v/>
      </c>
      <c r="C61" s="436"/>
      <c r="D61" s="436"/>
      <c r="E61" s="436"/>
      <c r="F61" s="436"/>
      <c r="G61" s="436"/>
      <c r="I61" s="435" t="str">
        <f>CONCATENATE(IFERROR(VLOOKUP((VLOOKUP($J61,列表!$B:$T,13,FALSE)),法术书目录!$Q$1:$R$10,2,FALSE),""),IFERROR(IF(VLOOKUP($J61,列表!$B:$T,17,FALSE)="!",".",""),""))</f>
        <v/>
      </c>
      <c r="J61" s="436"/>
      <c r="K61" s="436"/>
      <c r="L61" s="436"/>
      <c r="M61" s="436"/>
      <c r="N61" s="436"/>
      <c r="P61" s="435" t="str">
        <f>CONCATENATE(IFERROR(VLOOKUP((VLOOKUP($Q61,列表!$B:$T,13,FALSE)),法术书目录!$Q$1:$R$10,2,FALSE),""),IFERROR(IF(VLOOKUP($Q61,列表!$B:$T,17,FALSE)="!",".",""),""))</f>
        <v/>
      </c>
      <c r="Q61" s="436"/>
      <c r="R61" s="436"/>
      <c r="S61" s="436"/>
      <c r="T61" s="436"/>
      <c r="U61" s="436"/>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310"/>
    </row>
    <row r="62" ht="17" customHeight="1" spans="2:46">
      <c r="B62" s="435" t="str">
        <f>CONCATENATE(IFERROR(VLOOKUP((VLOOKUP($C62,列表!$B:$T,13,FALSE)),法术书目录!$Q$1:$R$10,2,FALSE),""),IFERROR(IF(VLOOKUP($C62,列表!$B:$T,17,FALSE)="!",".",""),""))</f>
        <v/>
      </c>
      <c r="C62" s="436"/>
      <c r="D62" s="436"/>
      <c r="E62" s="436"/>
      <c r="F62" s="436"/>
      <c r="G62" s="436"/>
      <c r="I62" s="435" t="str">
        <f>CONCATENATE(IFERROR(VLOOKUP((VLOOKUP($J62,列表!$B:$T,13,FALSE)),法术书目录!$Q$1:$R$10,2,FALSE),""),IFERROR(IF(VLOOKUP($J62,列表!$B:$T,17,FALSE)="!",".",""),""))</f>
        <v/>
      </c>
      <c r="J62" s="436"/>
      <c r="K62" s="436"/>
      <c r="L62" s="436"/>
      <c r="M62" s="436"/>
      <c r="N62" s="436"/>
      <c r="P62" s="435" t="str">
        <f>CONCATENATE(IFERROR(VLOOKUP((VLOOKUP($Q62,列表!$B:$T,13,FALSE)),法术书目录!$Q$1:$R$10,2,FALSE),""),IFERROR(IF(VLOOKUP($Q62,列表!$B:$T,17,FALSE)="!",".",""),""))</f>
        <v/>
      </c>
      <c r="Q62" s="436"/>
      <c r="R62" s="436"/>
      <c r="S62" s="436"/>
      <c r="T62" s="436"/>
      <c r="U62" s="436"/>
      <c r="W62" s="442"/>
      <c r="X62" s="442"/>
      <c r="Y62" s="442"/>
      <c r="Z62" s="442"/>
      <c r="AA62" s="442"/>
      <c r="AB62" s="442"/>
      <c r="AC62" s="442"/>
      <c r="AD62" s="442"/>
      <c r="AE62" s="442"/>
      <c r="AF62" s="442"/>
      <c r="AG62" s="442"/>
      <c r="AH62" s="442"/>
      <c r="AI62" s="442"/>
      <c r="AJ62" s="442"/>
      <c r="AK62" s="442"/>
      <c r="AL62" s="442"/>
      <c r="AM62" s="442"/>
      <c r="AN62" s="442"/>
      <c r="AO62" s="442"/>
      <c r="AP62" s="442"/>
      <c r="AQ62" s="442"/>
      <c r="AR62" s="442"/>
      <c r="AS62" s="442"/>
      <c r="AT62" s="310"/>
    </row>
    <row r="63" ht="17" customHeight="1" spans="2:46">
      <c r="B63" s="435" t="str">
        <f>CONCATENATE(IFERROR(VLOOKUP((VLOOKUP($C63,列表!$B:$T,13,FALSE)),法术书目录!$Q$1:$R$10,2,FALSE),""),IFERROR(IF(VLOOKUP($C63,列表!$B:$T,17,FALSE)="!",".",""),""))</f>
        <v/>
      </c>
      <c r="C63" s="436"/>
      <c r="D63" s="436"/>
      <c r="E63" s="436"/>
      <c r="F63" s="436"/>
      <c r="G63" s="436"/>
      <c r="I63" s="435" t="str">
        <f>CONCATENATE(IFERROR(VLOOKUP((VLOOKUP($J63,列表!$B:$T,13,FALSE)),法术书目录!$Q$1:$R$10,2,FALSE),""),IFERROR(IF(VLOOKUP($J63,列表!$B:$T,17,FALSE)="!",".",""),""))</f>
        <v/>
      </c>
      <c r="J63" s="436"/>
      <c r="K63" s="436"/>
      <c r="L63" s="436"/>
      <c r="M63" s="436"/>
      <c r="N63" s="436"/>
      <c r="P63" s="435" t="str">
        <f>CONCATENATE(IFERROR(VLOOKUP((VLOOKUP($Q63,列表!$B:$T,13,FALSE)),法术书目录!$Q$1:$R$10,2,FALSE),""),IFERROR(IF(VLOOKUP($Q63,列表!$B:$T,17,FALSE)="!",".",""),""))</f>
        <v/>
      </c>
      <c r="Q63" s="436"/>
      <c r="R63" s="436"/>
      <c r="S63" s="436"/>
      <c r="T63" s="436"/>
      <c r="U63" s="436"/>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310"/>
    </row>
    <row r="64" ht="17" customHeight="1" spans="2:46">
      <c r="B64" s="435" t="str">
        <f>CONCATENATE(IFERROR(VLOOKUP((VLOOKUP($C64,列表!$B:$T,13,FALSE)),法术书目录!$Q$1:$R$10,2,FALSE),""),IFERROR(IF(VLOOKUP($C64,列表!$B:$T,17,FALSE)="!",".",""),""))</f>
        <v/>
      </c>
      <c r="C64" s="436"/>
      <c r="D64" s="436"/>
      <c r="E64" s="436"/>
      <c r="F64" s="436"/>
      <c r="G64" s="436"/>
      <c r="I64" s="435" t="str">
        <f>CONCATENATE(IFERROR(VLOOKUP((VLOOKUP($J64,列表!$B:$T,13,FALSE)),法术书目录!$Q$1:$R$10,2,FALSE),""),IFERROR(IF(VLOOKUP($J64,列表!$B:$T,17,FALSE)="!",".",""),""))</f>
        <v/>
      </c>
      <c r="J64" s="436"/>
      <c r="K64" s="436"/>
      <c r="L64" s="436"/>
      <c r="M64" s="436"/>
      <c r="N64" s="436"/>
      <c r="P64" s="435" t="str">
        <f>CONCATENATE(IFERROR(VLOOKUP((VLOOKUP($Q64,列表!$B:$T,13,FALSE)),法术书目录!$Q$1:$R$10,2,FALSE),""),IFERROR(IF(VLOOKUP($Q64,列表!$B:$T,17,FALSE)="!",".",""),""))</f>
        <v/>
      </c>
      <c r="Q64" s="436"/>
      <c r="R64" s="436"/>
      <c r="S64" s="436"/>
      <c r="T64" s="436"/>
      <c r="U64" s="436"/>
      <c r="W64" s="442"/>
      <c r="X64" s="442"/>
      <c r="Y64" s="442"/>
      <c r="Z64" s="442"/>
      <c r="AA64" s="442"/>
      <c r="AB64" s="442"/>
      <c r="AC64" s="442"/>
      <c r="AD64" s="442"/>
      <c r="AE64" s="442"/>
      <c r="AF64" s="442"/>
      <c r="AG64" s="442"/>
      <c r="AH64" s="442"/>
      <c r="AI64" s="442"/>
      <c r="AJ64" s="442"/>
      <c r="AK64" s="442"/>
      <c r="AL64" s="442"/>
      <c r="AM64" s="442"/>
      <c r="AN64" s="442"/>
      <c r="AO64" s="442"/>
      <c r="AP64" s="442"/>
      <c r="AQ64" s="442"/>
      <c r="AR64" s="442"/>
      <c r="AS64" s="442"/>
      <c r="AT64" s="310"/>
    </row>
    <row r="65" ht="17" customHeight="1" spans="2:46">
      <c r="B65" s="435" t="str">
        <f>CONCATENATE(IFERROR(VLOOKUP((VLOOKUP($C65,列表!$B:$T,13,FALSE)),法术书目录!$Q$1:$R$10,2,FALSE),""),IFERROR(IF(VLOOKUP($C65,列表!$B:$T,17,FALSE)="!",".",""),""))</f>
        <v/>
      </c>
      <c r="C65" s="436"/>
      <c r="D65" s="436"/>
      <c r="E65" s="436"/>
      <c r="F65" s="436"/>
      <c r="G65" s="436"/>
      <c r="I65" s="435" t="str">
        <f>CONCATENATE(IFERROR(VLOOKUP((VLOOKUP($J65,列表!$B:$T,13,FALSE)),法术书目录!$Q$1:$R$10,2,FALSE),""),IFERROR(IF(VLOOKUP($J65,列表!$B:$T,17,FALSE)="!",".",""),""))</f>
        <v/>
      </c>
      <c r="J65" s="436"/>
      <c r="K65" s="436"/>
      <c r="L65" s="436"/>
      <c r="M65" s="436"/>
      <c r="N65" s="436"/>
      <c r="P65" s="435" t="str">
        <f>CONCATENATE(IFERROR(VLOOKUP((VLOOKUP($Q65,列表!$B:$T,13,FALSE)),法术书目录!$Q$1:$R$10,2,FALSE),""),IFERROR(IF(VLOOKUP($Q65,列表!$B:$T,17,FALSE)="!",".",""),""))</f>
        <v/>
      </c>
      <c r="Q65" s="436"/>
      <c r="R65" s="436"/>
      <c r="S65" s="436"/>
      <c r="T65" s="436"/>
      <c r="U65" s="436"/>
      <c r="W65" s="442"/>
      <c r="X65" s="442"/>
      <c r="Y65" s="442"/>
      <c r="Z65" s="442"/>
      <c r="AA65" s="442"/>
      <c r="AB65" s="442"/>
      <c r="AC65" s="442"/>
      <c r="AD65" s="442"/>
      <c r="AE65" s="442"/>
      <c r="AF65" s="442"/>
      <c r="AG65" s="442"/>
      <c r="AH65" s="442"/>
      <c r="AI65" s="442"/>
      <c r="AJ65" s="442"/>
      <c r="AK65" s="442"/>
      <c r="AL65" s="442"/>
      <c r="AM65" s="442"/>
      <c r="AN65" s="442"/>
      <c r="AO65" s="442"/>
      <c r="AP65" s="442"/>
      <c r="AQ65" s="442"/>
      <c r="AR65" s="442"/>
      <c r="AS65" s="442"/>
      <c r="AT65" s="310"/>
    </row>
    <row r="66" ht="17" customHeight="1" spans="2:46">
      <c r="B66" s="435" t="str">
        <f>CONCATENATE(IFERROR(VLOOKUP((VLOOKUP($C66,列表!$B:$T,13,FALSE)),法术书目录!$Q$1:$R$10,2,FALSE),""),IFERROR(IF(VLOOKUP($C66,列表!$B:$T,17,FALSE)="!",".",""),""))</f>
        <v/>
      </c>
      <c r="C66" s="436"/>
      <c r="D66" s="436"/>
      <c r="E66" s="436"/>
      <c r="F66" s="436"/>
      <c r="G66" s="436"/>
      <c r="I66" s="435" t="str">
        <f>CONCATENATE(IFERROR(VLOOKUP((VLOOKUP($J66,列表!$B:$T,13,FALSE)),法术书目录!$Q$1:$R$10,2,FALSE),""),IFERROR(IF(VLOOKUP($J66,列表!$B:$T,17,FALSE)="!",".",""),""))</f>
        <v/>
      </c>
      <c r="J66" s="436"/>
      <c r="K66" s="436"/>
      <c r="L66" s="436"/>
      <c r="M66" s="436"/>
      <c r="N66" s="436"/>
      <c r="P66" s="435" t="str">
        <f>CONCATENATE(IFERROR(VLOOKUP((VLOOKUP($Q66,列表!$B:$T,13,FALSE)),法术书目录!$Q$1:$R$10,2,FALSE),""),IFERROR(IF(VLOOKUP($Q66,列表!$B:$T,17,FALSE)="!",".",""),""))</f>
        <v/>
      </c>
      <c r="Q66" s="436"/>
      <c r="R66" s="436"/>
      <c r="S66" s="436"/>
      <c r="T66" s="436"/>
      <c r="U66" s="436"/>
      <c r="W66" s="442"/>
      <c r="X66" s="442"/>
      <c r="Y66" s="442"/>
      <c r="Z66" s="442"/>
      <c r="AA66" s="442"/>
      <c r="AB66" s="442"/>
      <c r="AC66" s="442"/>
      <c r="AD66" s="442"/>
      <c r="AE66" s="442"/>
      <c r="AF66" s="442"/>
      <c r="AG66" s="442"/>
      <c r="AH66" s="442"/>
      <c r="AI66" s="442"/>
      <c r="AJ66" s="442"/>
      <c r="AK66" s="442"/>
      <c r="AL66" s="442"/>
      <c r="AM66" s="442"/>
      <c r="AN66" s="442"/>
      <c r="AO66" s="442"/>
      <c r="AP66" s="442"/>
      <c r="AQ66" s="442"/>
      <c r="AR66" s="442"/>
      <c r="AS66" s="442"/>
      <c r="AT66" s="310"/>
    </row>
    <row r="67" ht="17" customHeight="1" spans="2:46">
      <c r="B67" s="435" t="str">
        <f>CONCATENATE(IFERROR(VLOOKUP((VLOOKUP($C67,列表!$B:$T,13,FALSE)),法术书目录!$Q$1:$R$10,2,FALSE),""),IFERROR(IF(VLOOKUP($C67,列表!$B:$T,17,FALSE)="!",".",""),""))</f>
        <v/>
      </c>
      <c r="C67" s="436"/>
      <c r="D67" s="436"/>
      <c r="E67" s="436"/>
      <c r="F67" s="436"/>
      <c r="G67" s="436"/>
      <c r="I67" s="435" t="str">
        <f>CONCATENATE(IFERROR(VLOOKUP((VLOOKUP($J67,列表!$B:$T,13,FALSE)),法术书目录!$Q$1:$R$10,2,FALSE),""),IFERROR(IF(VLOOKUP($J67,列表!$B:$T,17,FALSE)="!",".",""),""))</f>
        <v/>
      </c>
      <c r="J67" s="436"/>
      <c r="K67" s="436"/>
      <c r="L67" s="436"/>
      <c r="M67" s="436"/>
      <c r="N67" s="436"/>
      <c r="P67" s="435" t="str">
        <f>CONCATENATE(IFERROR(VLOOKUP((VLOOKUP($Q67,列表!$B:$T,13,FALSE)),法术书目录!$Q$1:$R$10,2,FALSE),""),IFERROR(IF(VLOOKUP($Q67,列表!$B:$T,17,FALSE)="!",".",""),""))</f>
        <v/>
      </c>
      <c r="Q67" s="436"/>
      <c r="R67" s="436"/>
      <c r="S67" s="436"/>
      <c r="T67" s="436"/>
      <c r="U67" s="436"/>
      <c r="W67" s="442"/>
      <c r="X67" s="442"/>
      <c r="Y67" s="442"/>
      <c r="Z67" s="442"/>
      <c r="AA67" s="442"/>
      <c r="AB67" s="442"/>
      <c r="AC67" s="442"/>
      <c r="AD67" s="442"/>
      <c r="AE67" s="442"/>
      <c r="AF67" s="442"/>
      <c r="AG67" s="442"/>
      <c r="AH67" s="442"/>
      <c r="AI67" s="442"/>
      <c r="AJ67" s="442"/>
      <c r="AK67" s="442"/>
      <c r="AL67" s="442"/>
      <c r="AM67" s="442"/>
      <c r="AN67" s="442"/>
      <c r="AO67" s="442"/>
      <c r="AP67" s="442"/>
      <c r="AQ67" s="442"/>
      <c r="AR67" s="442"/>
      <c r="AS67" s="442"/>
      <c r="AT67" s="310"/>
    </row>
    <row r="68" ht="17" customHeight="1" spans="2:46">
      <c r="AP68" s="310"/>
      <c r="AQ68" s="310"/>
      <c r="AR68" s="310"/>
      <c r="AS68" s="310"/>
      <c r="AT68" s="310"/>
    </row>
    <row r="69" ht="17" customHeight="1" spans="2:46">
      <c r="B69" s="42" t="s">
        <v>151</v>
      </c>
      <c r="C69" s="42"/>
      <c r="D69" s="42"/>
      <c r="E69" s="42"/>
      <c r="F69" s="42"/>
      <c r="G69" s="42"/>
      <c r="H69" s="42"/>
      <c r="I69" s="42"/>
      <c r="J69" s="42"/>
      <c r="K69" s="42"/>
      <c r="L69" s="42"/>
      <c r="M69" s="42"/>
      <c r="N69" s="42"/>
      <c r="O69" s="42"/>
      <c r="P69" s="42"/>
      <c r="Q69" s="42"/>
      <c r="R69" s="42"/>
      <c r="S69" s="42"/>
      <c r="T69" s="42"/>
      <c r="U69" s="42"/>
      <c r="V69" s="42"/>
      <c r="W69" s="42"/>
      <c r="Y69" s="42" t="s">
        <v>152</v>
      </c>
      <c r="Z69" s="42"/>
      <c r="AA69" s="42"/>
      <c r="AB69" s="42"/>
      <c r="AC69" s="42"/>
      <c r="AD69" s="42"/>
      <c r="AE69" s="42"/>
      <c r="AF69" s="42"/>
      <c r="AG69" s="42"/>
      <c r="AH69" s="42"/>
      <c r="AI69" s="42"/>
      <c r="AJ69" s="42"/>
      <c r="AK69" s="42"/>
      <c r="AL69" s="42"/>
      <c r="AM69" s="42"/>
      <c r="AN69" s="42"/>
      <c r="AO69" s="42"/>
      <c r="AP69" s="42"/>
      <c r="AQ69" s="42"/>
      <c r="AR69" s="42"/>
      <c r="AS69" s="42"/>
      <c r="AT69" s="310"/>
    </row>
    <row r="70" ht="17" customHeight="1" spans="2:46">
      <c r="B70" s="47" t="s">
        <v>15</v>
      </c>
      <c r="C70" s="47" t="s">
        <v>68</v>
      </c>
      <c r="D70" s="47"/>
      <c r="E70" s="47"/>
      <c r="F70" s="47"/>
      <c r="G70" s="47"/>
      <c r="H70" s="47" t="s">
        <v>153</v>
      </c>
      <c r="I70" s="47"/>
      <c r="J70" s="47"/>
      <c r="K70" s="47"/>
      <c r="L70" s="47"/>
      <c r="M70" s="47"/>
      <c r="N70" s="47"/>
      <c r="O70" s="47"/>
      <c r="P70" s="47"/>
      <c r="Q70" s="47"/>
      <c r="R70" s="47"/>
      <c r="S70" s="47"/>
      <c r="T70" s="47"/>
      <c r="U70" s="47"/>
      <c r="V70" s="47"/>
      <c r="W70" s="47"/>
      <c r="Y70" s="47" t="s">
        <v>15</v>
      </c>
      <c r="Z70" s="47" t="s">
        <v>68</v>
      </c>
      <c r="AA70" s="47"/>
      <c r="AB70" s="47"/>
      <c r="AC70" s="47"/>
      <c r="AD70" s="47"/>
      <c r="AE70" s="47" t="s">
        <v>153</v>
      </c>
      <c r="AF70" s="47"/>
      <c r="AG70" s="47"/>
      <c r="AH70" s="47"/>
      <c r="AI70" s="47"/>
      <c r="AJ70" s="47"/>
      <c r="AK70" s="47"/>
      <c r="AL70" s="47"/>
      <c r="AM70" s="47"/>
      <c r="AN70" s="47"/>
      <c r="AO70" s="47"/>
      <c r="AP70" s="47"/>
      <c r="AQ70" s="47"/>
      <c r="AR70" s="47"/>
      <c r="AS70" s="47"/>
      <c r="AT70" s="310"/>
    </row>
    <row r="71" ht="17" customHeight="1" spans="2:46">
      <c r="B71" s="210"/>
      <c r="C71" s="210"/>
      <c r="D71" s="210"/>
      <c r="E71" s="210"/>
      <c r="F71" s="210"/>
      <c r="G71" s="210"/>
      <c r="H71" s="398"/>
      <c r="I71" s="398"/>
      <c r="J71" s="398"/>
      <c r="K71" s="398"/>
      <c r="L71" s="398"/>
      <c r="M71" s="398"/>
      <c r="N71" s="398"/>
      <c r="O71" s="398"/>
      <c r="P71" s="398"/>
      <c r="Q71" s="398"/>
      <c r="R71" s="398"/>
      <c r="S71" s="398"/>
      <c r="T71" s="398"/>
      <c r="U71" s="398"/>
      <c r="V71" s="398"/>
      <c r="W71" s="398"/>
      <c r="Y71" s="210"/>
      <c r="Z71" s="210"/>
      <c r="AA71" s="210"/>
      <c r="AB71" s="210"/>
      <c r="AC71" s="210"/>
      <c r="AD71" s="210"/>
      <c r="AE71" s="398"/>
      <c r="AF71" s="398"/>
      <c r="AG71" s="398"/>
      <c r="AH71" s="398"/>
      <c r="AI71" s="398"/>
      <c r="AJ71" s="398"/>
      <c r="AK71" s="398"/>
      <c r="AL71" s="398"/>
      <c r="AM71" s="398"/>
      <c r="AN71" s="398"/>
      <c r="AO71" s="398"/>
      <c r="AP71" s="398"/>
      <c r="AQ71" s="398"/>
      <c r="AR71" s="398"/>
      <c r="AS71" s="398"/>
      <c r="AT71" s="310"/>
    </row>
    <row r="72" ht="17" customHeight="1" spans="2:46">
      <c r="B72" s="211"/>
      <c r="C72" s="211"/>
      <c r="D72" s="211"/>
      <c r="E72" s="211"/>
      <c r="F72" s="211"/>
      <c r="G72" s="211"/>
      <c r="H72" s="443"/>
      <c r="I72" s="443"/>
      <c r="J72" s="443"/>
      <c r="K72" s="443"/>
      <c r="L72" s="443"/>
      <c r="M72" s="443"/>
      <c r="N72" s="443"/>
      <c r="O72" s="443"/>
      <c r="P72" s="443"/>
      <c r="Q72" s="443"/>
      <c r="R72" s="443"/>
      <c r="S72" s="443"/>
      <c r="T72" s="443"/>
      <c r="U72" s="443"/>
      <c r="V72" s="443"/>
      <c r="W72" s="443"/>
      <c r="Y72" s="211"/>
      <c r="Z72" s="211"/>
      <c r="AA72" s="211"/>
      <c r="AB72" s="211"/>
      <c r="AC72" s="211"/>
      <c r="AD72" s="211"/>
      <c r="AE72" s="443"/>
      <c r="AF72" s="443"/>
      <c r="AG72" s="443"/>
      <c r="AH72" s="443"/>
      <c r="AI72" s="443"/>
      <c r="AJ72" s="443"/>
      <c r="AK72" s="443"/>
      <c r="AL72" s="443"/>
      <c r="AM72" s="443"/>
      <c r="AN72" s="443"/>
      <c r="AO72" s="443"/>
      <c r="AP72" s="443"/>
      <c r="AQ72" s="443"/>
      <c r="AR72" s="443"/>
      <c r="AS72" s="443"/>
      <c r="AT72" s="310"/>
    </row>
    <row r="73" ht="17" customHeight="1" spans="2:46">
      <c r="AT73" s="310"/>
    </row>
    <row r="74" ht="17" customHeight="1" spans="2:46">
      <c r="B74" s="210"/>
      <c r="C74" s="210"/>
      <c r="D74" s="210"/>
      <c r="E74" s="210"/>
      <c r="F74" s="210"/>
      <c r="G74" s="210"/>
      <c r="H74" s="398"/>
      <c r="I74" s="398"/>
      <c r="J74" s="398"/>
      <c r="K74" s="398"/>
      <c r="L74" s="398"/>
      <c r="M74" s="398"/>
      <c r="N74" s="398"/>
      <c r="O74" s="398"/>
      <c r="P74" s="398"/>
      <c r="Q74" s="398"/>
      <c r="R74" s="398"/>
      <c r="S74" s="398"/>
      <c r="T74" s="398"/>
      <c r="U74" s="398"/>
      <c r="V74" s="398"/>
      <c r="W74" s="398"/>
      <c r="Y74" s="210"/>
      <c r="Z74" s="210"/>
      <c r="AA74" s="210"/>
      <c r="AB74" s="210"/>
      <c r="AC74" s="210"/>
      <c r="AD74" s="210"/>
      <c r="AE74" s="398"/>
      <c r="AF74" s="398"/>
      <c r="AG74" s="398"/>
      <c r="AH74" s="398"/>
      <c r="AI74" s="398"/>
      <c r="AJ74" s="398"/>
      <c r="AK74" s="398"/>
      <c r="AL74" s="398"/>
      <c r="AM74" s="398"/>
      <c r="AN74" s="398"/>
      <c r="AO74" s="398"/>
      <c r="AP74" s="398"/>
      <c r="AQ74" s="398"/>
      <c r="AR74" s="398"/>
      <c r="AS74" s="398"/>
    </row>
    <row r="75" ht="17" customHeight="1" spans="2:46">
      <c r="B75" s="211"/>
      <c r="C75" s="211"/>
      <c r="D75" s="211"/>
      <c r="E75" s="211"/>
      <c r="F75" s="211"/>
      <c r="G75" s="211"/>
      <c r="H75" s="443"/>
      <c r="I75" s="443"/>
      <c r="J75" s="443"/>
      <c r="K75" s="443"/>
      <c r="L75" s="443"/>
      <c r="M75" s="443"/>
      <c r="N75" s="443"/>
      <c r="O75" s="443"/>
      <c r="P75" s="443"/>
      <c r="Q75" s="443"/>
      <c r="R75" s="443"/>
      <c r="S75" s="443"/>
      <c r="T75" s="443"/>
      <c r="U75" s="443"/>
      <c r="V75" s="443"/>
      <c r="W75" s="443"/>
      <c r="Y75" s="211"/>
      <c r="Z75" s="211"/>
      <c r="AA75" s="211"/>
      <c r="AB75" s="211"/>
      <c r="AC75" s="211"/>
      <c r="AD75" s="211"/>
      <c r="AE75" s="443"/>
      <c r="AF75" s="443"/>
      <c r="AG75" s="443"/>
      <c r="AH75" s="443"/>
      <c r="AI75" s="443"/>
      <c r="AJ75" s="443"/>
      <c r="AK75" s="443"/>
      <c r="AL75" s="443"/>
      <c r="AM75" s="443"/>
      <c r="AN75" s="443"/>
      <c r="AO75" s="443"/>
      <c r="AP75" s="443"/>
      <c r="AQ75" s="443"/>
      <c r="AR75" s="443"/>
      <c r="AS75" s="443"/>
    </row>
    <row r="76" ht="17" customHeight="1"/>
    <row r="77" ht="17" customHeight="1" spans="2:46">
      <c r="B77" s="210"/>
      <c r="C77" s="210"/>
      <c r="D77" s="210"/>
      <c r="E77" s="210"/>
      <c r="F77" s="210"/>
      <c r="G77" s="210"/>
      <c r="H77" s="398"/>
      <c r="I77" s="398"/>
      <c r="J77" s="398"/>
      <c r="K77" s="398"/>
      <c r="L77" s="398"/>
      <c r="M77" s="398"/>
      <c r="N77" s="398"/>
      <c r="O77" s="398"/>
      <c r="P77" s="398"/>
      <c r="Q77" s="398"/>
      <c r="R77" s="398"/>
      <c r="S77" s="398"/>
      <c r="T77" s="398"/>
      <c r="U77" s="398"/>
      <c r="V77" s="398"/>
      <c r="W77" s="398"/>
      <c r="Y77" s="210"/>
      <c r="Z77" s="210"/>
      <c r="AA77" s="210"/>
      <c r="AB77" s="210"/>
      <c r="AC77" s="210"/>
      <c r="AD77" s="210"/>
      <c r="AE77" s="398"/>
      <c r="AF77" s="398"/>
      <c r="AG77" s="398"/>
      <c r="AH77" s="398"/>
      <c r="AI77" s="398"/>
      <c r="AJ77" s="398"/>
      <c r="AK77" s="398"/>
      <c r="AL77" s="398"/>
      <c r="AM77" s="398"/>
      <c r="AN77" s="398"/>
      <c r="AO77" s="398"/>
      <c r="AP77" s="398"/>
      <c r="AQ77" s="398"/>
      <c r="AR77" s="398"/>
      <c r="AS77" s="398"/>
    </row>
    <row r="78" ht="17" customHeight="1" spans="2:46">
      <c r="B78" s="211"/>
      <c r="C78" s="211"/>
      <c r="D78" s="211"/>
      <c r="E78" s="211"/>
      <c r="F78" s="211"/>
      <c r="G78" s="211"/>
      <c r="H78" s="443"/>
      <c r="I78" s="443"/>
      <c r="J78" s="443"/>
      <c r="K78" s="443"/>
      <c r="L78" s="443"/>
      <c r="M78" s="443"/>
      <c r="N78" s="443"/>
      <c r="O78" s="443"/>
      <c r="P78" s="443"/>
      <c r="Q78" s="443"/>
      <c r="R78" s="443"/>
      <c r="S78" s="443"/>
      <c r="T78" s="443"/>
      <c r="U78" s="443"/>
      <c r="V78" s="443"/>
      <c r="W78" s="443"/>
      <c r="Y78" s="211"/>
      <c r="Z78" s="211"/>
      <c r="AA78" s="211"/>
      <c r="AB78" s="211"/>
      <c r="AC78" s="211"/>
      <c r="AD78" s="211"/>
      <c r="AE78" s="443"/>
      <c r="AF78" s="443"/>
      <c r="AG78" s="443"/>
      <c r="AH78" s="443"/>
      <c r="AI78" s="443"/>
      <c r="AJ78" s="443"/>
      <c r="AK78" s="443"/>
      <c r="AL78" s="443"/>
      <c r="AM78" s="443"/>
      <c r="AN78" s="443"/>
      <c r="AO78" s="443"/>
      <c r="AP78" s="443"/>
      <c r="AQ78" s="443"/>
      <c r="AR78" s="443"/>
      <c r="AS78" s="443"/>
    </row>
    <row r="79" ht="17" customHeight="1" spans="2:46">
      <c r="B79" s="210"/>
      <c r="C79" s="210"/>
      <c r="D79" s="210"/>
      <c r="E79" s="210"/>
      <c r="F79" s="210"/>
      <c r="G79" s="210"/>
      <c r="H79" s="398"/>
      <c r="I79" s="398"/>
      <c r="J79" s="398"/>
      <c r="K79" s="398"/>
      <c r="L79" s="398"/>
      <c r="M79" s="398"/>
      <c r="N79" s="398"/>
      <c r="O79" s="398"/>
      <c r="P79" s="398"/>
      <c r="Q79" s="398"/>
      <c r="R79" s="398"/>
      <c r="S79" s="398"/>
      <c r="T79" s="398"/>
      <c r="U79" s="398"/>
      <c r="V79" s="398"/>
      <c r="W79" s="398"/>
      <c r="Y79" s="210"/>
      <c r="Z79" s="210"/>
      <c r="AA79" s="210"/>
      <c r="AB79" s="210"/>
      <c r="AC79" s="210"/>
      <c r="AD79" s="210"/>
      <c r="AE79" s="398"/>
      <c r="AF79" s="398"/>
      <c r="AG79" s="398"/>
      <c r="AH79" s="398"/>
      <c r="AI79" s="398"/>
      <c r="AJ79" s="398"/>
      <c r="AK79" s="398"/>
      <c r="AL79" s="398"/>
      <c r="AM79" s="398"/>
      <c r="AN79" s="398"/>
      <c r="AO79" s="398"/>
      <c r="AP79" s="398"/>
      <c r="AQ79" s="398"/>
      <c r="AR79" s="398"/>
      <c r="AS79" s="398"/>
    </row>
    <row r="80" ht="17" customHeight="1"/>
    <row r="81" ht="17" customHeight="1" spans="1:70">
      <c r="B81" s="444"/>
      <c r="C81" s="445"/>
      <c r="D81" s="446"/>
      <c r="E81" s="446"/>
      <c r="F81" s="446"/>
      <c r="G81" s="447"/>
      <c r="H81" s="448"/>
      <c r="I81" s="449"/>
      <c r="J81" s="449"/>
      <c r="K81" s="449"/>
      <c r="L81" s="449"/>
      <c r="M81" s="449"/>
      <c r="N81" s="449"/>
      <c r="O81" s="449"/>
      <c r="P81" s="449"/>
      <c r="Q81" s="449"/>
      <c r="R81" s="449"/>
      <c r="S81" s="449"/>
      <c r="T81" s="449"/>
      <c r="U81" s="449"/>
      <c r="V81" s="449"/>
      <c r="W81" s="450"/>
      <c r="Y81" s="444"/>
      <c r="Z81" s="445"/>
      <c r="AA81" s="446"/>
      <c r="AB81" s="446"/>
      <c r="AC81" s="446"/>
      <c r="AD81" s="447"/>
      <c r="AE81" s="448"/>
      <c r="AF81" s="449"/>
      <c r="AG81" s="449"/>
      <c r="AH81" s="449"/>
      <c r="AI81" s="449"/>
      <c r="AJ81" s="449"/>
      <c r="AK81" s="449"/>
      <c r="AL81" s="449"/>
      <c r="AM81" s="449"/>
      <c r="AN81" s="449"/>
      <c r="AO81" s="449"/>
      <c r="AP81" s="449"/>
      <c r="AQ81" s="449"/>
      <c r="AR81" s="449"/>
      <c r="AS81" s="450"/>
    </row>
    <row r="82" ht="17" customHeight="1" spans="1:70">
      <c r="B82" s="451"/>
      <c r="C82" s="452"/>
      <c r="D82" s="453"/>
      <c r="E82" s="453"/>
      <c r="F82" s="453"/>
      <c r="G82" s="454"/>
      <c r="H82" s="455"/>
      <c r="I82" s="456"/>
      <c r="J82" s="456"/>
      <c r="K82" s="456"/>
      <c r="L82" s="456"/>
      <c r="M82" s="456"/>
      <c r="N82" s="456"/>
      <c r="O82" s="456"/>
      <c r="P82" s="456"/>
      <c r="Q82" s="456"/>
      <c r="R82" s="456"/>
      <c r="S82" s="456"/>
      <c r="T82" s="456"/>
      <c r="U82" s="456"/>
      <c r="V82" s="456"/>
      <c r="W82" s="457"/>
      <c r="Y82" s="451"/>
      <c r="Z82" s="452"/>
      <c r="AA82" s="453"/>
      <c r="AB82" s="453"/>
      <c r="AC82" s="453"/>
      <c r="AD82" s="454"/>
      <c r="AE82" s="455"/>
      <c r="AF82" s="456"/>
      <c r="AG82" s="456"/>
      <c r="AH82" s="456"/>
      <c r="AI82" s="456"/>
      <c r="AJ82" s="456"/>
      <c r="AK82" s="456"/>
      <c r="AL82" s="456"/>
      <c r="AM82" s="456"/>
      <c r="AN82" s="456"/>
      <c r="AO82" s="456"/>
      <c r="AP82" s="456"/>
      <c r="AQ82" s="456"/>
      <c r="AR82" s="456"/>
      <c r="AS82" s="457"/>
    </row>
    <row r="83" ht="17" customHeight="1" spans="1:70">
      <c r="B83" s="444"/>
      <c r="C83" s="445"/>
      <c r="D83" s="446"/>
      <c r="E83" s="446"/>
      <c r="F83" s="446"/>
      <c r="G83" s="447"/>
      <c r="H83" s="448"/>
      <c r="I83" s="449"/>
      <c r="J83" s="449"/>
      <c r="K83" s="449"/>
      <c r="L83" s="449"/>
      <c r="M83" s="449"/>
      <c r="N83" s="449"/>
      <c r="O83" s="449"/>
      <c r="P83" s="449"/>
      <c r="Q83" s="449"/>
      <c r="R83" s="449"/>
      <c r="S83" s="449"/>
      <c r="T83" s="449"/>
      <c r="U83" s="449"/>
      <c r="V83" s="449"/>
      <c r="W83" s="450"/>
      <c r="Y83" s="444"/>
      <c r="Z83" s="445"/>
      <c r="AA83" s="446"/>
      <c r="AB83" s="446"/>
      <c r="AC83" s="446"/>
      <c r="AD83" s="447"/>
      <c r="AE83" s="448"/>
      <c r="AF83" s="449"/>
      <c r="AG83" s="449"/>
      <c r="AH83" s="449"/>
      <c r="AI83" s="449"/>
      <c r="AJ83" s="449"/>
      <c r="AK83" s="449"/>
      <c r="AL83" s="449"/>
      <c r="AM83" s="449"/>
      <c r="AN83" s="449"/>
      <c r="AO83" s="449"/>
      <c r="AP83" s="449"/>
      <c r="AQ83" s="449"/>
      <c r="AR83" s="449"/>
      <c r="AS83" s="450"/>
    </row>
    <row r="84" ht="17" customHeight="1" spans="1:70">
      <c r="B84" s="451"/>
      <c r="C84" s="452"/>
      <c r="D84" s="453"/>
      <c r="E84" s="453"/>
      <c r="F84" s="453"/>
      <c r="G84" s="454"/>
      <c r="H84" s="455"/>
      <c r="I84" s="456"/>
      <c r="J84" s="456"/>
      <c r="K84" s="456"/>
      <c r="L84" s="456"/>
      <c r="M84" s="456"/>
      <c r="N84" s="456"/>
      <c r="O84" s="456"/>
      <c r="P84" s="456"/>
      <c r="Q84" s="456"/>
      <c r="R84" s="456"/>
      <c r="S84" s="456"/>
      <c r="T84" s="456"/>
      <c r="U84" s="456"/>
      <c r="V84" s="456"/>
      <c r="W84" s="457"/>
      <c r="Y84" s="451"/>
      <c r="Z84" s="452"/>
      <c r="AA84" s="453"/>
      <c r="AB84" s="453"/>
      <c r="AC84" s="453"/>
      <c r="AD84" s="454"/>
      <c r="AE84" s="455"/>
      <c r="AF84" s="456"/>
      <c r="AG84" s="456"/>
      <c r="AH84" s="456"/>
      <c r="AI84" s="456"/>
      <c r="AJ84" s="456"/>
      <c r="AK84" s="456"/>
      <c r="AL84" s="456"/>
      <c r="AM84" s="456"/>
      <c r="AN84" s="456"/>
      <c r="AO84" s="456"/>
      <c r="AP84" s="456"/>
      <c r="AQ84" s="456"/>
      <c r="AR84" s="456"/>
      <c r="AS84" s="457"/>
    </row>
    <row r="85" ht="17" customHeight="1" spans="1:70">
      <c r="B85" s="211"/>
      <c r="C85" s="211"/>
      <c r="D85" s="211"/>
      <c r="E85" s="211"/>
      <c r="F85" s="211"/>
      <c r="G85" s="211"/>
      <c r="H85" s="443"/>
      <c r="I85" s="443"/>
      <c r="J85" s="443"/>
      <c r="K85" s="443"/>
      <c r="L85" s="443"/>
      <c r="M85" s="443"/>
      <c r="N85" s="443"/>
      <c r="O85" s="443"/>
      <c r="P85" s="443"/>
      <c r="Q85" s="443"/>
      <c r="R85" s="443"/>
      <c r="S85" s="443"/>
      <c r="T85" s="443"/>
      <c r="U85" s="443"/>
      <c r="V85" s="443"/>
      <c r="W85" s="443"/>
      <c r="Y85" s="211"/>
      <c r="Z85" s="211"/>
      <c r="AA85" s="211"/>
      <c r="AB85" s="211"/>
      <c r="AC85" s="211"/>
      <c r="AD85" s="211"/>
      <c r="AE85" s="443"/>
      <c r="AF85" s="443"/>
      <c r="AG85" s="443"/>
      <c r="AH85" s="443"/>
      <c r="AI85" s="443"/>
      <c r="AJ85" s="443"/>
      <c r="AK85" s="443"/>
      <c r="AL85" s="443"/>
      <c r="AM85" s="443"/>
      <c r="AN85" s="443"/>
      <c r="AO85" s="443"/>
      <c r="AP85" s="443"/>
      <c r="AQ85" s="443"/>
      <c r="AR85" s="443"/>
      <c r="AS85" s="443"/>
    </row>
    <row r="86" ht="17" customHeight="1"/>
    <row r="87" s="3" customFormat="1" ht="17" customHeight="1" spans="1:70">
      <c r="A87" s="45"/>
      <c r="B87" s="444"/>
      <c r="C87" s="445"/>
      <c r="D87" s="446"/>
      <c r="E87" s="446"/>
      <c r="F87" s="446"/>
      <c r="G87" s="447"/>
      <c r="H87" s="448"/>
      <c r="I87" s="449"/>
      <c r="J87" s="449"/>
      <c r="K87" s="449"/>
      <c r="L87" s="449"/>
      <c r="M87" s="449"/>
      <c r="N87" s="449"/>
      <c r="O87" s="449"/>
      <c r="P87" s="449"/>
      <c r="Q87" s="449"/>
      <c r="R87" s="449"/>
      <c r="S87" s="449"/>
      <c r="T87" s="449"/>
      <c r="U87" s="449"/>
      <c r="V87" s="449"/>
      <c r="W87" s="450"/>
      <c r="X87" s="45"/>
      <c r="Y87" s="444"/>
      <c r="Z87" s="445"/>
      <c r="AA87" s="446"/>
      <c r="AB87" s="446"/>
      <c r="AC87" s="446"/>
      <c r="AD87" s="447"/>
      <c r="AE87" s="448"/>
      <c r="AF87" s="449"/>
      <c r="AG87" s="449"/>
      <c r="AH87" s="449"/>
      <c r="AI87" s="449"/>
      <c r="AJ87" s="449"/>
      <c r="AK87" s="449"/>
      <c r="AL87" s="449"/>
      <c r="AM87" s="449"/>
      <c r="AN87" s="449"/>
      <c r="AO87" s="449"/>
      <c r="AP87" s="449"/>
      <c r="AQ87" s="449"/>
      <c r="AR87" s="449"/>
      <c r="AS87" s="450"/>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row>
    <row r="88" s="3" customFormat="1" ht="17" customHeight="1" spans="1:70">
      <c r="A88" s="45"/>
      <c r="B88" s="451"/>
      <c r="C88" s="452"/>
      <c r="D88" s="453"/>
      <c r="E88" s="453"/>
      <c r="F88" s="453"/>
      <c r="G88" s="454"/>
      <c r="H88" s="455"/>
      <c r="I88" s="456"/>
      <c r="J88" s="456"/>
      <c r="K88" s="456"/>
      <c r="L88" s="456"/>
      <c r="M88" s="456"/>
      <c r="N88" s="456"/>
      <c r="O88" s="456"/>
      <c r="P88" s="456"/>
      <c r="Q88" s="456"/>
      <c r="R88" s="456"/>
      <c r="S88" s="456"/>
      <c r="T88" s="456"/>
      <c r="U88" s="456"/>
      <c r="V88" s="456"/>
      <c r="W88" s="457"/>
      <c r="X88" s="45"/>
      <c r="Y88" s="451"/>
      <c r="Z88" s="452"/>
      <c r="AA88" s="453"/>
      <c r="AB88" s="453"/>
      <c r="AC88" s="453"/>
      <c r="AD88" s="454"/>
      <c r="AE88" s="455"/>
      <c r="AF88" s="456"/>
      <c r="AG88" s="456"/>
      <c r="AH88" s="456"/>
      <c r="AI88" s="456"/>
      <c r="AJ88" s="456"/>
      <c r="AK88" s="456"/>
      <c r="AL88" s="456"/>
      <c r="AM88" s="456"/>
      <c r="AN88" s="456"/>
      <c r="AO88" s="456"/>
      <c r="AP88" s="456"/>
      <c r="AQ88" s="456"/>
      <c r="AR88" s="456"/>
      <c r="AS88" s="457"/>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row>
    <row r="89" s="3" customFormat="1" ht="17" customHeight="1" spans="1:70">
      <c r="A89" s="45"/>
      <c r="B89" s="444"/>
      <c r="C89" s="445"/>
      <c r="D89" s="446"/>
      <c r="E89" s="446"/>
      <c r="F89" s="446"/>
      <c r="G89" s="447"/>
      <c r="H89" s="448"/>
      <c r="I89" s="449"/>
      <c r="J89" s="449"/>
      <c r="K89" s="449"/>
      <c r="L89" s="449"/>
      <c r="M89" s="449"/>
      <c r="N89" s="449"/>
      <c r="O89" s="449"/>
      <c r="P89" s="449"/>
      <c r="Q89" s="449"/>
      <c r="R89" s="449"/>
      <c r="S89" s="449"/>
      <c r="T89" s="449"/>
      <c r="U89" s="449"/>
      <c r="V89" s="449"/>
      <c r="W89" s="450"/>
      <c r="X89" s="45"/>
      <c r="Y89" s="444"/>
      <c r="Z89" s="445"/>
      <c r="AA89" s="446"/>
      <c r="AB89" s="446"/>
      <c r="AC89" s="446"/>
      <c r="AD89" s="447"/>
      <c r="AE89" s="448"/>
      <c r="AF89" s="449"/>
      <c r="AG89" s="449"/>
      <c r="AH89" s="449"/>
      <c r="AI89" s="449"/>
      <c r="AJ89" s="449"/>
      <c r="AK89" s="449"/>
      <c r="AL89" s="449"/>
      <c r="AM89" s="449"/>
      <c r="AN89" s="449"/>
      <c r="AO89" s="449"/>
      <c r="AP89" s="449"/>
      <c r="AQ89" s="449"/>
      <c r="AR89" s="449"/>
      <c r="AS89" s="450"/>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row>
    <row r="90" s="3" customFormat="1" ht="17" customHeight="1" spans="1:70">
      <c r="A90" s="45"/>
      <c r="B90" s="451"/>
      <c r="C90" s="452"/>
      <c r="D90" s="453"/>
      <c r="E90" s="453"/>
      <c r="F90" s="453"/>
      <c r="G90" s="454"/>
      <c r="H90" s="455"/>
      <c r="I90" s="456"/>
      <c r="J90" s="456"/>
      <c r="K90" s="456"/>
      <c r="L90" s="456"/>
      <c r="M90" s="456"/>
      <c r="N90" s="456"/>
      <c r="O90" s="456"/>
      <c r="P90" s="456"/>
      <c r="Q90" s="456"/>
      <c r="R90" s="456"/>
      <c r="S90" s="456"/>
      <c r="T90" s="456"/>
      <c r="U90" s="456"/>
      <c r="V90" s="456"/>
      <c r="W90" s="457"/>
      <c r="X90" s="45"/>
      <c r="Y90" s="451"/>
      <c r="Z90" s="452"/>
      <c r="AA90" s="453"/>
      <c r="AB90" s="453"/>
      <c r="AC90" s="453"/>
      <c r="AD90" s="454"/>
      <c r="AE90" s="455"/>
      <c r="AF90" s="456"/>
      <c r="AG90" s="456"/>
      <c r="AH90" s="456"/>
      <c r="AI90" s="456"/>
      <c r="AJ90" s="456"/>
      <c r="AK90" s="456"/>
      <c r="AL90" s="456"/>
      <c r="AM90" s="456"/>
      <c r="AN90" s="456"/>
      <c r="AO90" s="456"/>
      <c r="AP90" s="456"/>
      <c r="AQ90" s="456"/>
      <c r="AR90" s="456"/>
      <c r="AS90" s="457"/>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row>
    <row r="91" s="3" customFormat="1" ht="17" customHeight="1" spans="1:70">
      <c r="A91" s="45"/>
      <c r="B91" s="211"/>
      <c r="C91" s="211"/>
      <c r="D91" s="211"/>
      <c r="E91" s="211"/>
      <c r="F91" s="211"/>
      <c r="G91" s="211"/>
      <c r="H91" s="443"/>
      <c r="I91" s="443"/>
      <c r="J91" s="443"/>
      <c r="K91" s="443"/>
      <c r="L91" s="443"/>
      <c r="M91" s="443"/>
      <c r="N91" s="443"/>
      <c r="O91" s="443"/>
      <c r="P91" s="443"/>
      <c r="Q91" s="443"/>
      <c r="R91" s="443"/>
      <c r="S91" s="443"/>
      <c r="T91" s="443"/>
      <c r="U91" s="443"/>
      <c r="V91" s="443"/>
      <c r="W91" s="443"/>
      <c r="X91" s="45"/>
      <c r="Y91" s="211"/>
      <c r="Z91" s="211"/>
      <c r="AA91" s="211"/>
      <c r="AB91" s="211"/>
      <c r="AC91" s="211"/>
      <c r="AD91" s="211"/>
      <c r="AE91" s="443"/>
      <c r="AF91" s="443"/>
      <c r="AG91" s="443"/>
      <c r="AH91" s="443"/>
      <c r="AI91" s="443"/>
      <c r="AJ91" s="443"/>
      <c r="AK91" s="443"/>
      <c r="AL91" s="443"/>
      <c r="AM91" s="443"/>
      <c r="AN91" s="443"/>
      <c r="AO91" s="443"/>
      <c r="AP91" s="443"/>
      <c r="AQ91" s="443"/>
      <c r="AR91" s="443"/>
      <c r="AS91" s="443"/>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row>
    <row r="92" s="3" customFormat="1" ht="17" customHeight="1" spans="1:70">
      <c r="A92" s="45"/>
      <c r="B92" s="451"/>
      <c r="C92" s="452"/>
      <c r="D92" s="453"/>
      <c r="E92" s="453"/>
      <c r="F92" s="453"/>
      <c r="G92" s="454"/>
      <c r="H92" s="455"/>
      <c r="I92" s="456"/>
      <c r="J92" s="456"/>
      <c r="K92" s="456"/>
      <c r="L92" s="456"/>
      <c r="M92" s="456"/>
      <c r="N92" s="456"/>
      <c r="O92" s="456"/>
      <c r="P92" s="456"/>
      <c r="Q92" s="456"/>
      <c r="R92" s="456"/>
      <c r="S92" s="456"/>
      <c r="T92" s="456"/>
      <c r="U92" s="456"/>
      <c r="V92" s="456"/>
      <c r="W92" s="457"/>
      <c r="X92" s="45"/>
      <c r="Y92" s="451"/>
      <c r="Z92" s="452"/>
      <c r="AA92" s="453"/>
      <c r="AB92" s="453"/>
      <c r="AC92" s="453"/>
      <c r="AD92" s="454"/>
      <c r="AE92" s="455"/>
      <c r="AF92" s="456"/>
      <c r="AG92" s="456"/>
      <c r="AH92" s="456"/>
      <c r="AI92" s="456"/>
      <c r="AJ92" s="456"/>
      <c r="AK92" s="456"/>
      <c r="AL92" s="456"/>
      <c r="AM92" s="456"/>
      <c r="AN92" s="456"/>
      <c r="AO92" s="456"/>
      <c r="AP92" s="456"/>
      <c r="AQ92" s="456"/>
      <c r="AR92" s="456"/>
      <c r="AS92" s="457"/>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row>
    <row r="93" s="3" customFormat="1" ht="17" customHeight="1" spans="1:70">
      <c r="A93" s="45"/>
      <c r="B93" s="444"/>
      <c r="C93" s="445"/>
      <c r="D93" s="446"/>
      <c r="E93" s="446"/>
      <c r="F93" s="446"/>
      <c r="G93" s="447"/>
      <c r="H93" s="448"/>
      <c r="I93" s="449"/>
      <c r="J93" s="449"/>
      <c r="K93" s="449"/>
      <c r="L93" s="449"/>
      <c r="M93" s="449"/>
      <c r="N93" s="449"/>
      <c r="O93" s="449"/>
      <c r="P93" s="449"/>
      <c r="Q93" s="449"/>
      <c r="R93" s="449"/>
      <c r="S93" s="449"/>
      <c r="T93" s="449"/>
      <c r="U93" s="449"/>
      <c r="V93" s="449"/>
      <c r="W93" s="450"/>
      <c r="X93" s="45"/>
      <c r="Y93" s="444"/>
      <c r="Z93" s="445"/>
      <c r="AA93" s="446"/>
      <c r="AB93" s="446"/>
      <c r="AC93" s="446"/>
      <c r="AD93" s="447"/>
      <c r="AE93" s="448"/>
      <c r="AF93" s="449"/>
      <c r="AG93" s="449"/>
      <c r="AH93" s="449"/>
      <c r="AI93" s="449"/>
      <c r="AJ93" s="449"/>
      <c r="AK93" s="449"/>
      <c r="AL93" s="449"/>
      <c r="AM93" s="449"/>
      <c r="AN93" s="449"/>
      <c r="AO93" s="449"/>
      <c r="AP93" s="449"/>
      <c r="AQ93" s="449"/>
      <c r="AR93" s="449"/>
      <c r="AS93" s="450"/>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row>
    <row r="94" s="3" customFormat="1" ht="17" customHeight="1" spans="1:70">
      <c r="A94" s="45"/>
      <c r="B94" s="451"/>
      <c r="C94" s="452"/>
      <c r="D94" s="453"/>
      <c r="E94" s="453"/>
      <c r="F94" s="453"/>
      <c r="G94" s="454"/>
      <c r="H94" s="455"/>
      <c r="I94" s="456"/>
      <c r="J94" s="456"/>
      <c r="K94" s="456"/>
      <c r="L94" s="456"/>
      <c r="M94" s="456"/>
      <c r="N94" s="456"/>
      <c r="O94" s="456"/>
      <c r="P94" s="456"/>
      <c r="Q94" s="456"/>
      <c r="R94" s="456"/>
      <c r="S94" s="456"/>
      <c r="T94" s="456"/>
      <c r="U94" s="456"/>
      <c r="V94" s="456"/>
      <c r="W94" s="457"/>
      <c r="X94" s="45"/>
      <c r="Y94" s="451"/>
      <c r="Z94" s="452"/>
      <c r="AA94" s="453"/>
      <c r="AB94" s="453"/>
      <c r="AC94" s="453"/>
      <c r="AD94" s="454"/>
      <c r="AE94" s="455"/>
      <c r="AF94" s="456"/>
      <c r="AG94" s="456"/>
      <c r="AH94" s="456"/>
      <c r="AI94" s="456"/>
      <c r="AJ94" s="456"/>
      <c r="AK94" s="456"/>
      <c r="AL94" s="456"/>
      <c r="AM94" s="456"/>
      <c r="AN94" s="456"/>
      <c r="AO94" s="456"/>
      <c r="AP94" s="456"/>
      <c r="AQ94" s="456"/>
      <c r="AR94" s="456"/>
      <c r="AS94" s="457"/>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row>
    <row r="95" s="3" customFormat="1" ht="17" customHeight="1" spans="1:70">
      <c r="A95" s="45"/>
      <c r="B95" s="211"/>
      <c r="C95" s="211"/>
      <c r="D95" s="211"/>
      <c r="E95" s="211"/>
      <c r="F95" s="211"/>
      <c r="G95" s="211"/>
      <c r="H95" s="443"/>
      <c r="I95" s="443"/>
      <c r="J95" s="443"/>
      <c r="K95" s="443"/>
      <c r="L95" s="443"/>
      <c r="M95" s="443"/>
      <c r="N95" s="443"/>
      <c r="O95" s="443"/>
      <c r="P95" s="443"/>
      <c r="Q95" s="443"/>
      <c r="R95" s="443"/>
      <c r="S95" s="443"/>
      <c r="T95" s="443"/>
      <c r="U95" s="443"/>
      <c r="V95" s="443"/>
      <c r="W95" s="443"/>
      <c r="X95" s="45"/>
      <c r="Y95" s="211"/>
      <c r="Z95" s="211"/>
      <c r="AA95" s="211"/>
      <c r="AB95" s="211"/>
      <c r="AC95" s="211"/>
      <c r="AD95" s="211"/>
      <c r="AE95" s="443"/>
      <c r="AF95" s="443"/>
      <c r="AG95" s="443"/>
      <c r="AH95" s="443"/>
      <c r="AI95" s="443"/>
      <c r="AJ95" s="443"/>
      <c r="AK95" s="443"/>
      <c r="AL95" s="443"/>
      <c r="AM95" s="443"/>
      <c r="AN95" s="443"/>
      <c r="AO95" s="443"/>
      <c r="AP95" s="443"/>
      <c r="AQ95" s="443"/>
      <c r="AR95" s="443"/>
      <c r="AS95" s="443"/>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row>
    <row r="96" s="3" customFormat="1" ht="17" customHeight="1" spans="1:70">
      <c r="A96" s="45"/>
      <c r="B96" s="210"/>
      <c r="C96" s="210"/>
      <c r="D96" s="210"/>
      <c r="E96" s="210"/>
      <c r="F96" s="210"/>
      <c r="G96" s="210"/>
      <c r="H96" s="398"/>
      <c r="I96" s="398"/>
      <c r="J96" s="398"/>
      <c r="K96" s="398"/>
      <c r="L96" s="398"/>
      <c r="M96" s="398"/>
      <c r="N96" s="398"/>
      <c r="O96" s="398"/>
      <c r="P96" s="398"/>
      <c r="Q96" s="398"/>
      <c r="R96" s="398"/>
      <c r="S96" s="398"/>
      <c r="T96" s="398"/>
      <c r="U96" s="398"/>
      <c r="V96" s="398"/>
      <c r="W96" s="398"/>
      <c r="X96" s="45"/>
      <c r="Y96" s="210"/>
      <c r="Z96" s="210"/>
      <c r="AA96" s="210"/>
      <c r="AB96" s="210"/>
      <c r="AC96" s="210"/>
      <c r="AD96" s="210"/>
      <c r="AE96" s="398"/>
      <c r="AF96" s="398"/>
      <c r="AG96" s="398"/>
      <c r="AH96" s="398"/>
      <c r="AI96" s="398"/>
      <c r="AJ96" s="398"/>
      <c r="AK96" s="398"/>
      <c r="AL96" s="398"/>
      <c r="AM96" s="398"/>
      <c r="AN96" s="398"/>
      <c r="AO96" s="398"/>
      <c r="AP96" s="398"/>
      <c r="AQ96" s="398"/>
      <c r="AR96" s="398"/>
      <c r="AS96" s="398"/>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row>
    <row r="97" s="3" customFormat="1" ht="17" customHeight="1" spans="1:70">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row>
    <row r="98" ht="17" customHeight="1" spans="1:70">
      <c r="B98" s="42" t="s">
        <v>154</v>
      </c>
      <c r="C98" s="42"/>
      <c r="D98" s="42"/>
      <c r="E98" s="42"/>
      <c r="F98" s="42"/>
      <c r="G98" s="42"/>
      <c r="H98" s="42"/>
      <c r="I98" s="42"/>
      <c r="J98" s="42"/>
      <c r="K98" s="42"/>
      <c r="L98" s="42"/>
      <c r="M98" s="42"/>
      <c r="N98" s="42"/>
      <c r="O98" s="42"/>
      <c r="P98" s="42"/>
      <c r="Q98" s="42"/>
      <c r="R98" s="42"/>
      <c r="S98" s="42"/>
      <c r="T98" s="42"/>
      <c r="U98" s="42"/>
      <c r="V98" s="42"/>
      <c r="W98" s="42"/>
      <c r="Y98" s="42" t="s">
        <v>155</v>
      </c>
      <c r="Z98" s="42"/>
      <c r="AA98" s="42"/>
      <c r="AB98" s="42"/>
      <c r="AC98" s="42"/>
      <c r="AD98" s="42"/>
      <c r="AE98" s="42"/>
      <c r="AF98" s="42"/>
      <c r="AG98" s="42"/>
      <c r="AH98" s="42"/>
      <c r="AI98" s="42"/>
      <c r="AJ98" s="42"/>
      <c r="AK98" s="42"/>
      <c r="AL98" s="42"/>
      <c r="AM98" s="42"/>
      <c r="AN98" s="42"/>
      <c r="AO98" s="42"/>
      <c r="AP98" s="42"/>
      <c r="AQ98" s="42"/>
      <c r="AR98" s="42"/>
      <c r="AS98" s="42"/>
    </row>
    <row r="99" ht="17" customHeight="1" spans="1:70">
      <c r="B99" s="47" t="s">
        <v>15</v>
      </c>
      <c r="C99" s="47" t="s">
        <v>68</v>
      </c>
      <c r="D99" s="47"/>
      <c r="E99" s="47"/>
      <c r="F99" s="47"/>
      <c r="G99" s="47"/>
      <c r="H99" s="47" t="s">
        <v>153</v>
      </c>
      <c r="I99" s="47"/>
      <c r="J99" s="47"/>
      <c r="K99" s="47"/>
      <c r="L99" s="47"/>
      <c r="M99" s="47"/>
      <c r="N99" s="47"/>
      <c r="O99" s="47"/>
      <c r="P99" s="47"/>
      <c r="Q99" s="47"/>
      <c r="R99" s="47"/>
      <c r="S99" s="47"/>
      <c r="T99" s="47"/>
      <c r="U99" s="47"/>
      <c r="V99" s="47"/>
      <c r="W99" s="47"/>
      <c r="Y99" s="47" t="s">
        <v>15</v>
      </c>
      <c r="Z99" s="47" t="s">
        <v>68</v>
      </c>
      <c r="AA99" s="47"/>
      <c r="AB99" s="47"/>
      <c r="AC99" s="47"/>
      <c r="AD99" s="47"/>
      <c r="AE99" s="47" t="s">
        <v>153</v>
      </c>
      <c r="AF99" s="47"/>
      <c r="AG99" s="47"/>
      <c r="AH99" s="47"/>
      <c r="AI99" s="47"/>
      <c r="AJ99" s="47"/>
      <c r="AK99" s="47"/>
      <c r="AL99" s="47"/>
      <c r="AM99" s="47"/>
      <c r="AN99" s="47"/>
      <c r="AO99" s="47"/>
      <c r="AP99" s="47"/>
      <c r="AQ99" s="47"/>
      <c r="AR99" s="47"/>
      <c r="AS99" s="47"/>
    </row>
    <row r="100" ht="17" customHeight="1" spans="1:70">
      <c r="B100" s="210"/>
      <c r="C100" s="210"/>
      <c r="D100" s="210"/>
      <c r="E100" s="210"/>
      <c r="F100" s="210"/>
      <c r="G100" s="210"/>
      <c r="H100" s="398"/>
      <c r="I100" s="398"/>
      <c r="J100" s="398"/>
      <c r="K100" s="398"/>
      <c r="L100" s="398"/>
      <c r="M100" s="398"/>
      <c r="N100" s="398"/>
      <c r="O100" s="398"/>
      <c r="P100" s="398"/>
      <c r="Q100" s="398"/>
      <c r="R100" s="398"/>
      <c r="S100" s="398"/>
      <c r="T100" s="398"/>
      <c r="U100" s="398"/>
      <c r="V100" s="398"/>
      <c r="W100" s="398"/>
      <c r="Y100" s="210"/>
      <c r="Z100" s="210"/>
      <c r="AA100" s="210"/>
      <c r="AB100" s="210"/>
      <c r="AC100" s="210"/>
      <c r="AD100" s="210"/>
      <c r="AE100" s="398"/>
      <c r="AF100" s="398"/>
      <c r="AG100" s="398"/>
      <c r="AH100" s="398"/>
      <c r="AI100" s="398"/>
      <c r="AJ100" s="398"/>
      <c r="AK100" s="398"/>
      <c r="AL100" s="398"/>
      <c r="AM100" s="398"/>
      <c r="AN100" s="398"/>
      <c r="AO100" s="398"/>
      <c r="AP100" s="398"/>
      <c r="AQ100" s="398"/>
      <c r="AR100" s="398"/>
      <c r="AS100" s="398"/>
    </row>
    <row r="101" ht="17" customHeight="1" spans="1:70">
      <c r="B101" s="211"/>
      <c r="C101" s="211"/>
      <c r="D101" s="211"/>
      <c r="E101" s="211"/>
      <c r="F101" s="211"/>
      <c r="G101" s="211"/>
      <c r="H101" s="443"/>
      <c r="I101" s="443"/>
      <c r="J101" s="443"/>
      <c r="K101" s="443"/>
      <c r="L101" s="443"/>
      <c r="M101" s="443"/>
      <c r="N101" s="443"/>
      <c r="O101" s="443"/>
      <c r="P101" s="443"/>
      <c r="Q101" s="443"/>
      <c r="R101" s="443"/>
      <c r="S101" s="443"/>
      <c r="T101" s="443"/>
      <c r="U101" s="443"/>
      <c r="V101" s="443"/>
      <c r="W101" s="443"/>
      <c r="Y101" s="211"/>
      <c r="Z101" s="211"/>
      <c r="AA101" s="211"/>
      <c r="AB101" s="211"/>
      <c r="AC101" s="211"/>
      <c r="AD101" s="211"/>
      <c r="AE101" s="443"/>
      <c r="AF101" s="443"/>
      <c r="AG101" s="443"/>
      <c r="AH101" s="443"/>
      <c r="AI101" s="443"/>
      <c r="AJ101" s="443"/>
      <c r="AK101" s="443"/>
      <c r="AL101" s="443"/>
      <c r="AM101" s="443"/>
      <c r="AN101" s="443"/>
      <c r="AO101" s="443"/>
      <c r="AP101" s="443"/>
      <c r="AQ101" s="443"/>
      <c r="AR101" s="443"/>
      <c r="AS101" s="443"/>
    </row>
    <row r="102" ht="17" customHeight="1" spans="1:70">
      <c r="B102" s="210"/>
      <c r="C102" s="210"/>
      <c r="D102" s="210"/>
      <c r="E102" s="210"/>
      <c r="F102" s="210"/>
      <c r="G102" s="210"/>
      <c r="H102" s="398"/>
      <c r="I102" s="398"/>
      <c r="J102" s="398"/>
      <c r="K102" s="398"/>
      <c r="L102" s="398"/>
      <c r="M102" s="398"/>
      <c r="N102" s="398"/>
      <c r="O102" s="398"/>
      <c r="P102" s="398"/>
      <c r="Q102" s="398"/>
      <c r="R102" s="398"/>
      <c r="S102" s="398"/>
      <c r="T102" s="398"/>
      <c r="U102" s="398"/>
      <c r="V102" s="398"/>
      <c r="W102" s="398"/>
      <c r="Y102" s="210"/>
      <c r="Z102" s="210"/>
      <c r="AA102" s="210"/>
      <c r="AB102" s="210"/>
      <c r="AC102" s="210"/>
      <c r="AD102" s="210"/>
      <c r="AE102" s="398"/>
      <c r="AF102" s="398"/>
      <c r="AG102" s="398"/>
      <c r="AH102" s="398"/>
      <c r="AI102" s="398"/>
      <c r="AJ102" s="398"/>
      <c r="AK102" s="398"/>
      <c r="AL102" s="398"/>
      <c r="AM102" s="398"/>
      <c r="AN102" s="398"/>
      <c r="AO102" s="398"/>
      <c r="AP102" s="398"/>
      <c r="AQ102" s="398"/>
      <c r="AR102" s="398"/>
      <c r="AS102" s="398"/>
    </row>
    <row r="103" ht="17" customHeight="1" spans="1:70">
      <c r="B103" s="211"/>
      <c r="C103" s="211"/>
      <c r="D103" s="211"/>
      <c r="E103" s="211"/>
      <c r="F103" s="211"/>
      <c r="G103" s="211"/>
      <c r="H103" s="443"/>
      <c r="I103" s="443"/>
      <c r="J103" s="443"/>
      <c r="K103" s="443"/>
      <c r="L103" s="443"/>
      <c r="M103" s="443"/>
      <c r="N103" s="443"/>
      <c r="O103" s="443"/>
      <c r="P103" s="443"/>
      <c r="Q103" s="443"/>
      <c r="R103" s="443"/>
      <c r="S103" s="443"/>
      <c r="T103" s="443"/>
      <c r="U103" s="443"/>
      <c r="V103" s="443"/>
      <c r="W103" s="443"/>
      <c r="Y103" s="211"/>
      <c r="Z103" s="211"/>
      <c r="AA103" s="211"/>
      <c r="AB103" s="211"/>
      <c r="AC103" s="211"/>
      <c r="AD103" s="211"/>
      <c r="AE103" s="443"/>
      <c r="AF103" s="443"/>
      <c r="AG103" s="443"/>
      <c r="AH103" s="443"/>
      <c r="AI103" s="443"/>
      <c r="AJ103" s="443"/>
      <c r="AK103" s="443"/>
      <c r="AL103" s="443"/>
      <c r="AM103" s="443"/>
      <c r="AN103" s="443"/>
      <c r="AO103" s="443"/>
      <c r="AP103" s="443"/>
      <c r="AQ103" s="443"/>
      <c r="AR103" s="443"/>
      <c r="AS103" s="443"/>
    </row>
    <row r="104" ht="17" customHeight="1" spans="1:70">
      <c r="B104" s="210"/>
      <c r="C104" s="210"/>
      <c r="D104" s="210"/>
      <c r="E104" s="210"/>
      <c r="F104" s="210"/>
      <c r="G104" s="210"/>
      <c r="H104" s="398"/>
      <c r="I104" s="398"/>
      <c r="J104" s="398"/>
      <c r="K104" s="398"/>
      <c r="L104" s="398"/>
      <c r="M104" s="398"/>
      <c r="N104" s="398"/>
      <c r="O104" s="398"/>
      <c r="P104" s="398"/>
      <c r="Q104" s="398"/>
      <c r="R104" s="398"/>
      <c r="S104" s="398"/>
      <c r="T104" s="398"/>
      <c r="U104" s="398"/>
      <c r="V104" s="398"/>
      <c r="W104" s="398"/>
      <c r="Y104" s="210"/>
      <c r="Z104" s="210"/>
      <c r="AA104" s="210"/>
      <c r="AB104" s="210"/>
      <c r="AC104" s="210"/>
      <c r="AD104" s="210"/>
      <c r="AE104" s="398"/>
      <c r="AF104" s="398"/>
      <c r="AG104" s="398"/>
      <c r="AH104" s="398"/>
      <c r="AI104" s="398"/>
      <c r="AJ104" s="398"/>
      <c r="AK104" s="398"/>
      <c r="AL104" s="398"/>
      <c r="AM104" s="398"/>
      <c r="AN104" s="398"/>
      <c r="AO104" s="398"/>
      <c r="AP104" s="398"/>
      <c r="AQ104" s="398"/>
      <c r="AR104" s="398"/>
      <c r="AS104" s="398"/>
    </row>
    <row r="105" ht="17" customHeight="1" spans="1:70">
      <c r="B105" s="211"/>
      <c r="C105" s="211"/>
      <c r="D105" s="211"/>
      <c r="E105" s="211"/>
      <c r="F105" s="211"/>
      <c r="G105" s="211"/>
      <c r="H105" s="443"/>
      <c r="I105" s="443"/>
      <c r="J105" s="443"/>
      <c r="K105" s="443"/>
      <c r="L105" s="443"/>
      <c r="M105" s="443"/>
      <c r="N105" s="443"/>
      <c r="O105" s="443"/>
      <c r="P105" s="443"/>
      <c r="Q105" s="443"/>
      <c r="R105" s="443"/>
      <c r="S105" s="443"/>
      <c r="T105" s="443"/>
      <c r="U105" s="443"/>
      <c r="V105" s="443"/>
      <c r="W105" s="443"/>
      <c r="Y105" s="211"/>
      <c r="Z105" s="211"/>
      <c r="AA105" s="211"/>
      <c r="AB105" s="211"/>
      <c r="AC105" s="211"/>
      <c r="AD105" s="211"/>
      <c r="AE105" s="443"/>
      <c r="AF105" s="443"/>
      <c r="AG105" s="443"/>
      <c r="AH105" s="443"/>
      <c r="AI105" s="443"/>
      <c r="AJ105" s="443"/>
      <c r="AK105" s="443"/>
      <c r="AL105" s="443"/>
      <c r="AM105" s="443"/>
      <c r="AN105" s="443"/>
      <c r="AO105" s="443"/>
      <c r="AP105" s="443"/>
      <c r="AQ105" s="443"/>
      <c r="AR105" s="443"/>
      <c r="AS105" s="443"/>
    </row>
    <row r="106" ht="17" customHeight="1" spans="1:70">
      <c r="B106" s="210"/>
      <c r="C106" s="210"/>
      <c r="D106" s="210"/>
      <c r="E106" s="210"/>
      <c r="F106" s="210"/>
      <c r="G106" s="210"/>
      <c r="H106" s="398"/>
      <c r="I106" s="398"/>
      <c r="J106" s="398"/>
      <c r="K106" s="398"/>
      <c r="L106" s="398"/>
      <c r="M106" s="398"/>
      <c r="N106" s="398"/>
      <c r="O106" s="398"/>
      <c r="P106" s="398"/>
      <c r="Q106" s="398"/>
      <c r="R106" s="398"/>
      <c r="S106" s="398"/>
      <c r="T106" s="398"/>
      <c r="U106" s="398"/>
      <c r="V106" s="398"/>
      <c r="W106" s="398"/>
      <c r="Y106" s="210"/>
      <c r="Z106" s="210"/>
      <c r="AA106" s="210"/>
      <c r="AB106" s="210"/>
      <c r="AC106" s="210"/>
      <c r="AD106" s="210"/>
      <c r="AE106" s="398"/>
      <c r="AF106" s="398"/>
      <c r="AG106" s="398"/>
      <c r="AH106" s="398"/>
      <c r="AI106" s="398"/>
      <c r="AJ106" s="398"/>
      <c r="AK106" s="398"/>
      <c r="AL106" s="398"/>
      <c r="AM106" s="398"/>
      <c r="AN106" s="398"/>
      <c r="AO106" s="398"/>
      <c r="AP106" s="398"/>
      <c r="AQ106" s="398"/>
      <c r="AR106" s="398"/>
      <c r="AS106" s="398"/>
    </row>
    <row r="107" ht="17" customHeight="1" spans="1:70">
      <c r="B107" s="211"/>
      <c r="C107" s="211"/>
      <c r="D107" s="211"/>
      <c r="E107" s="211"/>
      <c r="F107" s="211"/>
      <c r="G107" s="211"/>
      <c r="H107" s="443"/>
      <c r="I107" s="443"/>
      <c r="J107" s="443"/>
      <c r="K107" s="443"/>
      <c r="L107" s="443"/>
      <c r="M107" s="443"/>
      <c r="N107" s="443"/>
      <c r="O107" s="443"/>
      <c r="P107" s="443"/>
      <c r="Q107" s="443"/>
      <c r="R107" s="443"/>
      <c r="S107" s="443"/>
      <c r="T107" s="443"/>
      <c r="U107" s="443"/>
      <c r="V107" s="443"/>
      <c r="W107" s="443"/>
      <c r="Y107" s="211"/>
      <c r="Z107" s="211"/>
      <c r="AA107" s="211"/>
      <c r="AB107" s="211"/>
      <c r="AC107" s="211"/>
      <c r="AD107" s="211"/>
      <c r="AE107" s="443"/>
      <c r="AF107" s="443"/>
      <c r="AG107" s="443"/>
      <c r="AH107" s="443"/>
      <c r="AI107" s="443"/>
      <c r="AJ107" s="443"/>
      <c r="AK107" s="443"/>
      <c r="AL107" s="443"/>
      <c r="AM107" s="443"/>
      <c r="AN107" s="443"/>
      <c r="AO107" s="443"/>
      <c r="AP107" s="443"/>
      <c r="AQ107" s="443"/>
      <c r="AR107" s="443"/>
      <c r="AS107" s="443"/>
    </row>
    <row r="108" ht="17" customHeight="1"/>
    <row r="109" ht="17" customHeight="1" spans="1:70">
      <c r="B109" s="42" t="s">
        <v>156</v>
      </c>
      <c r="C109" s="42"/>
      <c r="D109" s="42"/>
      <c r="E109" s="42"/>
      <c r="F109" s="42"/>
      <c r="G109" s="42"/>
      <c r="H109" s="42"/>
      <c r="I109" s="42"/>
      <c r="J109" s="42"/>
      <c r="K109" s="42"/>
      <c r="L109" s="42"/>
      <c r="M109" s="42"/>
      <c r="N109" s="42"/>
      <c r="O109" s="42"/>
      <c r="P109" s="42"/>
      <c r="Q109" s="42"/>
      <c r="R109" s="42"/>
      <c r="S109" s="42"/>
      <c r="T109" s="42"/>
      <c r="U109" s="42"/>
      <c r="V109" s="42"/>
      <c r="W109" s="42"/>
      <c r="Y109" s="42" t="s">
        <v>157</v>
      </c>
      <c r="Z109" s="42"/>
      <c r="AA109" s="42"/>
      <c r="AB109" s="42"/>
      <c r="AC109" s="42"/>
      <c r="AD109" s="42"/>
      <c r="AE109" s="42"/>
      <c r="AF109" s="42"/>
      <c r="AG109" s="42"/>
      <c r="AH109" s="42"/>
      <c r="AI109" s="42"/>
      <c r="AJ109" s="42"/>
      <c r="AK109" s="42"/>
      <c r="AL109" s="42"/>
      <c r="AM109" s="42"/>
      <c r="AN109" s="42"/>
      <c r="AO109" s="42"/>
      <c r="AP109" s="42"/>
      <c r="AQ109" s="42"/>
      <c r="AR109" s="42"/>
      <c r="AS109" s="42"/>
    </row>
    <row r="110" ht="17" customHeight="1" spans="1:70">
      <c r="B110" s="458"/>
      <c r="C110" s="459"/>
      <c r="D110" s="459"/>
      <c r="E110" s="459"/>
      <c r="F110" s="459"/>
      <c r="G110" s="459"/>
      <c r="H110" s="459"/>
      <c r="I110" s="459"/>
      <c r="J110" s="459"/>
      <c r="K110" s="459"/>
      <c r="L110" s="459"/>
      <c r="M110" s="459"/>
      <c r="N110" s="459"/>
      <c r="O110" s="459"/>
      <c r="P110" s="459"/>
      <c r="Q110" s="459"/>
      <c r="R110" s="459"/>
      <c r="S110" s="459"/>
      <c r="T110" s="459"/>
      <c r="U110" s="459"/>
      <c r="V110" s="459"/>
      <c r="W110" s="397"/>
      <c r="Y110" s="460"/>
      <c r="Z110" s="460"/>
      <c r="AA110" s="460"/>
      <c r="AB110" s="460"/>
      <c r="AC110" s="460"/>
      <c r="AD110" s="460"/>
      <c r="AE110" s="460"/>
      <c r="AF110" s="460"/>
      <c r="AG110" s="460"/>
      <c r="AH110" s="460"/>
      <c r="AI110" s="460"/>
      <c r="AJ110" s="460"/>
      <c r="AK110" s="460"/>
      <c r="AL110" s="460"/>
      <c r="AM110" s="460"/>
      <c r="AN110" s="460"/>
      <c r="AO110" s="460"/>
      <c r="AP110" s="460"/>
      <c r="AQ110" s="460"/>
      <c r="AR110" s="460"/>
      <c r="AS110" s="460"/>
    </row>
    <row r="111" ht="17" customHeight="1" spans="1:70">
      <c r="B111" s="461"/>
      <c r="C111" s="462"/>
      <c r="D111" s="462"/>
      <c r="E111" s="462"/>
      <c r="F111" s="462"/>
      <c r="G111" s="462"/>
      <c r="H111" s="462"/>
      <c r="I111" s="462"/>
      <c r="J111" s="462"/>
      <c r="K111" s="462"/>
      <c r="L111" s="462"/>
      <c r="M111" s="462"/>
      <c r="N111" s="462"/>
      <c r="O111" s="462"/>
      <c r="P111" s="462"/>
      <c r="Q111" s="462"/>
      <c r="R111" s="462"/>
      <c r="S111" s="462"/>
      <c r="T111" s="462"/>
      <c r="U111" s="462"/>
      <c r="V111" s="462"/>
      <c r="W111" s="463"/>
      <c r="Y111" s="460"/>
      <c r="Z111" s="460"/>
      <c r="AA111" s="460"/>
      <c r="AB111" s="460"/>
      <c r="AC111" s="460"/>
      <c r="AD111" s="460"/>
      <c r="AE111" s="460"/>
      <c r="AF111" s="460"/>
      <c r="AG111" s="460"/>
      <c r="AH111" s="460"/>
      <c r="AI111" s="460"/>
      <c r="AJ111" s="460"/>
      <c r="AK111" s="460"/>
      <c r="AL111" s="460"/>
      <c r="AM111" s="460"/>
      <c r="AN111" s="460"/>
      <c r="AO111" s="460"/>
      <c r="AP111" s="460"/>
      <c r="AQ111" s="460"/>
      <c r="AR111" s="460"/>
      <c r="AS111" s="460"/>
    </row>
    <row r="112" ht="17" customHeight="1" spans="1:70">
      <c r="B112" s="458"/>
      <c r="C112" s="459"/>
      <c r="D112" s="459"/>
      <c r="E112" s="459"/>
      <c r="F112" s="459"/>
      <c r="G112" s="459"/>
      <c r="H112" s="459"/>
      <c r="I112" s="459"/>
      <c r="J112" s="459"/>
      <c r="K112" s="459"/>
      <c r="L112" s="459"/>
      <c r="M112" s="459"/>
      <c r="N112" s="459"/>
      <c r="O112" s="459"/>
      <c r="P112" s="459"/>
      <c r="Q112" s="459"/>
      <c r="R112" s="459"/>
      <c r="S112" s="459"/>
      <c r="T112" s="459"/>
      <c r="U112" s="459"/>
      <c r="V112" s="459"/>
      <c r="W112" s="397"/>
      <c r="Y112" s="460"/>
      <c r="Z112" s="460"/>
      <c r="AA112" s="460"/>
      <c r="AB112" s="460"/>
      <c r="AC112" s="460"/>
      <c r="AD112" s="460"/>
      <c r="AE112" s="460"/>
      <c r="AF112" s="460"/>
      <c r="AG112" s="460"/>
      <c r="AH112" s="460"/>
      <c r="AI112" s="460"/>
      <c r="AJ112" s="460"/>
      <c r="AK112" s="460"/>
      <c r="AL112" s="460"/>
      <c r="AM112" s="460"/>
      <c r="AN112" s="460"/>
      <c r="AO112" s="460"/>
      <c r="AP112" s="460"/>
      <c r="AQ112" s="460"/>
      <c r="AR112" s="460"/>
      <c r="AS112" s="460"/>
    </row>
    <row r="113" ht="17" customHeight="1" spans="2:45">
      <c r="B113" s="461"/>
      <c r="C113" s="462"/>
      <c r="D113" s="462"/>
      <c r="E113" s="462"/>
      <c r="F113" s="462"/>
      <c r="G113" s="462"/>
      <c r="H113" s="462"/>
      <c r="I113" s="462"/>
      <c r="J113" s="462"/>
      <c r="K113" s="462"/>
      <c r="L113" s="462"/>
      <c r="M113" s="462"/>
      <c r="N113" s="462"/>
      <c r="O113" s="462"/>
      <c r="P113" s="462"/>
      <c r="Q113" s="462"/>
      <c r="R113" s="462"/>
      <c r="S113" s="462"/>
      <c r="T113" s="462"/>
      <c r="U113" s="462"/>
      <c r="V113" s="462"/>
      <c r="W113" s="463"/>
      <c r="Y113" s="460"/>
      <c r="Z113" s="460"/>
      <c r="AA113" s="460"/>
      <c r="AB113" s="460"/>
      <c r="AC113" s="460"/>
      <c r="AD113" s="460"/>
      <c r="AE113" s="460"/>
      <c r="AF113" s="460"/>
      <c r="AG113" s="460"/>
      <c r="AH113" s="460"/>
      <c r="AI113" s="460"/>
      <c r="AJ113" s="460"/>
      <c r="AK113" s="460"/>
      <c r="AL113" s="460"/>
      <c r="AM113" s="460"/>
      <c r="AN113" s="460"/>
      <c r="AO113" s="460"/>
      <c r="AP113" s="460"/>
      <c r="AQ113" s="460"/>
      <c r="AR113" s="460"/>
      <c r="AS113" s="460"/>
    </row>
    <row r="114" ht="17" customHeight="1" spans="2:45">
      <c r="B114" s="458"/>
      <c r="C114" s="459"/>
      <c r="D114" s="459"/>
      <c r="E114" s="459"/>
      <c r="F114" s="459"/>
      <c r="G114" s="459"/>
      <c r="H114" s="459"/>
      <c r="I114" s="459"/>
      <c r="J114" s="459"/>
      <c r="K114" s="459"/>
      <c r="L114" s="459"/>
      <c r="M114" s="459"/>
      <c r="N114" s="459"/>
      <c r="O114" s="459"/>
      <c r="P114" s="459"/>
      <c r="Q114" s="459"/>
      <c r="R114" s="459"/>
      <c r="S114" s="459"/>
      <c r="T114" s="459"/>
      <c r="U114" s="459"/>
      <c r="V114" s="459"/>
      <c r="W114" s="397"/>
      <c r="Y114" s="460"/>
      <c r="Z114" s="460"/>
      <c r="AA114" s="460"/>
      <c r="AB114" s="460"/>
      <c r="AC114" s="460"/>
      <c r="AD114" s="460"/>
      <c r="AE114" s="460"/>
      <c r="AF114" s="460"/>
      <c r="AG114" s="460"/>
      <c r="AH114" s="460"/>
      <c r="AI114" s="460"/>
      <c r="AJ114" s="460"/>
      <c r="AK114" s="460"/>
      <c r="AL114" s="460"/>
      <c r="AM114" s="460"/>
      <c r="AN114" s="460"/>
      <c r="AO114" s="460"/>
      <c r="AP114" s="460"/>
      <c r="AQ114" s="460"/>
      <c r="AR114" s="460"/>
      <c r="AS114" s="460"/>
    </row>
    <row r="115" ht="17" customHeight="1" spans="2:45">
      <c r="B115" s="461"/>
      <c r="C115" s="462"/>
      <c r="D115" s="462"/>
      <c r="E115" s="462"/>
      <c r="F115" s="462"/>
      <c r="G115" s="462"/>
      <c r="H115" s="462"/>
      <c r="I115" s="462"/>
      <c r="J115" s="462"/>
      <c r="K115" s="462"/>
      <c r="L115" s="462"/>
      <c r="M115" s="462"/>
      <c r="N115" s="462"/>
      <c r="O115" s="462"/>
      <c r="P115" s="462"/>
      <c r="Q115" s="462"/>
      <c r="R115" s="462"/>
      <c r="S115" s="462"/>
      <c r="T115" s="462"/>
      <c r="U115" s="462"/>
      <c r="V115" s="462"/>
      <c r="W115" s="463"/>
      <c r="Y115" s="460"/>
      <c r="Z115" s="460"/>
      <c r="AA115" s="460"/>
      <c r="AB115" s="460"/>
      <c r="AC115" s="460"/>
      <c r="AD115" s="460"/>
      <c r="AE115" s="460"/>
      <c r="AF115" s="460"/>
      <c r="AG115" s="460"/>
      <c r="AH115" s="460"/>
      <c r="AI115" s="460"/>
      <c r="AJ115" s="460"/>
      <c r="AK115" s="460"/>
      <c r="AL115" s="460"/>
      <c r="AM115" s="460"/>
      <c r="AN115" s="460"/>
      <c r="AO115" s="460"/>
      <c r="AP115" s="460"/>
      <c r="AQ115" s="460"/>
      <c r="AR115" s="460"/>
      <c r="AS115" s="460"/>
    </row>
    <row r="116" ht="17" customHeight="1" spans="2:45">
      <c r="B116" s="458"/>
      <c r="C116" s="459"/>
      <c r="D116" s="459"/>
      <c r="E116" s="459"/>
      <c r="F116" s="459"/>
      <c r="G116" s="459"/>
      <c r="H116" s="459"/>
      <c r="I116" s="459"/>
      <c r="J116" s="459"/>
      <c r="K116" s="459"/>
      <c r="L116" s="459"/>
      <c r="M116" s="459"/>
      <c r="N116" s="459"/>
      <c r="O116" s="459"/>
      <c r="P116" s="459"/>
      <c r="Q116" s="459"/>
      <c r="R116" s="459"/>
      <c r="S116" s="459"/>
      <c r="T116" s="459"/>
      <c r="U116" s="459"/>
      <c r="V116" s="459"/>
      <c r="W116" s="397"/>
      <c r="Y116" s="460"/>
      <c r="Z116" s="460"/>
      <c r="AA116" s="460"/>
      <c r="AB116" s="460"/>
      <c r="AC116" s="460"/>
      <c r="AD116" s="460"/>
      <c r="AE116" s="460"/>
      <c r="AF116" s="460"/>
      <c r="AG116" s="460"/>
      <c r="AH116" s="460"/>
      <c r="AI116" s="460"/>
      <c r="AJ116" s="460"/>
      <c r="AK116" s="460"/>
      <c r="AL116" s="460"/>
      <c r="AM116" s="460"/>
      <c r="AN116" s="460"/>
      <c r="AO116" s="460"/>
      <c r="AP116" s="460"/>
      <c r="AQ116" s="460"/>
      <c r="AR116" s="460"/>
      <c r="AS116" s="460"/>
    </row>
    <row r="117" ht="17" customHeight="1" spans="2:45">
      <c r="B117" s="461"/>
      <c r="C117" s="462"/>
      <c r="D117" s="462"/>
      <c r="E117" s="462"/>
      <c r="F117" s="462"/>
      <c r="G117" s="462"/>
      <c r="H117" s="462"/>
      <c r="I117" s="462"/>
      <c r="J117" s="462"/>
      <c r="K117" s="462"/>
      <c r="L117" s="462"/>
      <c r="M117" s="462"/>
      <c r="N117" s="462"/>
      <c r="O117" s="462"/>
      <c r="P117" s="462"/>
      <c r="Q117" s="462"/>
      <c r="R117" s="462"/>
      <c r="S117" s="462"/>
      <c r="T117" s="462"/>
      <c r="U117" s="462"/>
      <c r="V117" s="462"/>
      <c r="W117" s="463"/>
      <c r="Y117" s="460"/>
      <c r="Z117" s="460"/>
      <c r="AA117" s="460"/>
      <c r="AB117" s="460"/>
      <c r="AC117" s="460"/>
      <c r="AD117" s="460"/>
      <c r="AE117" s="460"/>
      <c r="AF117" s="460"/>
      <c r="AG117" s="460"/>
      <c r="AH117" s="460"/>
      <c r="AI117" s="460"/>
      <c r="AJ117" s="460"/>
      <c r="AK117" s="460"/>
      <c r="AL117" s="460"/>
      <c r="AM117" s="460"/>
      <c r="AN117" s="460"/>
      <c r="AO117" s="460"/>
      <c r="AP117" s="460"/>
      <c r="AQ117" s="460"/>
      <c r="AR117" s="460"/>
      <c r="AS117" s="460"/>
    </row>
    <row r="118" ht="17" customHeight="1" spans="2:45">
      <c r="B118" s="458"/>
      <c r="C118" s="459"/>
      <c r="D118" s="459"/>
      <c r="E118" s="459"/>
      <c r="F118" s="459"/>
      <c r="G118" s="459"/>
      <c r="H118" s="459"/>
      <c r="I118" s="459"/>
      <c r="J118" s="459"/>
      <c r="K118" s="459"/>
      <c r="L118" s="459"/>
      <c r="M118" s="459"/>
      <c r="N118" s="459"/>
      <c r="O118" s="459"/>
      <c r="P118" s="459"/>
      <c r="Q118" s="459"/>
      <c r="R118" s="459"/>
      <c r="S118" s="459"/>
      <c r="T118" s="459"/>
      <c r="U118" s="459"/>
      <c r="V118" s="459"/>
      <c r="W118" s="397"/>
      <c r="Y118" s="460"/>
      <c r="Z118" s="460"/>
      <c r="AA118" s="460"/>
      <c r="AB118" s="460"/>
      <c r="AC118" s="460"/>
      <c r="AD118" s="460"/>
      <c r="AE118" s="460"/>
      <c r="AF118" s="460"/>
      <c r="AG118" s="460"/>
      <c r="AH118" s="460"/>
      <c r="AI118" s="460"/>
      <c r="AJ118" s="460"/>
      <c r="AK118" s="460"/>
      <c r="AL118" s="460"/>
      <c r="AM118" s="460"/>
      <c r="AN118" s="460"/>
      <c r="AO118" s="460"/>
      <c r="AP118" s="460"/>
      <c r="AQ118" s="460"/>
      <c r="AR118" s="460"/>
      <c r="AS118" s="460"/>
    </row>
    <row r="119" ht="17" customHeight="1" spans="2:45">
      <c r="B119" s="461"/>
      <c r="C119" s="462"/>
      <c r="D119" s="462"/>
      <c r="E119" s="462"/>
      <c r="F119" s="462"/>
      <c r="G119" s="462"/>
      <c r="H119" s="462"/>
      <c r="I119" s="462"/>
      <c r="J119" s="462"/>
      <c r="K119" s="462"/>
      <c r="L119" s="462"/>
      <c r="M119" s="462"/>
      <c r="N119" s="462"/>
      <c r="O119" s="462"/>
      <c r="P119" s="462"/>
      <c r="Q119" s="462"/>
      <c r="R119" s="462"/>
      <c r="S119" s="462"/>
      <c r="T119" s="462"/>
      <c r="U119" s="462"/>
      <c r="V119" s="462"/>
      <c r="W119" s="463"/>
      <c r="Y119" s="460"/>
      <c r="Z119" s="460"/>
      <c r="AA119" s="460"/>
      <c r="AB119" s="460"/>
      <c r="AC119" s="460"/>
      <c r="AD119" s="460"/>
      <c r="AE119" s="460"/>
      <c r="AF119" s="460"/>
      <c r="AG119" s="460"/>
      <c r="AH119" s="460"/>
      <c r="AI119" s="460"/>
      <c r="AJ119" s="460"/>
      <c r="AK119" s="460"/>
      <c r="AL119" s="460"/>
      <c r="AM119" s="460"/>
      <c r="AN119" s="460"/>
      <c r="AO119" s="460"/>
      <c r="AP119" s="460"/>
      <c r="AQ119" s="460"/>
      <c r="AR119" s="460"/>
      <c r="AS119" s="460"/>
    </row>
    <row r="120" ht="17" customHeight="1" spans="2:45">
      <c r="B120" s="458"/>
      <c r="C120" s="459"/>
      <c r="D120" s="459"/>
      <c r="E120" s="459"/>
      <c r="F120" s="459"/>
      <c r="G120" s="459"/>
      <c r="H120" s="459"/>
      <c r="I120" s="459"/>
      <c r="J120" s="459"/>
      <c r="K120" s="459"/>
      <c r="L120" s="459"/>
      <c r="M120" s="459"/>
      <c r="N120" s="459"/>
      <c r="O120" s="459"/>
      <c r="P120" s="459"/>
      <c r="Q120" s="459"/>
      <c r="R120" s="459"/>
      <c r="S120" s="459"/>
      <c r="T120" s="459"/>
      <c r="U120" s="459"/>
      <c r="V120" s="459"/>
      <c r="W120" s="397"/>
      <c r="Y120" s="460"/>
      <c r="Z120" s="460"/>
      <c r="AA120" s="460"/>
      <c r="AB120" s="460"/>
      <c r="AC120" s="460"/>
      <c r="AD120" s="460"/>
      <c r="AE120" s="460"/>
      <c r="AF120" s="460"/>
      <c r="AG120" s="460"/>
      <c r="AH120" s="460"/>
      <c r="AI120" s="460"/>
      <c r="AJ120" s="460"/>
      <c r="AK120" s="460"/>
      <c r="AL120" s="460"/>
      <c r="AM120" s="460"/>
      <c r="AN120" s="460"/>
      <c r="AO120" s="460"/>
      <c r="AP120" s="460"/>
      <c r="AQ120" s="460"/>
      <c r="AR120" s="460"/>
      <c r="AS120" s="460"/>
    </row>
    <row r="121" ht="17" customHeight="1" spans="2:45">
      <c r="B121" s="461"/>
      <c r="C121" s="462"/>
      <c r="D121" s="462"/>
      <c r="E121" s="462"/>
      <c r="F121" s="462"/>
      <c r="G121" s="462"/>
      <c r="H121" s="462"/>
      <c r="I121" s="462"/>
      <c r="J121" s="462"/>
      <c r="K121" s="462"/>
      <c r="L121" s="462"/>
      <c r="M121" s="462"/>
      <c r="N121" s="462"/>
      <c r="O121" s="462"/>
      <c r="P121" s="462"/>
      <c r="Q121" s="462"/>
      <c r="R121" s="462"/>
      <c r="S121" s="462"/>
      <c r="T121" s="462"/>
      <c r="U121" s="462"/>
      <c r="V121" s="462"/>
      <c r="W121" s="463"/>
      <c r="Y121" s="460"/>
      <c r="Z121" s="460"/>
      <c r="AA121" s="460"/>
      <c r="AB121" s="460"/>
      <c r="AC121" s="460"/>
      <c r="AD121" s="460"/>
      <c r="AE121" s="460"/>
      <c r="AF121" s="460"/>
      <c r="AG121" s="460"/>
      <c r="AH121" s="460"/>
      <c r="AI121" s="460"/>
      <c r="AJ121" s="460"/>
      <c r="AK121" s="460"/>
      <c r="AL121" s="460"/>
      <c r="AM121" s="460"/>
      <c r="AN121" s="460"/>
      <c r="AO121" s="460"/>
      <c r="AP121" s="460"/>
      <c r="AQ121" s="460"/>
      <c r="AR121" s="460"/>
      <c r="AS121" s="460"/>
    </row>
    <row r="122" ht="17" customHeight="1"/>
    <row r="123" ht="17" customHeight="1" spans="2:45">
      <c r="B123" s="42" t="s">
        <v>158</v>
      </c>
      <c r="C123" s="42"/>
      <c r="D123" s="42"/>
      <c r="E123" s="42"/>
      <c r="F123" s="42"/>
      <c r="G123" s="42"/>
      <c r="H123" s="42"/>
      <c r="I123" s="42"/>
      <c r="J123" s="42"/>
      <c r="K123" s="42"/>
      <c r="L123" s="42"/>
      <c r="M123" s="42"/>
      <c r="N123" s="42"/>
      <c r="O123" s="42"/>
      <c r="P123" s="42"/>
      <c r="Q123" s="42"/>
      <c r="R123" s="42"/>
      <c r="S123" s="42"/>
      <c r="T123" s="42"/>
      <c r="U123" s="42"/>
      <c r="V123" s="42"/>
      <c r="W123" s="42"/>
      <c r="Y123" s="42" t="s">
        <v>159</v>
      </c>
      <c r="Z123" s="42"/>
      <c r="AA123" s="42"/>
      <c r="AB123" s="42"/>
      <c r="AC123" s="42"/>
      <c r="AD123" s="42"/>
      <c r="AE123" s="42"/>
      <c r="AF123" s="42"/>
      <c r="AG123" s="42"/>
      <c r="AH123" s="42"/>
      <c r="AI123" s="42"/>
      <c r="AJ123" s="42"/>
      <c r="AK123" s="42"/>
      <c r="AL123" s="42"/>
      <c r="AM123" s="42"/>
      <c r="AN123" s="42"/>
      <c r="AO123" s="42"/>
      <c r="AP123" s="42"/>
      <c r="AQ123" s="42"/>
      <c r="AR123" s="42"/>
      <c r="AS123" s="42"/>
    </row>
    <row r="124" ht="17" customHeight="1"/>
    <row r="125" ht="17" customHeight="1" spans="2:45">
      <c r="B125" s="165" t="s">
        <v>38</v>
      </c>
      <c r="C125" s="165"/>
      <c r="D125" s="165"/>
      <c r="E125" s="165"/>
      <c r="F125" s="165" t="str">
        <f>IF(法术书目录!AG$37&lt;&gt;"",法术书目录!AG$38,"")</f>
        <v>有正常人的力量</v>
      </c>
      <c r="G125" s="165"/>
      <c r="H125" s="165"/>
      <c r="I125" s="165"/>
      <c r="J125" s="165"/>
      <c r="K125" s="165"/>
      <c r="L125" s="165"/>
      <c r="M125" s="165"/>
      <c r="N125" s="165"/>
      <c r="O125" s="165"/>
      <c r="P125" s="165"/>
      <c r="Q125" s="165"/>
      <c r="R125" s="165"/>
      <c r="S125" s="165"/>
      <c r="T125" s="165"/>
      <c r="U125" s="165"/>
      <c r="V125" s="165"/>
      <c r="W125" s="165"/>
    </row>
    <row r="126" ht="17" customHeight="1" spans="2:4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row>
    <row r="127" ht="17" customHeight="1" spans="2:45">
      <c r="B127" s="464" t="s">
        <v>43</v>
      </c>
      <c r="C127" s="464"/>
      <c r="D127" s="464"/>
      <c r="E127" s="464"/>
      <c r="F127" s="464" t="str">
        <f>IF(法术书目录!AH$37&lt;&gt;"",法术书目录!AH$38,"")</f>
        <v>普通人的水准</v>
      </c>
      <c r="G127" s="464"/>
      <c r="H127" s="464"/>
      <c r="I127" s="464"/>
      <c r="J127" s="464"/>
      <c r="K127" s="464"/>
      <c r="L127" s="464"/>
      <c r="M127" s="464"/>
      <c r="N127" s="464"/>
      <c r="O127" s="464"/>
      <c r="P127" s="464"/>
      <c r="Q127" s="464"/>
      <c r="R127" s="464"/>
      <c r="S127" s="464"/>
      <c r="T127" s="464"/>
      <c r="U127" s="464"/>
      <c r="V127" s="464"/>
      <c r="W127" s="464"/>
    </row>
    <row r="128" ht="17" customHeight="1" spans="2:45">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row>
    <row r="129" ht="17" customHeight="1" spans="2:45">
      <c r="B129" s="165" t="s">
        <v>46</v>
      </c>
      <c r="C129" s="165"/>
      <c r="D129" s="165"/>
      <c r="E129" s="165"/>
      <c r="F129" s="165" t="str">
        <f>IF(法术书目录!AI$37&lt;&gt;"",法术书目录!AI$38,"")</f>
        <v>正常人的体质</v>
      </c>
      <c r="G129" s="165"/>
      <c r="H129" s="165"/>
      <c r="I129" s="165"/>
      <c r="J129" s="165"/>
      <c r="K129" s="165"/>
      <c r="L129" s="165"/>
      <c r="M129" s="165"/>
      <c r="N129" s="165"/>
      <c r="O129" s="165"/>
      <c r="P129" s="165"/>
      <c r="Q129" s="165"/>
      <c r="R129" s="165"/>
      <c r="S129" s="165"/>
      <c r="T129" s="165"/>
      <c r="U129" s="165"/>
      <c r="V129" s="165"/>
      <c r="W129" s="165"/>
    </row>
    <row r="130" ht="17" customHeight="1" spans="2:4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row>
    <row r="131" ht="17" customHeight="1" spans="2:45">
      <c r="B131" s="464" t="s">
        <v>52</v>
      </c>
      <c r="C131" s="464"/>
      <c r="D131" s="464"/>
      <c r="E131" s="464"/>
      <c r="F131" s="464" t="str">
        <f>IF(法术书目录!AJ$37&lt;&gt;"",法术书目录!AJ$38,"")</f>
        <v>正常人的智力</v>
      </c>
      <c r="G131" s="464"/>
      <c r="H131" s="464"/>
      <c r="I131" s="464"/>
      <c r="J131" s="464"/>
      <c r="K131" s="464"/>
      <c r="L131" s="464"/>
      <c r="M131" s="464"/>
      <c r="N131" s="464"/>
      <c r="O131" s="464"/>
      <c r="P131" s="464"/>
      <c r="Q131" s="464"/>
      <c r="R131" s="464"/>
      <c r="S131" s="464"/>
      <c r="T131" s="464"/>
      <c r="U131" s="464"/>
      <c r="V131" s="464"/>
      <c r="W131" s="464"/>
    </row>
    <row r="132" spans="2:45">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row>
    <row r="133" spans="2:45">
      <c r="B133" s="165" t="s">
        <v>53</v>
      </c>
      <c r="C133" s="165"/>
      <c r="D133" s="165"/>
      <c r="E133" s="165"/>
      <c r="F133" s="165" t="str">
        <f>IF(法术书目录!AK$37&lt;&gt;"",法术书目录!AK$38,"")</f>
        <v>你醒啦，你很正常</v>
      </c>
      <c r="G133" s="165"/>
      <c r="H133" s="165"/>
      <c r="I133" s="165"/>
      <c r="J133" s="165"/>
      <c r="K133" s="165"/>
      <c r="L133" s="165"/>
      <c r="M133" s="165"/>
      <c r="N133" s="165"/>
      <c r="O133" s="165"/>
      <c r="P133" s="165"/>
      <c r="Q133" s="165"/>
      <c r="R133" s="165"/>
      <c r="S133" s="165"/>
      <c r="T133" s="165"/>
      <c r="U133" s="165"/>
      <c r="V133" s="165"/>
      <c r="W133" s="165"/>
    </row>
    <row r="134" spans="2:4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row>
    <row r="135" spans="2:45">
      <c r="B135" s="464" t="s">
        <v>57</v>
      </c>
      <c r="C135" s="464"/>
      <c r="D135" s="464"/>
      <c r="E135" s="464"/>
      <c r="F135" s="464" t="str">
        <f>IF(法术书目录!AL$37&lt;&gt;"",法术书目录!AL$38,"")</f>
        <v>讨价还价的能力不错</v>
      </c>
      <c r="G135" s="464"/>
      <c r="H135" s="464"/>
      <c r="I135" s="464"/>
      <c r="J135" s="464"/>
      <c r="K135" s="464"/>
      <c r="L135" s="464"/>
      <c r="M135" s="464"/>
      <c r="N135" s="464"/>
      <c r="O135" s="464"/>
      <c r="P135" s="464"/>
      <c r="Q135" s="464"/>
      <c r="R135" s="464"/>
      <c r="S135" s="464"/>
      <c r="T135" s="464"/>
      <c r="U135" s="464"/>
      <c r="V135" s="464"/>
      <c r="W135" s="464"/>
    </row>
    <row r="136" spans="2:45">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row>
    <row r="138" spans="2:45">
      <c r="Y138" s="42" t="s">
        <v>160</v>
      </c>
      <c r="Z138" s="42"/>
      <c r="AA138" s="42"/>
      <c r="AB138" s="42"/>
      <c r="AC138" s="42"/>
      <c r="AD138" s="42"/>
      <c r="AE138" s="42"/>
      <c r="AF138" s="42"/>
      <c r="AG138" s="42"/>
      <c r="AH138" s="42"/>
      <c r="AI138" s="42"/>
      <c r="AJ138" s="42"/>
      <c r="AK138" s="42"/>
      <c r="AL138" s="42"/>
      <c r="AM138" s="42"/>
      <c r="AN138" s="42"/>
      <c r="AO138" s="42"/>
      <c r="AP138" s="42"/>
      <c r="AQ138" s="42"/>
      <c r="AR138" s="42"/>
      <c r="AS138" s="42"/>
    </row>
    <row r="139" spans="2:45">
      <c r="Y139" s="465" t="s">
        <v>161</v>
      </c>
      <c r="Z139" s="47" t="s">
        <v>162</v>
      </c>
      <c r="AA139" s="47"/>
      <c r="AB139" s="47" t="s">
        <v>163</v>
      </c>
      <c r="AC139" s="47"/>
      <c r="AD139" s="47" t="s">
        <v>164</v>
      </c>
      <c r="AE139" s="47"/>
      <c r="AF139" s="47" t="s">
        <v>165</v>
      </c>
      <c r="AG139" s="47"/>
      <c r="AH139" s="47" t="s">
        <v>166</v>
      </c>
      <c r="AI139" s="47"/>
      <c r="AJ139" s="47" t="s">
        <v>167</v>
      </c>
      <c r="AK139" s="47"/>
      <c r="AL139" s="47" t="s">
        <v>168</v>
      </c>
      <c r="AM139" s="47"/>
      <c r="AN139" s="47" t="s">
        <v>169</v>
      </c>
      <c r="AO139" s="47"/>
      <c r="AP139" s="47" t="s">
        <v>170</v>
      </c>
      <c r="AQ139" s="47"/>
      <c r="AR139" s="47" t="s">
        <v>171</v>
      </c>
      <c r="AS139" s="47"/>
    </row>
    <row r="140" spans="2:45">
      <c r="Y140" s="465"/>
      <c r="Z140" s="49">
        <v>96</v>
      </c>
      <c r="AA140" s="49"/>
      <c r="AB140" s="49">
        <v>96</v>
      </c>
      <c r="AC140" s="49"/>
      <c r="AD140" s="49">
        <v>97</v>
      </c>
      <c r="AE140" s="49"/>
      <c r="AF140" s="49">
        <v>100</v>
      </c>
      <c r="AG140" s="49"/>
      <c r="AH140" s="49">
        <v>100</v>
      </c>
      <c r="AI140" s="49"/>
      <c r="AJ140" s="49">
        <v>94</v>
      </c>
      <c r="AK140" s="49"/>
      <c r="AL140" s="49">
        <v>95</v>
      </c>
      <c r="AM140" s="49"/>
      <c r="AN140" s="49">
        <v>95</v>
      </c>
      <c r="AO140" s="49"/>
      <c r="AP140" s="49">
        <v>92</v>
      </c>
      <c r="AQ140" s="49"/>
      <c r="AR140" s="49">
        <v>93</v>
      </c>
      <c r="AS140" s="49"/>
    </row>
    <row r="141" spans="2:45">
      <c r="Y141" s="465"/>
      <c r="Z141" s="47" t="s">
        <v>172</v>
      </c>
      <c r="AA141" s="47"/>
      <c r="AB141" s="47" t="s">
        <v>173</v>
      </c>
      <c r="AC141" s="47"/>
      <c r="AD141" s="47" t="s">
        <v>174</v>
      </c>
      <c r="AE141" s="47"/>
      <c r="AF141" s="47" t="s">
        <v>175</v>
      </c>
      <c r="AG141" s="47"/>
      <c r="AH141" s="47" t="s">
        <v>176</v>
      </c>
      <c r="AI141" s="47"/>
      <c r="AJ141" s="47" t="s">
        <v>177</v>
      </c>
      <c r="AK141" s="47"/>
      <c r="AL141" s="47" t="s">
        <v>178</v>
      </c>
      <c r="AM141" s="47"/>
      <c r="AN141" s="47" t="s">
        <v>179</v>
      </c>
      <c r="AO141" s="47"/>
      <c r="AP141" s="47" t="s">
        <v>180</v>
      </c>
      <c r="AQ141" s="47"/>
      <c r="AR141" s="47" t="s">
        <v>181</v>
      </c>
      <c r="AS141" s="47"/>
    </row>
    <row r="142" spans="2:45">
      <c r="Y142" s="465"/>
      <c r="Z142" s="49">
        <v>94</v>
      </c>
      <c r="AA142" s="49"/>
      <c r="AB142" s="49">
        <v>98</v>
      </c>
      <c r="AC142" s="49"/>
      <c r="AD142" s="49">
        <v>92</v>
      </c>
      <c r="AE142" s="49"/>
      <c r="AF142" s="49">
        <v>97</v>
      </c>
      <c r="AG142" s="49"/>
      <c r="AH142" s="49">
        <v>96</v>
      </c>
      <c r="AI142" s="49"/>
      <c r="AJ142" s="49">
        <v>91</v>
      </c>
      <c r="AK142" s="49"/>
      <c r="AL142" s="49">
        <v>91</v>
      </c>
      <c r="AM142" s="49"/>
      <c r="AN142" s="49">
        <v>92</v>
      </c>
      <c r="AO142" s="49"/>
      <c r="AP142" s="49">
        <v>95</v>
      </c>
      <c r="AQ142" s="49"/>
      <c r="AR142" s="49">
        <v>92</v>
      </c>
      <c r="AS142" s="49"/>
    </row>
    <row r="143" spans="2:45">
      <c r="Y143" s="465"/>
      <c r="Z143" s="47" t="s">
        <v>182</v>
      </c>
      <c r="AA143" s="47"/>
      <c r="AB143" s="47"/>
      <c r="AC143" s="47"/>
      <c r="AE143" s="47" t="s">
        <v>183</v>
      </c>
      <c r="AF143" s="47"/>
      <c r="AG143" s="47"/>
      <c r="AH143" s="47"/>
      <c r="AJ143" s="47" t="s">
        <v>184</v>
      </c>
      <c r="AK143" s="47"/>
      <c r="AL143" s="47"/>
      <c r="AM143" s="47"/>
    </row>
    <row r="144" spans="2:45">
      <c r="Y144" s="465"/>
      <c r="Z144" s="165">
        <f>$I$15</f>
        <v>0</v>
      </c>
      <c r="AA144" s="165"/>
      <c r="AB144" s="165"/>
      <c r="AC144" s="165"/>
      <c r="AE144" s="466">
        <f>COUNTA(Z140:AS140,Z142:AS142)</f>
        <v>20</v>
      </c>
      <c r="AF144" s="466"/>
      <c r="AG144" s="466"/>
      <c r="AH144" s="466"/>
      <c r="AJ144" s="466">
        <f>(Z144+Z140)+SUM(AB140:AS140,Z142:AS142)+((AE144-1)*Z144)</f>
        <v>1896</v>
      </c>
      <c r="AK144" s="466"/>
      <c r="AL144" s="466"/>
      <c r="AM144" s="466"/>
    </row>
  </sheetData>
  <sheetProtection sheet="1" selectLockedCells="1"/>
  <mergeCells count="682">
    <mergeCell ref="A1:N1"/>
    <mergeCell ref="O1:AF1"/>
    <mergeCell ref="AG1:AT1"/>
    <mergeCell ref="Y2:Z2"/>
    <mergeCell ref="B3:D3"/>
    <mergeCell ref="E3:N3"/>
    <mergeCell ref="P3:R3"/>
    <mergeCell ref="S3:X3"/>
    <mergeCell ref="Y3:Z3"/>
    <mergeCell ref="B4:D4"/>
    <mergeCell ref="E4:N4"/>
    <mergeCell ref="P4:R4"/>
    <mergeCell ref="S4:X4"/>
    <mergeCell ref="B6:D6"/>
    <mergeCell ref="E6:H6"/>
    <mergeCell ref="J6:L6"/>
    <mergeCell ref="M6:O6"/>
    <mergeCell ref="Q6:S6"/>
    <mergeCell ref="T6:V6"/>
    <mergeCell ref="X6:Z6"/>
    <mergeCell ref="AA6:AF6"/>
    <mergeCell ref="B7:D7"/>
    <mergeCell ref="E7:H7"/>
    <mergeCell ref="J7:L7"/>
    <mergeCell ref="M7:O7"/>
    <mergeCell ref="Q7:S7"/>
    <mergeCell ref="T7:V7"/>
    <mergeCell ref="X7:Z7"/>
    <mergeCell ref="AA7:AF7"/>
    <mergeCell ref="B9:L9"/>
    <mergeCell ref="N9:AF9"/>
    <mergeCell ref="F10:G10"/>
    <mergeCell ref="I10:J10"/>
    <mergeCell ref="K10:L10"/>
    <mergeCell ref="S10:T10"/>
    <mergeCell ref="Z10:AA10"/>
    <mergeCell ref="AC10:AD10"/>
    <mergeCell ref="S15:T15"/>
    <mergeCell ref="U15:X15"/>
    <mergeCell ref="AB15:AC15"/>
    <mergeCell ref="N19:Q19"/>
    <mergeCell ref="R19:T19"/>
    <mergeCell ref="V19:W19"/>
    <mergeCell ref="X19:Z19"/>
    <mergeCell ref="AB19:AC19"/>
    <mergeCell ref="AD19:AF19"/>
    <mergeCell ref="B24:J24"/>
    <mergeCell ref="S24:U24"/>
    <mergeCell ref="X24:AA24"/>
    <mergeCell ref="AD24:AS24"/>
    <mergeCell ref="D25:E25"/>
    <mergeCell ref="F25:G25"/>
    <mergeCell ref="I25:J25"/>
    <mergeCell ref="L25:M25"/>
    <mergeCell ref="P25:S25"/>
    <mergeCell ref="W25:X25"/>
    <mergeCell ref="AA25:AB25"/>
    <mergeCell ref="AD25:AE25"/>
    <mergeCell ref="AF25:AI25"/>
    <mergeCell ref="AM25:AN25"/>
    <mergeCell ref="AP25:AQ25"/>
    <mergeCell ref="AR25:AS25"/>
    <mergeCell ref="C26:E26"/>
    <mergeCell ref="F26:G26"/>
    <mergeCell ref="I26:J26"/>
    <mergeCell ref="L26:M26"/>
    <mergeCell ref="O26:T26"/>
    <mergeCell ref="U26:Z26"/>
    <mergeCell ref="AA26:AB26"/>
    <mergeCell ref="AD26:AE26"/>
    <mergeCell ref="AG26:AH26"/>
    <mergeCell ref="AL26:AO26"/>
    <mergeCell ref="AP26:AQ26"/>
    <mergeCell ref="AR26:AS26"/>
    <mergeCell ref="B27:G27"/>
    <mergeCell ref="L27:M27"/>
    <mergeCell ref="P27:S27"/>
    <mergeCell ref="W27:X27"/>
    <mergeCell ref="AA27:AB27"/>
    <mergeCell ref="AF27:AH27"/>
    <mergeCell ref="AI27:AM27"/>
    <mergeCell ref="AN27:AP27"/>
    <mergeCell ref="AQ27:AS27"/>
    <mergeCell ref="C28:E28"/>
    <mergeCell ref="F28:G28"/>
    <mergeCell ref="I28:J28"/>
    <mergeCell ref="L28:M28"/>
    <mergeCell ref="O28:T28"/>
    <mergeCell ref="U28:Z28"/>
    <mergeCell ref="AA28:AB28"/>
    <mergeCell ref="AE28:AF28"/>
    <mergeCell ref="AG28:AH28"/>
    <mergeCell ref="AI28:AK28"/>
    <mergeCell ref="AL28:AM28"/>
    <mergeCell ref="AN28:AO28"/>
    <mergeCell ref="AR28:AS28"/>
    <mergeCell ref="C29:E29"/>
    <mergeCell ref="F29:G29"/>
    <mergeCell ref="I29:J29"/>
    <mergeCell ref="L29:M29"/>
    <mergeCell ref="O29:T29"/>
    <mergeCell ref="U29:Z29"/>
    <mergeCell ref="AA29:AB29"/>
    <mergeCell ref="AE29:AF29"/>
    <mergeCell ref="AG29:AH29"/>
    <mergeCell ref="AI29:AK29"/>
    <mergeCell ref="AL29:AM29"/>
    <mergeCell ref="AN29:AO29"/>
    <mergeCell ref="AR29:AS29"/>
    <mergeCell ref="C30:E30"/>
    <mergeCell ref="F30:G30"/>
    <mergeCell ref="I30:J30"/>
    <mergeCell ref="L30:M30"/>
    <mergeCell ref="O30:T30"/>
    <mergeCell ref="U30:Z30"/>
    <mergeCell ref="AA30:AB30"/>
    <mergeCell ref="AE30:AF30"/>
    <mergeCell ref="AG30:AH30"/>
    <mergeCell ref="AI30:AK30"/>
    <mergeCell ref="AL30:AM30"/>
    <mergeCell ref="AN30:AO30"/>
    <mergeCell ref="AR30:AS30"/>
    <mergeCell ref="B31:G31"/>
    <mergeCell ref="L31:M31"/>
    <mergeCell ref="O31:T31"/>
    <mergeCell ref="U31:Z31"/>
    <mergeCell ref="AA31:AB31"/>
    <mergeCell ref="AE31:AF31"/>
    <mergeCell ref="AG31:AH31"/>
    <mergeCell ref="AI31:AK31"/>
    <mergeCell ref="AL31:AM31"/>
    <mergeCell ref="AN31:AO31"/>
    <mergeCell ref="AR31:AS31"/>
    <mergeCell ref="C32:E32"/>
    <mergeCell ref="F32:G32"/>
    <mergeCell ref="I32:J32"/>
    <mergeCell ref="L32:M32"/>
    <mergeCell ref="O32:T32"/>
    <mergeCell ref="U32:Z32"/>
    <mergeCell ref="AA32:AB32"/>
    <mergeCell ref="AE32:AF32"/>
    <mergeCell ref="AG32:AH32"/>
    <mergeCell ref="AI32:AK32"/>
    <mergeCell ref="AL32:AM32"/>
    <mergeCell ref="AN32:AO32"/>
    <mergeCell ref="AR32:AS32"/>
    <mergeCell ref="C33:E33"/>
    <mergeCell ref="F33:G33"/>
    <mergeCell ref="I33:J33"/>
    <mergeCell ref="L33:M33"/>
    <mergeCell ref="P33:S33"/>
    <mergeCell ref="W33:X33"/>
    <mergeCell ref="AA33:AB33"/>
    <mergeCell ref="C34:E34"/>
    <mergeCell ref="F34:G34"/>
    <mergeCell ref="I34:J34"/>
    <mergeCell ref="L34:M34"/>
    <mergeCell ref="O34:T34"/>
    <mergeCell ref="U34:Z34"/>
    <mergeCell ref="AA34:AB34"/>
    <mergeCell ref="AD34:AS34"/>
    <mergeCell ref="C35:E35"/>
    <mergeCell ref="F35:G35"/>
    <mergeCell ref="I35:J35"/>
    <mergeCell ref="L35:M35"/>
    <mergeCell ref="O35:T35"/>
    <mergeCell ref="U35:Z35"/>
    <mergeCell ref="AA35:AB35"/>
    <mergeCell ref="AD35:AF35"/>
    <mergeCell ref="AH35:AL35"/>
    <mergeCell ref="AN35:AS35"/>
    <mergeCell ref="C36:E36"/>
    <mergeCell ref="F36:G36"/>
    <mergeCell ref="I36:J36"/>
    <mergeCell ref="L36:M36"/>
    <mergeCell ref="O36:T36"/>
    <mergeCell ref="U36:Z36"/>
    <mergeCell ref="AA36:AB36"/>
    <mergeCell ref="AD36:AF36"/>
    <mergeCell ref="AH36:AJ36"/>
    <mergeCell ref="AK36:AL36"/>
    <mergeCell ref="AN36:AP36"/>
    <mergeCell ref="AQ36:AS36"/>
    <mergeCell ref="B37:G37"/>
    <mergeCell ref="L37:M37"/>
    <mergeCell ref="O37:T37"/>
    <mergeCell ref="U37:Z37"/>
    <mergeCell ref="AA37:AB37"/>
    <mergeCell ref="AD37:AF37"/>
    <mergeCell ref="AH37:AJ37"/>
    <mergeCell ref="AK37:AL37"/>
    <mergeCell ref="AN37:AP37"/>
    <mergeCell ref="AQ37:AS37"/>
    <mergeCell ref="C38:E38"/>
    <mergeCell ref="F38:G38"/>
    <mergeCell ref="I38:J38"/>
    <mergeCell ref="L38:M38"/>
    <mergeCell ref="O38:T38"/>
    <mergeCell ref="U38:Z38"/>
    <mergeCell ref="AA38:AB38"/>
    <mergeCell ref="AM38:AN38"/>
    <mergeCell ref="AO38:AS38"/>
    <mergeCell ref="C39:E39"/>
    <mergeCell ref="F39:G39"/>
    <mergeCell ref="I39:J39"/>
    <mergeCell ref="L39:M39"/>
    <mergeCell ref="O39:T39"/>
    <mergeCell ref="U39:Z39"/>
    <mergeCell ref="AA39:AB39"/>
    <mergeCell ref="AD39:AH39"/>
    <mergeCell ref="AI39:AK39"/>
    <mergeCell ref="AM39:AN39"/>
    <mergeCell ref="AO39:AP39"/>
    <mergeCell ref="AR39:AS39"/>
    <mergeCell ref="C40:E40"/>
    <mergeCell ref="F40:G40"/>
    <mergeCell ref="I40:J40"/>
    <mergeCell ref="L40:M40"/>
    <mergeCell ref="O40:T40"/>
    <mergeCell ref="U40:Z40"/>
    <mergeCell ref="AA40:AB40"/>
    <mergeCell ref="AM40:AN40"/>
    <mergeCell ref="AO40:AP40"/>
    <mergeCell ref="AR40:AS40"/>
    <mergeCell ref="C41:E41"/>
    <mergeCell ref="F41:G41"/>
    <mergeCell ref="I41:J41"/>
    <mergeCell ref="L41:M41"/>
    <mergeCell ref="O41:T41"/>
    <mergeCell ref="U41:Z41"/>
    <mergeCell ref="AA41:AB41"/>
    <mergeCell ref="AM41:AN41"/>
    <mergeCell ref="AO41:AP41"/>
    <mergeCell ref="AR41:AS41"/>
    <mergeCell ref="C42:E42"/>
    <mergeCell ref="F42:G42"/>
    <mergeCell ref="I42:J42"/>
    <mergeCell ref="L42:M42"/>
    <mergeCell ref="O42:T42"/>
    <mergeCell ref="U42:Z42"/>
    <mergeCell ref="AA42:AB42"/>
    <mergeCell ref="AE42:AK42"/>
    <mergeCell ref="AM42:AN42"/>
    <mergeCell ref="AO42:AP42"/>
    <mergeCell ref="AR42:AS42"/>
    <mergeCell ref="B43:G43"/>
    <mergeCell ref="L43:N43"/>
    <mergeCell ref="R43:W43"/>
    <mergeCell ref="AE43:AF43"/>
    <mergeCell ref="AG43:AK43"/>
    <mergeCell ref="AM43:AN43"/>
    <mergeCell ref="AO43:AP43"/>
    <mergeCell ref="AR43:AS43"/>
    <mergeCell ref="C44:E44"/>
    <mergeCell ref="F44:G44"/>
    <mergeCell ref="I44:J44"/>
    <mergeCell ref="L44:N44"/>
    <mergeCell ref="O44:Q44"/>
    <mergeCell ref="R44:T44"/>
    <mergeCell ref="V44:Y44"/>
    <mergeCell ref="AA44:AC44"/>
    <mergeCell ref="AE44:AF44"/>
    <mergeCell ref="AG44:AK44"/>
    <mergeCell ref="AM44:AN44"/>
    <mergeCell ref="AO44:AP44"/>
    <mergeCell ref="AR44:AS44"/>
    <mergeCell ref="C45:E45"/>
    <mergeCell ref="F45:G45"/>
    <mergeCell ref="I45:J45"/>
    <mergeCell ref="L45:N45"/>
    <mergeCell ref="O45:Q45"/>
    <mergeCell ref="R45:T45"/>
    <mergeCell ref="V45:Y45"/>
    <mergeCell ref="AA45:AC45"/>
    <mergeCell ref="AE45:AF45"/>
    <mergeCell ref="AG45:AK45"/>
    <mergeCell ref="AM45:AN45"/>
    <mergeCell ref="AO45:AP45"/>
    <mergeCell ref="AR45:AS45"/>
    <mergeCell ref="C46:E46"/>
    <mergeCell ref="F46:G46"/>
    <mergeCell ref="I46:J46"/>
    <mergeCell ref="L46:N46"/>
    <mergeCell ref="O46:Q46"/>
    <mergeCell ref="R46:T46"/>
    <mergeCell ref="V46:Y46"/>
    <mergeCell ref="AA46:AC46"/>
    <mergeCell ref="AE46:AF46"/>
    <mergeCell ref="AG46:AK46"/>
    <mergeCell ref="AM46:AN46"/>
    <mergeCell ref="AO46:AP46"/>
    <mergeCell ref="AR46:AS46"/>
    <mergeCell ref="C47:E47"/>
    <mergeCell ref="F47:G47"/>
    <mergeCell ref="I47:J47"/>
    <mergeCell ref="L47:N47"/>
    <mergeCell ref="O47:Q47"/>
    <mergeCell ref="R47:T47"/>
    <mergeCell ref="V47:Y47"/>
    <mergeCell ref="AA47:AC47"/>
    <mergeCell ref="AE47:AF47"/>
    <mergeCell ref="AG47:AK47"/>
    <mergeCell ref="AM47:AN47"/>
    <mergeCell ref="AO47:AP47"/>
    <mergeCell ref="AR47:AS47"/>
    <mergeCell ref="B48:K48"/>
    <mergeCell ref="M48:O48"/>
    <mergeCell ref="P48:U48"/>
    <mergeCell ref="V48:AA48"/>
    <mergeCell ref="AB48:AG48"/>
    <mergeCell ref="AH48:AM48"/>
    <mergeCell ref="AN48:AS48"/>
    <mergeCell ref="B49:G49"/>
    <mergeCell ref="H49:K49"/>
    <mergeCell ref="M49:O49"/>
    <mergeCell ref="P49:U49"/>
    <mergeCell ref="V49:AA49"/>
    <mergeCell ref="AB49:AG49"/>
    <mergeCell ref="AH49:AM49"/>
    <mergeCell ref="AN49:AS49"/>
    <mergeCell ref="B51:D51"/>
    <mergeCell ref="E51:R51"/>
    <mergeCell ref="S51:T51"/>
    <mergeCell ref="W51:AS51"/>
    <mergeCell ref="C52:G52"/>
    <mergeCell ref="J52:N52"/>
    <mergeCell ref="Q52:U52"/>
    <mergeCell ref="W52:AA52"/>
    <mergeCell ref="AC52:AD52"/>
    <mergeCell ref="AF52:AK52"/>
    <mergeCell ref="AM52:AS52"/>
    <mergeCell ref="C53:G53"/>
    <mergeCell ref="J53:N53"/>
    <mergeCell ref="Q53:U53"/>
    <mergeCell ref="W53:AA53"/>
    <mergeCell ref="AC53:AD53"/>
    <mergeCell ref="AF53:AK53"/>
    <mergeCell ref="AM53:AS53"/>
    <mergeCell ref="C54:G54"/>
    <mergeCell ref="J54:N54"/>
    <mergeCell ref="Q54:U54"/>
    <mergeCell ref="W54:AG54"/>
    <mergeCell ref="AI54:AS54"/>
    <mergeCell ref="C55:G55"/>
    <mergeCell ref="J55:N55"/>
    <mergeCell ref="Q55:U55"/>
    <mergeCell ref="W55:AG55"/>
    <mergeCell ref="AI55:AS55"/>
    <mergeCell ref="C56:G56"/>
    <mergeCell ref="J56:N56"/>
    <mergeCell ref="Q56:U56"/>
    <mergeCell ref="W56:AA56"/>
    <mergeCell ref="AC56:AH56"/>
    <mergeCell ref="AI56:AS56"/>
    <mergeCell ref="C57:G57"/>
    <mergeCell ref="J57:N57"/>
    <mergeCell ref="Q57:U57"/>
    <mergeCell ref="W57:AA57"/>
    <mergeCell ref="AC57:AS57"/>
    <mergeCell ref="C58:G58"/>
    <mergeCell ref="J58:N58"/>
    <mergeCell ref="Q58:U58"/>
    <mergeCell ref="W58:AS58"/>
    <mergeCell ref="C59:G59"/>
    <mergeCell ref="J59:N59"/>
    <mergeCell ref="Q59:U59"/>
    <mergeCell ref="C60:G60"/>
    <mergeCell ref="J60:N60"/>
    <mergeCell ref="Q60:U60"/>
    <mergeCell ref="C61:G61"/>
    <mergeCell ref="J61:N61"/>
    <mergeCell ref="Q61:U61"/>
    <mergeCell ref="C62:G62"/>
    <mergeCell ref="J62:N62"/>
    <mergeCell ref="Q62:U62"/>
    <mergeCell ref="C63:G63"/>
    <mergeCell ref="J63:N63"/>
    <mergeCell ref="Q63:U63"/>
    <mergeCell ref="C64:G64"/>
    <mergeCell ref="J64:N64"/>
    <mergeCell ref="Q64:U64"/>
    <mergeCell ref="C65:G65"/>
    <mergeCell ref="J65:N65"/>
    <mergeCell ref="Q65:U65"/>
    <mergeCell ref="C66:G66"/>
    <mergeCell ref="J66:N66"/>
    <mergeCell ref="Q66:U66"/>
    <mergeCell ref="C67:G67"/>
    <mergeCell ref="J67:N67"/>
    <mergeCell ref="Q67:U67"/>
    <mergeCell ref="B69:W69"/>
    <mergeCell ref="Y69:AS69"/>
    <mergeCell ref="C70:G70"/>
    <mergeCell ref="H70:W70"/>
    <mergeCell ref="Z70:AD70"/>
    <mergeCell ref="AE70:AS70"/>
    <mergeCell ref="C71:G71"/>
    <mergeCell ref="H71:W71"/>
    <mergeCell ref="Z71:AD71"/>
    <mergeCell ref="AE71:AS71"/>
    <mergeCell ref="C72:G72"/>
    <mergeCell ref="H72:W72"/>
    <mergeCell ref="Z72:AD72"/>
    <mergeCell ref="AE72:AS72"/>
    <mergeCell ref="C74:G74"/>
    <mergeCell ref="H74:W74"/>
    <mergeCell ref="Z74:AD74"/>
    <mergeCell ref="AE74:AS74"/>
    <mergeCell ref="C75:G75"/>
    <mergeCell ref="H75:W75"/>
    <mergeCell ref="Z75:AD75"/>
    <mergeCell ref="AE75:AS75"/>
    <mergeCell ref="C77:G77"/>
    <mergeCell ref="H77:W77"/>
    <mergeCell ref="Z77:AD77"/>
    <mergeCell ref="AE77:AS77"/>
    <mergeCell ref="C78:G78"/>
    <mergeCell ref="H78:W78"/>
    <mergeCell ref="Z78:AD78"/>
    <mergeCell ref="AE78:AS78"/>
    <mergeCell ref="C79:G79"/>
    <mergeCell ref="H79:W79"/>
    <mergeCell ref="Z79:AD79"/>
    <mergeCell ref="AE79:AS79"/>
    <mergeCell ref="C81:G81"/>
    <mergeCell ref="H81:W81"/>
    <mergeCell ref="Z81:AD81"/>
    <mergeCell ref="AE81:AS81"/>
    <mergeCell ref="C82:G82"/>
    <mergeCell ref="H82:W82"/>
    <mergeCell ref="Z82:AD82"/>
    <mergeCell ref="AE82:AS82"/>
    <mergeCell ref="C83:G83"/>
    <mergeCell ref="H83:W83"/>
    <mergeCell ref="Z83:AD83"/>
    <mergeCell ref="AE83:AS83"/>
    <mergeCell ref="C84:G84"/>
    <mergeCell ref="H84:W84"/>
    <mergeCell ref="Z84:AD84"/>
    <mergeCell ref="AE84:AS84"/>
    <mergeCell ref="C85:G85"/>
    <mergeCell ref="H85:W85"/>
    <mergeCell ref="Z85:AD85"/>
    <mergeCell ref="AE85:AS85"/>
    <mergeCell ref="C87:G87"/>
    <mergeCell ref="H87:W87"/>
    <mergeCell ref="Z87:AD87"/>
    <mergeCell ref="AE87:AS87"/>
    <mergeCell ref="C88:G88"/>
    <mergeCell ref="H88:W88"/>
    <mergeCell ref="Z88:AD88"/>
    <mergeCell ref="AE88:AS88"/>
    <mergeCell ref="C89:G89"/>
    <mergeCell ref="H89:W89"/>
    <mergeCell ref="Z89:AD89"/>
    <mergeCell ref="AE89:AS89"/>
    <mergeCell ref="C90:G90"/>
    <mergeCell ref="H90:W90"/>
    <mergeCell ref="Z90:AD90"/>
    <mergeCell ref="AE90:AS90"/>
    <mergeCell ref="C91:G91"/>
    <mergeCell ref="H91:W91"/>
    <mergeCell ref="Z91:AD91"/>
    <mergeCell ref="AE91:AS91"/>
    <mergeCell ref="C92:G92"/>
    <mergeCell ref="H92:W92"/>
    <mergeCell ref="Z92:AD92"/>
    <mergeCell ref="AE92:AS92"/>
    <mergeCell ref="C93:G93"/>
    <mergeCell ref="H93:W93"/>
    <mergeCell ref="Z93:AD93"/>
    <mergeCell ref="AE93:AS93"/>
    <mergeCell ref="C94:G94"/>
    <mergeCell ref="H94:W94"/>
    <mergeCell ref="Z94:AD94"/>
    <mergeCell ref="AE94:AS94"/>
    <mergeCell ref="C95:G95"/>
    <mergeCell ref="H95:W95"/>
    <mergeCell ref="Z95:AD95"/>
    <mergeCell ref="AE95:AS95"/>
    <mergeCell ref="C96:G96"/>
    <mergeCell ref="H96:W96"/>
    <mergeCell ref="Z96:AD96"/>
    <mergeCell ref="AE96:AS96"/>
    <mergeCell ref="B98:W98"/>
    <mergeCell ref="Y98:AS98"/>
    <mergeCell ref="C99:G99"/>
    <mergeCell ref="H99:W99"/>
    <mergeCell ref="Z99:AD99"/>
    <mergeCell ref="AE99:AS99"/>
    <mergeCell ref="C100:G100"/>
    <mergeCell ref="H100:W100"/>
    <mergeCell ref="Z100:AD100"/>
    <mergeCell ref="AE100:AS100"/>
    <mergeCell ref="C101:G101"/>
    <mergeCell ref="H101:W101"/>
    <mergeCell ref="Z101:AD101"/>
    <mergeCell ref="AE101:AS101"/>
    <mergeCell ref="C102:G102"/>
    <mergeCell ref="H102:W102"/>
    <mergeCell ref="Z102:AD102"/>
    <mergeCell ref="AE102:AS102"/>
    <mergeCell ref="C103:G103"/>
    <mergeCell ref="H103:W103"/>
    <mergeCell ref="Z103:AD103"/>
    <mergeCell ref="AE103:AS103"/>
    <mergeCell ref="C104:G104"/>
    <mergeCell ref="H104:W104"/>
    <mergeCell ref="Z104:AD104"/>
    <mergeCell ref="AE104:AS104"/>
    <mergeCell ref="C105:G105"/>
    <mergeCell ref="H105:W105"/>
    <mergeCell ref="Z105:AD105"/>
    <mergeCell ref="AE105:AS105"/>
    <mergeCell ref="C106:G106"/>
    <mergeCell ref="H106:W106"/>
    <mergeCell ref="Z106:AD106"/>
    <mergeCell ref="AE106:AS106"/>
    <mergeCell ref="C107:G107"/>
    <mergeCell ref="H107:W107"/>
    <mergeCell ref="Z107:AD107"/>
    <mergeCell ref="AE107:AS107"/>
    <mergeCell ref="B109:W109"/>
    <mergeCell ref="Y109:AS109"/>
    <mergeCell ref="B110:W110"/>
    <mergeCell ref="B111:W111"/>
    <mergeCell ref="B112:W112"/>
    <mergeCell ref="B113:W113"/>
    <mergeCell ref="B114:W114"/>
    <mergeCell ref="B115:W115"/>
    <mergeCell ref="B116:W116"/>
    <mergeCell ref="B117:W117"/>
    <mergeCell ref="B118:W118"/>
    <mergeCell ref="B119:W119"/>
    <mergeCell ref="B120:W120"/>
    <mergeCell ref="B121:W121"/>
    <mergeCell ref="B123:W123"/>
    <mergeCell ref="Y123:AS123"/>
    <mergeCell ref="Y138:AS138"/>
    <mergeCell ref="Z139:AA139"/>
    <mergeCell ref="AB139:AC139"/>
    <mergeCell ref="AD139:AE139"/>
    <mergeCell ref="AF139:AG139"/>
    <mergeCell ref="AH139:AI139"/>
    <mergeCell ref="AJ139:AK139"/>
    <mergeCell ref="AL139:AM139"/>
    <mergeCell ref="AN139:AO139"/>
    <mergeCell ref="AP139:AQ139"/>
    <mergeCell ref="AR139:AS139"/>
    <mergeCell ref="Z140:AA140"/>
    <mergeCell ref="AB140:AC140"/>
    <mergeCell ref="AD140:AE140"/>
    <mergeCell ref="AF140:AG140"/>
    <mergeCell ref="AH140:AI140"/>
    <mergeCell ref="AJ140:AK140"/>
    <mergeCell ref="AL140:AM140"/>
    <mergeCell ref="AN140:AO140"/>
    <mergeCell ref="AP140:AQ140"/>
    <mergeCell ref="AR140:AS140"/>
    <mergeCell ref="Z141:AA141"/>
    <mergeCell ref="AB141:AC141"/>
    <mergeCell ref="AD141:AE141"/>
    <mergeCell ref="AF141:AG141"/>
    <mergeCell ref="AH141:AI141"/>
    <mergeCell ref="AJ141:AK141"/>
    <mergeCell ref="AL141:AM141"/>
    <mergeCell ref="AN141:AO141"/>
    <mergeCell ref="AP141:AQ141"/>
    <mergeCell ref="AR141:AS141"/>
    <mergeCell ref="Z142:AA142"/>
    <mergeCell ref="AB142:AC142"/>
    <mergeCell ref="AD142:AE142"/>
    <mergeCell ref="AF142:AG142"/>
    <mergeCell ref="AH142:AI142"/>
    <mergeCell ref="AJ142:AK142"/>
    <mergeCell ref="AL142:AM142"/>
    <mergeCell ref="AN142:AO142"/>
    <mergeCell ref="AP142:AQ142"/>
    <mergeCell ref="AR142:AS142"/>
    <mergeCell ref="Z143:AC143"/>
    <mergeCell ref="AE143:AH143"/>
    <mergeCell ref="AJ143:AM143"/>
    <mergeCell ref="Z144:AC144"/>
    <mergeCell ref="AE144:AH144"/>
    <mergeCell ref="AJ144:AM144"/>
    <mergeCell ref="A11:A12"/>
    <mergeCell ref="A13:A14"/>
    <mergeCell ref="A15:A16"/>
    <mergeCell ref="A17:A18"/>
    <mergeCell ref="A19:A20"/>
    <mergeCell ref="A21:A22"/>
    <mergeCell ref="B11:B12"/>
    <mergeCell ref="B13:B14"/>
    <mergeCell ref="B15:B16"/>
    <mergeCell ref="B17:B18"/>
    <mergeCell ref="B19:B20"/>
    <mergeCell ref="B21:B22"/>
    <mergeCell ref="H11:H12"/>
    <mergeCell ref="H13:H14"/>
    <mergeCell ref="H15:H16"/>
    <mergeCell ref="H17:H18"/>
    <mergeCell ref="H19:H20"/>
    <mergeCell ref="H21:H22"/>
    <mergeCell ref="M13:M14"/>
    <mergeCell ref="R11:R12"/>
    <mergeCell ref="R13:R14"/>
    <mergeCell ref="R16:R17"/>
    <mergeCell ref="U16:U17"/>
    <mergeCell ref="U44:U45"/>
    <mergeCell ref="Y139:Y144"/>
    <mergeCell ref="Z13:Z14"/>
    <mergeCell ref="Z44:Z45"/>
    <mergeCell ref="AB11:AB12"/>
    <mergeCell ref="AD44:AD45"/>
    <mergeCell ref="V11:X12"/>
    <mergeCell ref="Y11:AA12"/>
    <mergeCell ref="C11:E12"/>
    <mergeCell ref="C13:E14"/>
    <mergeCell ref="C15:E16"/>
    <mergeCell ref="C17:E18"/>
    <mergeCell ref="C19:E20"/>
    <mergeCell ref="C21:E22"/>
    <mergeCell ref="R21:T22"/>
    <mergeCell ref="F11:G12"/>
    <mergeCell ref="N11:O12"/>
    <mergeCell ref="P11:Q12"/>
    <mergeCell ref="F13:G14"/>
    <mergeCell ref="N13:O14"/>
    <mergeCell ref="P13:Q14"/>
    <mergeCell ref="V13:W14"/>
    <mergeCell ref="X13:Y14"/>
    <mergeCell ref="F15:G16"/>
    <mergeCell ref="F17:G18"/>
    <mergeCell ref="F19:G20"/>
    <mergeCell ref="F21:G22"/>
    <mergeCell ref="V21:W22"/>
    <mergeCell ref="I11:J12"/>
    <mergeCell ref="K11:L12"/>
    <mergeCell ref="S11:T12"/>
    <mergeCell ref="I13:J14"/>
    <mergeCell ref="K13:L14"/>
    <mergeCell ref="S13:T14"/>
    <mergeCell ref="AA13:AB14"/>
    <mergeCell ref="I15:J16"/>
    <mergeCell ref="K15:L16"/>
    <mergeCell ref="I17:J18"/>
    <mergeCell ref="K17:L18"/>
    <mergeCell ref="I19:J20"/>
    <mergeCell ref="K19:L20"/>
    <mergeCell ref="I21:J22"/>
    <mergeCell ref="K21:L22"/>
    <mergeCell ref="AB3:AC4"/>
    <mergeCell ref="AD3:AF4"/>
    <mergeCell ref="AC11:AE12"/>
    <mergeCell ref="AH22:AS23"/>
    <mergeCell ref="N16:O17"/>
    <mergeCell ref="P16:Q17"/>
    <mergeCell ref="V16:W17"/>
    <mergeCell ref="X16:Y17"/>
    <mergeCell ref="AB16:AC17"/>
    <mergeCell ref="AD16:AE17"/>
    <mergeCell ref="AC13:AE14"/>
    <mergeCell ref="S16:T17"/>
    <mergeCell ref="AH3:AS21"/>
    <mergeCell ref="AD40:AH41"/>
    <mergeCell ref="AI40:AK41"/>
    <mergeCell ref="X21:AF22"/>
    <mergeCell ref="N21:Q22"/>
    <mergeCell ref="B131:E132"/>
    <mergeCell ref="B133:E134"/>
    <mergeCell ref="B135:E136"/>
    <mergeCell ref="F131:W132"/>
    <mergeCell ref="F133:W134"/>
    <mergeCell ref="F135:W136"/>
    <mergeCell ref="Y110:AS121"/>
    <mergeCell ref="B125:E126"/>
    <mergeCell ref="B127:E128"/>
    <mergeCell ref="B129:E130"/>
    <mergeCell ref="F125:W126"/>
    <mergeCell ref="F127:W128"/>
    <mergeCell ref="F129:W130"/>
    <mergeCell ref="W59:AS67"/>
  </mergeCells>
  <conditionalFormatting sqref="S4:X4">
    <cfRule type="dataBar" priority="78">
      <dataBar>
        <cfvo type="num" val="0"/>
        <cfvo type="num" val="355000"/>
        <color rgb="FF00CC5B"/>
      </dataBar>
      <extLst>
        <ext xmlns:x14="http://schemas.microsoft.com/office/spreadsheetml/2009/9/main" uri="{B025F937-C7B1-47D3-B67F-A62EFF666E3E}">
          <x14:id>{b4c9a2db-a860-485b-8cec-c886071226c7}</x14:id>
        </ext>
      </extLst>
    </cfRule>
  </conditionalFormatting>
  <conditionalFormatting sqref="C11">
    <cfRule type="expression" dxfId="0" priority="9">
      <formula>$A$11=TRUE</formula>
    </cfRule>
  </conditionalFormatting>
  <conditionalFormatting sqref="C13">
    <cfRule type="expression" dxfId="0" priority="8">
      <formula>$A$13=TRUE</formula>
    </cfRule>
  </conditionalFormatting>
  <conditionalFormatting sqref="C15">
    <cfRule type="expression" dxfId="0" priority="7">
      <formula>$A$15=TRUE</formula>
    </cfRule>
  </conditionalFormatting>
  <conditionalFormatting sqref="C17">
    <cfRule type="expression" dxfId="0" priority="6">
      <formula>$A$17=TRUE</formula>
    </cfRule>
  </conditionalFormatting>
  <conditionalFormatting sqref="C19">
    <cfRule type="expression" dxfId="0" priority="5">
      <formula>$A$19=TRUE</formula>
    </cfRule>
  </conditionalFormatting>
  <conditionalFormatting sqref="C21">
    <cfRule type="expression" dxfId="0" priority="4">
      <formula>$A$21=TRUE</formula>
    </cfRule>
  </conditionalFormatting>
  <conditionalFormatting sqref="C26">
    <cfRule type="expression" dxfId="0" priority="32">
      <formula>$A$26=TRUE</formula>
    </cfRule>
  </conditionalFormatting>
  <conditionalFormatting sqref="C28">
    <cfRule type="expression" dxfId="0" priority="31">
      <formula>$A$28=TRUE</formula>
    </cfRule>
  </conditionalFormatting>
  <conditionalFormatting sqref="C29">
    <cfRule type="expression" dxfId="0" priority="30">
      <formula>$A$29=TRUE</formula>
    </cfRule>
  </conditionalFormatting>
  <conditionalFormatting sqref="C30">
    <cfRule type="expression" dxfId="0" priority="29">
      <formula>$A$30=TRUE</formula>
    </cfRule>
  </conditionalFormatting>
  <conditionalFormatting sqref="C32">
    <cfRule type="expression" dxfId="0" priority="28">
      <formula>$A$32=TRUE</formula>
    </cfRule>
  </conditionalFormatting>
  <conditionalFormatting sqref="C33">
    <cfRule type="expression" dxfId="0" priority="27">
      <formula>$A$33=TRUE</formula>
    </cfRule>
  </conditionalFormatting>
  <conditionalFormatting sqref="C34">
    <cfRule type="expression" dxfId="0" priority="26">
      <formula>$A$34=TRUE</formula>
    </cfRule>
  </conditionalFormatting>
  <conditionalFormatting sqref="C35">
    <cfRule type="expression" dxfId="0" priority="25">
      <formula>$A$35=TRUE</formula>
    </cfRule>
  </conditionalFormatting>
  <conditionalFormatting sqref="C36">
    <cfRule type="expression" dxfId="0" priority="24">
      <formula>$A$36=TRUE</formula>
    </cfRule>
  </conditionalFormatting>
  <conditionalFormatting sqref="C38">
    <cfRule type="expression" dxfId="0" priority="23">
      <formula>$A$38=TRUE</formula>
    </cfRule>
  </conditionalFormatting>
  <conditionalFormatting sqref="C39">
    <cfRule type="expression" dxfId="0" priority="22">
      <formula>$A$39=TRUE</formula>
    </cfRule>
  </conditionalFormatting>
  <conditionalFormatting sqref="C40">
    <cfRule type="expression" dxfId="0" priority="21">
      <formula>$A$40=TRUE</formula>
    </cfRule>
  </conditionalFormatting>
  <conditionalFormatting sqref="C41">
    <cfRule type="expression" dxfId="0" priority="20">
      <formula>$A$41=TRUE</formula>
    </cfRule>
  </conditionalFormatting>
  <conditionalFormatting sqref="C42">
    <cfRule type="expression" dxfId="0" priority="19">
      <formula>$A$42=TRUE</formula>
    </cfRule>
  </conditionalFormatting>
  <conditionalFormatting sqref="C44">
    <cfRule type="expression" dxfId="0" priority="18">
      <formula>$A$44=TRUE</formula>
    </cfRule>
  </conditionalFormatting>
  <conditionalFormatting sqref="C45">
    <cfRule type="expression" dxfId="0" priority="17">
      <formula>$A$45=TRUE</formula>
    </cfRule>
  </conditionalFormatting>
  <conditionalFormatting sqref="C46">
    <cfRule type="expression" dxfId="0" priority="16">
      <formula>$A$46=TRUE</formula>
    </cfRule>
  </conditionalFormatting>
  <conditionalFormatting sqref="C47">
    <cfRule type="expression" dxfId="0" priority="15">
      <formula>$A$47=TRUE</formula>
    </cfRule>
  </conditionalFormatting>
  <conditionalFormatting sqref="V47:Y47">
    <cfRule type="expression" dxfId="1" priority="53">
      <formula>$V$47="重载"</formula>
    </cfRule>
    <cfRule type="expression" dxfId="2" priority="54">
      <formula>$V$47="中载"</formula>
    </cfRule>
    <cfRule type="expression" dxfId="3" priority="55">
      <formula>$V$47="轻载"</formula>
    </cfRule>
  </conditionalFormatting>
  <conditionalFormatting sqref="Y11:AE12">
    <cfRule type="expression" dxfId="4" priority="3">
      <formula>法术书目录!$R$16=3</formula>
    </cfRule>
  </conditionalFormatting>
  <conditionalFormatting sqref="B53:B67 I53:I67 P53:P67">
    <cfRule type="containsText" dxfId="5" priority="1" operator="between" text=".">
      <formula>NOT(ISERROR(SEARCH(".",B53)))</formula>
    </cfRule>
  </conditionalFormatting>
  <conditionalFormatting sqref="C53:G67 J53:N67 Q53:U67">
    <cfRule type="duplicateValues" dxfId="6" priority="2"/>
  </conditionalFormatting>
  <dataValidations count="19">
    <dataValidation type="list" allowBlank="1" showInputMessage="1" sqref="S3:X3">
      <formula1>法术书目录!$O$9:$O$20</formula1>
    </dataValidation>
    <dataValidation type="list" allowBlank="1" showInputMessage="1" sqref="E6:H6">
      <formula1>法术书目录!$AL$42:$AL$73</formula1>
    </dataValidation>
    <dataValidation type="list" allowBlank="1" showInputMessage="1" sqref="M6:O6">
      <formula1>法术书目录!$Q$12:$Q$17</formula1>
    </dataValidation>
    <dataValidation type="list" allowBlank="1" showInputMessage="1" sqref="AA6:AF6">
      <formula1>"守序善良,中立善良,混乱善良,守序中立,绝对中立,混乱中立,守序邪恶,中立邪恶,混乱邪恶"</formula1>
    </dataValidation>
    <dataValidation type="list" allowBlank="1" showInputMessage="1" showErrorMessage="1" sqref="AO6:AR6">
      <formula1>"守序善良,中立善良,混乱善良,守序中立,绝对中立,混乱中立,守序邪恶,中立邪恶,混乱邪恶"</formula1>
    </dataValidation>
    <dataValidation type="list" allowBlank="1" showInputMessage="1" sqref="E7:H7">
      <formula1>INDIRECT(E6)</formula1>
    </dataValidation>
    <dataValidation type="list" allowBlank="1" showInputMessage="1" showErrorMessage="1" sqref="R19 T19">
      <formula1>"力量,敏捷,体质,智力,感知,魅力"</formula1>
    </dataValidation>
    <dataValidation type="list" allowBlank="1" showInputMessage="1" sqref="X19:Z19">
      <formula1>法术书目录!$R$19:$R$24</formula1>
    </dataValidation>
    <dataValidation type="list" allowBlank="1" showInputMessage="1" sqref="L26:M26">
      <formula1>法术书目录!$U$9:$U$13</formula1>
    </dataValidation>
    <dataValidation type="list" allowBlank="1" showInputMessage="1" showErrorMessage="1" sqref="AI39:AK39">
      <formula1>"智力,感知,魅力"</formula1>
    </dataValidation>
    <dataValidation type="list" allowBlank="1" showInputMessage="1" showErrorMessage="1" sqref="H49:K49">
      <formula1>法术书目录!$T$2:$T$6</formula1>
    </dataValidation>
    <dataValidation type="list" allowBlank="1" showInputMessage="1" showErrorMessage="1" sqref="W53:AA53">
      <formula1>法术书目录!$C$93:$C$137</formula1>
    </dataValidation>
    <dataValidation allowBlank="1" showInputMessage="1" showErrorMessage="1" sqref="AM28:AM32"/>
    <dataValidation type="list" allowBlank="1" showInputMessage="1" sqref="AD36:AF37">
      <formula1>法术书目录!$AJ$36:$AL$36</formula1>
    </dataValidation>
    <dataValidation type="list" allowBlank="1" showInputMessage="1" showErrorMessage="1" sqref="L34:M42">
      <formula1>法术书目录!$T$9:$T$33</formula1>
    </dataValidation>
    <dataValidation type="list" allowBlank="1" showInputMessage="1" sqref="L28:M32">
      <formula1>法术书目录!$X$10:$X$47</formula1>
    </dataValidation>
    <dataValidation type="list" allowBlank="1" showInputMessage="1" sqref="AN28:AO32">
      <formula1>法术书目录!$U$14:$U$26</formula1>
    </dataValidation>
    <dataValidation type="list" allowBlank="1" showInputMessage="1" showErrorMessage="1" errorTitle="O_O？" error="你似乎还没有录入这个法术呢" sqref="C53:G67 J53:N67 Q53:U67" errorStyle="information">
      <formula1>法术书目录!$B$93:$B$362</formula1>
    </dataValidation>
    <dataValidation type="list" allowBlank="1" showInputMessage="1" showErrorMessage="1" sqref="AN36:AP37">
      <formula1>法术书目录!$O$9:$O$20</formula1>
    </dataValidation>
  </dataValidations>
  <pageMargins left="0.751388888888889" right="0.751388888888889" top="1" bottom="1" header="0.511805555555556" footer="0.511805555555556"/>
  <pageSetup paperSize="9" orientation="portrait" horizontalDpi="600"/>
  <headerFooter/>
  <drawing r:id="rId2"/>
  <legacyDrawing r:id="rId3"/>
  <mc:AlternateContent xmlns:mc="http://schemas.openxmlformats.org/markup-compatibility/2006">
    <mc:Choice Requires="x14">
      <controls>
        <mc:AlternateContent xmlns:mc="http://schemas.openxmlformats.org/markup-compatibility/2006">
          <mc:Choice Requires="x14">
            <control shapeId="2061" name="Spinner 13" r:id="rId4">
              <controlPr defaultSize="0">
                <anchor moveWithCells="1">
                  <from>
                    <xdr:col>31</xdr:col>
                    <xdr:colOff>0</xdr:colOff>
                    <xdr:row>12</xdr:row>
                    <xdr:rowOff>0</xdr:rowOff>
                  </from>
                  <to>
                    <xdr:col>32</xdr:col>
                    <xdr:colOff>36830</xdr:colOff>
                    <xdr:row>13</xdr:row>
                    <xdr:rowOff>92075</xdr:rowOff>
                  </to>
                </anchor>
              </controlPr>
            </control>
          </mc:Choice>
        </mc:AlternateContent>
        <mc:AlternateContent xmlns:mc="http://schemas.openxmlformats.org/markup-compatibility/2006">
          <mc:Choice Requires="x14">
            <control shapeId="2062" name="Spinner 14" r:id="rId5">
              <controlPr defaultSize="0">
                <anchor moveWithCells="1">
                  <from>
                    <xdr:col>31</xdr:col>
                    <xdr:colOff>0</xdr:colOff>
                    <xdr:row>10</xdr:row>
                    <xdr:rowOff>0</xdr:rowOff>
                  </from>
                  <to>
                    <xdr:col>32</xdr:col>
                    <xdr:colOff>36830</xdr:colOff>
                    <xdr:row>11</xdr:row>
                    <xdr:rowOff>92075</xdr:rowOff>
                  </to>
                </anchor>
              </controlPr>
            </control>
          </mc:Choice>
        </mc:AlternateContent>
        <mc:AlternateContent xmlns:mc="http://schemas.openxmlformats.org/markup-compatibility/2006">
          <mc:Choice Requires="x14">
            <control shapeId="2064" name="Spinner 16" r:id="rId6">
              <controlPr defaultSize="0">
                <anchor moveWithCells="1">
                  <from>
                    <xdr:col>31</xdr:col>
                    <xdr:colOff>0</xdr:colOff>
                    <xdr:row>15</xdr:row>
                    <xdr:rowOff>0</xdr:rowOff>
                  </from>
                  <to>
                    <xdr:col>32</xdr:col>
                    <xdr:colOff>36830</xdr:colOff>
                    <xdr:row>16</xdr:row>
                    <xdr:rowOff>206375</xdr:rowOff>
                  </to>
                </anchor>
              </controlPr>
            </control>
          </mc:Choice>
        </mc:AlternateContent>
        <mc:AlternateContent xmlns:mc="http://schemas.openxmlformats.org/markup-compatibility/2006">
          <mc:Choice Requires="x14">
            <control shapeId="2065" name="Spinner 17" r:id="rId7">
              <controlPr defaultSize="0">
                <anchor moveWithCells="1">
                  <from>
                    <xdr:col>25</xdr:col>
                    <xdr:colOff>0</xdr:colOff>
                    <xdr:row>15</xdr:row>
                    <xdr:rowOff>0</xdr:rowOff>
                  </from>
                  <to>
                    <xdr:col>26</xdr:col>
                    <xdr:colOff>36830</xdr:colOff>
                    <xdr:row>16</xdr:row>
                    <xdr:rowOff>206375</xdr:rowOff>
                  </to>
                </anchor>
              </controlPr>
            </control>
          </mc:Choice>
        </mc:AlternateContent>
        <mc:AlternateContent xmlns:mc="http://schemas.openxmlformats.org/markup-compatibility/2006">
          <mc:Choice Requires="x14">
            <control shapeId="2067" name="Check Box 19" r:id="rId8">
              <controlPr defaultSize="0">
                <anchor moveWithCells="1">
                  <from>
                    <xdr:col>13</xdr:col>
                    <xdr:colOff>19050</xdr:colOff>
                    <xdr:row>13</xdr:row>
                    <xdr:rowOff>85725</xdr:rowOff>
                  </from>
                  <to>
                    <xdr:col>15</xdr:col>
                    <xdr:colOff>85725</xdr:colOff>
                    <xdr:row>15</xdr:row>
                    <xdr:rowOff>3175</xdr:rowOff>
                  </to>
                </anchor>
              </controlPr>
            </control>
          </mc:Choice>
        </mc:AlternateContent>
        <mc:AlternateContent xmlns:mc="http://schemas.openxmlformats.org/markup-compatibility/2006">
          <mc:Choice Requires="x14">
            <control shapeId="2068" name="Check Box 20" r:id="rId9">
              <controlPr defaultSize="0">
                <anchor moveWithCells="1">
                  <from>
                    <xdr:col>34</xdr:col>
                    <xdr:colOff>26670</xdr:colOff>
                    <xdr:row>24</xdr:row>
                    <xdr:rowOff>206375</xdr:rowOff>
                  </from>
                  <to>
                    <xdr:col>36</xdr:col>
                    <xdr:colOff>93345</xdr:colOff>
                    <xdr:row>25</xdr:row>
                    <xdr:rowOff>210820</xdr:rowOff>
                  </to>
                </anchor>
              </controlPr>
            </control>
          </mc:Choice>
        </mc:AlternateContent>
        <mc:AlternateContent xmlns:mc="http://schemas.openxmlformats.org/markup-compatibility/2006">
          <mc:Choice Requires="x14">
            <control shapeId="2071" name="Spinner 23" r:id="rId10">
              <controlPr defaultSize="0">
                <anchor moveWithCells="1">
                  <from>
                    <xdr:col>45</xdr:col>
                    <xdr:colOff>0</xdr:colOff>
                    <xdr:row>27</xdr:row>
                    <xdr:rowOff>0</xdr:rowOff>
                  </from>
                  <to>
                    <xdr:col>46</xdr:col>
                    <xdr:colOff>0</xdr:colOff>
                    <xdr:row>27</xdr:row>
                    <xdr:rowOff>206375</xdr:rowOff>
                  </to>
                </anchor>
              </controlPr>
            </control>
          </mc:Choice>
        </mc:AlternateContent>
        <mc:AlternateContent xmlns:mc="http://schemas.openxmlformats.org/markup-compatibility/2006">
          <mc:Choice Requires="x14">
            <control shapeId="2076" name="Spinner 28" r:id="rId11">
              <controlPr defaultSize="0">
                <anchor moveWithCells="1">
                  <from>
                    <xdr:col>45</xdr:col>
                    <xdr:colOff>0</xdr:colOff>
                    <xdr:row>28</xdr:row>
                    <xdr:rowOff>0</xdr:rowOff>
                  </from>
                  <to>
                    <xdr:col>46</xdr:col>
                    <xdr:colOff>0</xdr:colOff>
                    <xdr:row>28</xdr:row>
                    <xdr:rowOff>206375</xdr:rowOff>
                  </to>
                </anchor>
              </controlPr>
            </control>
          </mc:Choice>
        </mc:AlternateContent>
        <mc:AlternateContent xmlns:mc="http://schemas.openxmlformats.org/markup-compatibility/2006">
          <mc:Choice Requires="x14">
            <control shapeId="2077" name="Spinner 29" r:id="rId12">
              <controlPr defaultSize="0">
                <anchor moveWithCells="1">
                  <from>
                    <xdr:col>45</xdr:col>
                    <xdr:colOff>0</xdr:colOff>
                    <xdr:row>29</xdr:row>
                    <xdr:rowOff>0</xdr:rowOff>
                  </from>
                  <to>
                    <xdr:col>46</xdr:col>
                    <xdr:colOff>0</xdr:colOff>
                    <xdr:row>29</xdr:row>
                    <xdr:rowOff>206375</xdr:rowOff>
                  </to>
                </anchor>
              </controlPr>
            </control>
          </mc:Choice>
        </mc:AlternateContent>
        <mc:AlternateContent xmlns:mc="http://schemas.openxmlformats.org/markup-compatibility/2006">
          <mc:Choice Requires="x14">
            <control shapeId="2078" name="Spinner 30" r:id="rId13">
              <controlPr defaultSize="0">
                <anchor moveWithCells="1">
                  <from>
                    <xdr:col>45</xdr:col>
                    <xdr:colOff>0</xdr:colOff>
                    <xdr:row>30</xdr:row>
                    <xdr:rowOff>0</xdr:rowOff>
                  </from>
                  <to>
                    <xdr:col>46</xdr:col>
                    <xdr:colOff>0</xdr:colOff>
                    <xdr:row>30</xdr:row>
                    <xdr:rowOff>206375</xdr:rowOff>
                  </to>
                </anchor>
              </controlPr>
            </control>
          </mc:Choice>
        </mc:AlternateContent>
        <mc:AlternateContent xmlns:mc="http://schemas.openxmlformats.org/markup-compatibility/2006">
          <mc:Choice Requires="x14">
            <control shapeId="2079" name="Spinner 31" r:id="rId14">
              <controlPr defaultSize="0">
                <anchor moveWithCells="1">
                  <from>
                    <xdr:col>45</xdr:col>
                    <xdr:colOff>0</xdr:colOff>
                    <xdr:row>31</xdr:row>
                    <xdr:rowOff>0</xdr:rowOff>
                  </from>
                  <to>
                    <xdr:col>46</xdr:col>
                    <xdr:colOff>0</xdr:colOff>
                    <xdr:row>31</xdr:row>
                    <xdr:rowOff>206375</xdr:rowOff>
                  </to>
                </anchor>
              </controlPr>
            </control>
          </mc:Choice>
        </mc:AlternateContent>
        <mc:AlternateContent xmlns:mc="http://schemas.openxmlformats.org/markup-compatibility/2006">
          <mc:Choice Requires="x14">
            <control shapeId="2117" name="Check Box 69" r:id="rId15">
              <controlPr defaultSize="0">
                <anchor moveWithCells="1">
                  <from>
                    <xdr:col>1</xdr:col>
                    <xdr:colOff>25400</xdr:colOff>
                    <xdr:row>27</xdr:row>
                    <xdr:rowOff>0</xdr:rowOff>
                  </from>
                  <to>
                    <xdr:col>2</xdr:col>
                    <xdr:colOff>92075</xdr:colOff>
                    <xdr:row>28</xdr:row>
                    <xdr:rowOff>0</xdr:rowOff>
                  </to>
                </anchor>
              </controlPr>
            </control>
          </mc:Choice>
        </mc:AlternateContent>
        <mc:AlternateContent xmlns:mc="http://schemas.openxmlformats.org/markup-compatibility/2006">
          <mc:Choice Requires="x14">
            <control shapeId="2126" name="Check Box 78" r:id="rId16">
              <controlPr defaultSize="0">
                <anchor moveWithCells="1">
                  <from>
                    <xdr:col>1</xdr:col>
                    <xdr:colOff>25400</xdr:colOff>
                    <xdr:row>28</xdr:row>
                    <xdr:rowOff>0</xdr:rowOff>
                  </from>
                  <to>
                    <xdr:col>2</xdr:col>
                    <xdr:colOff>92075</xdr:colOff>
                    <xdr:row>29</xdr:row>
                    <xdr:rowOff>0</xdr:rowOff>
                  </to>
                </anchor>
              </controlPr>
            </control>
          </mc:Choice>
        </mc:AlternateContent>
        <mc:AlternateContent xmlns:mc="http://schemas.openxmlformats.org/markup-compatibility/2006">
          <mc:Choice Requires="x14">
            <control shapeId="2128" name="Check Box 80" r:id="rId17">
              <controlPr defaultSize="0">
                <anchor moveWithCells="1">
                  <from>
                    <xdr:col>1</xdr:col>
                    <xdr:colOff>25400</xdr:colOff>
                    <xdr:row>29</xdr:row>
                    <xdr:rowOff>0</xdr:rowOff>
                  </from>
                  <to>
                    <xdr:col>2</xdr:col>
                    <xdr:colOff>92075</xdr:colOff>
                    <xdr:row>30</xdr:row>
                    <xdr:rowOff>0</xdr:rowOff>
                  </to>
                </anchor>
              </controlPr>
            </control>
          </mc:Choice>
        </mc:AlternateContent>
        <mc:AlternateContent xmlns:mc="http://schemas.openxmlformats.org/markup-compatibility/2006">
          <mc:Choice Requires="x14">
            <control shapeId="2130" name="Check Box 82" r:id="rId18">
              <controlPr defaultSize="0">
                <anchor moveWithCells="1">
                  <from>
                    <xdr:col>1</xdr:col>
                    <xdr:colOff>25400</xdr:colOff>
                    <xdr:row>31</xdr:row>
                    <xdr:rowOff>0</xdr:rowOff>
                  </from>
                  <to>
                    <xdr:col>2</xdr:col>
                    <xdr:colOff>92075</xdr:colOff>
                    <xdr:row>32</xdr:row>
                    <xdr:rowOff>0</xdr:rowOff>
                  </to>
                </anchor>
              </controlPr>
            </control>
          </mc:Choice>
        </mc:AlternateContent>
        <mc:AlternateContent xmlns:mc="http://schemas.openxmlformats.org/markup-compatibility/2006">
          <mc:Choice Requires="x14">
            <control shapeId="2132" name="Check Box 84" r:id="rId19">
              <controlPr defaultSize="0">
                <anchor moveWithCells="1">
                  <from>
                    <xdr:col>1</xdr:col>
                    <xdr:colOff>25400</xdr:colOff>
                    <xdr:row>32</xdr:row>
                    <xdr:rowOff>0</xdr:rowOff>
                  </from>
                  <to>
                    <xdr:col>2</xdr:col>
                    <xdr:colOff>92075</xdr:colOff>
                    <xdr:row>33</xdr:row>
                    <xdr:rowOff>0</xdr:rowOff>
                  </to>
                </anchor>
              </controlPr>
            </control>
          </mc:Choice>
        </mc:AlternateContent>
        <mc:AlternateContent xmlns:mc="http://schemas.openxmlformats.org/markup-compatibility/2006">
          <mc:Choice Requires="x14">
            <control shapeId="2134" name="Check Box 86" r:id="rId20">
              <controlPr defaultSize="0">
                <anchor moveWithCells="1">
                  <from>
                    <xdr:col>1</xdr:col>
                    <xdr:colOff>25400</xdr:colOff>
                    <xdr:row>33</xdr:row>
                    <xdr:rowOff>0</xdr:rowOff>
                  </from>
                  <to>
                    <xdr:col>2</xdr:col>
                    <xdr:colOff>92075</xdr:colOff>
                    <xdr:row>34</xdr:row>
                    <xdr:rowOff>0</xdr:rowOff>
                  </to>
                </anchor>
              </controlPr>
            </control>
          </mc:Choice>
        </mc:AlternateContent>
        <mc:AlternateContent xmlns:mc="http://schemas.openxmlformats.org/markup-compatibility/2006">
          <mc:Choice Requires="x14">
            <control shapeId="2136" name="Check Box 88" r:id="rId21">
              <controlPr defaultSize="0">
                <anchor moveWithCells="1">
                  <from>
                    <xdr:col>1</xdr:col>
                    <xdr:colOff>25400</xdr:colOff>
                    <xdr:row>34</xdr:row>
                    <xdr:rowOff>0</xdr:rowOff>
                  </from>
                  <to>
                    <xdr:col>2</xdr:col>
                    <xdr:colOff>92075</xdr:colOff>
                    <xdr:row>35</xdr:row>
                    <xdr:rowOff>0</xdr:rowOff>
                  </to>
                </anchor>
              </controlPr>
            </control>
          </mc:Choice>
        </mc:AlternateContent>
        <mc:AlternateContent xmlns:mc="http://schemas.openxmlformats.org/markup-compatibility/2006">
          <mc:Choice Requires="x14">
            <control shapeId="2138" name="Check Box 90" r:id="rId22">
              <controlPr defaultSize="0">
                <anchor moveWithCells="1">
                  <from>
                    <xdr:col>1</xdr:col>
                    <xdr:colOff>25400</xdr:colOff>
                    <xdr:row>35</xdr:row>
                    <xdr:rowOff>0</xdr:rowOff>
                  </from>
                  <to>
                    <xdr:col>2</xdr:col>
                    <xdr:colOff>92075</xdr:colOff>
                    <xdr:row>36</xdr:row>
                    <xdr:rowOff>0</xdr:rowOff>
                  </to>
                </anchor>
              </controlPr>
            </control>
          </mc:Choice>
        </mc:AlternateContent>
        <mc:AlternateContent xmlns:mc="http://schemas.openxmlformats.org/markup-compatibility/2006">
          <mc:Choice Requires="x14">
            <control shapeId="2140" name="Check Box 92" r:id="rId23">
              <controlPr defaultSize="0">
                <anchor moveWithCells="1">
                  <from>
                    <xdr:col>1</xdr:col>
                    <xdr:colOff>25400</xdr:colOff>
                    <xdr:row>37</xdr:row>
                    <xdr:rowOff>0</xdr:rowOff>
                  </from>
                  <to>
                    <xdr:col>2</xdr:col>
                    <xdr:colOff>92075</xdr:colOff>
                    <xdr:row>38</xdr:row>
                    <xdr:rowOff>0</xdr:rowOff>
                  </to>
                </anchor>
              </controlPr>
            </control>
          </mc:Choice>
        </mc:AlternateContent>
        <mc:AlternateContent xmlns:mc="http://schemas.openxmlformats.org/markup-compatibility/2006">
          <mc:Choice Requires="x14">
            <control shapeId="2142" name="Check Box 94" r:id="rId24">
              <controlPr defaultSize="0">
                <anchor moveWithCells="1">
                  <from>
                    <xdr:col>1</xdr:col>
                    <xdr:colOff>25400</xdr:colOff>
                    <xdr:row>38</xdr:row>
                    <xdr:rowOff>0</xdr:rowOff>
                  </from>
                  <to>
                    <xdr:col>2</xdr:col>
                    <xdr:colOff>92075</xdr:colOff>
                    <xdr:row>39</xdr:row>
                    <xdr:rowOff>0</xdr:rowOff>
                  </to>
                </anchor>
              </controlPr>
            </control>
          </mc:Choice>
        </mc:AlternateContent>
        <mc:AlternateContent xmlns:mc="http://schemas.openxmlformats.org/markup-compatibility/2006">
          <mc:Choice Requires="x14">
            <control shapeId="2144" name="Check Box 96" r:id="rId25">
              <controlPr defaultSize="0">
                <anchor moveWithCells="1">
                  <from>
                    <xdr:col>1</xdr:col>
                    <xdr:colOff>25400</xdr:colOff>
                    <xdr:row>39</xdr:row>
                    <xdr:rowOff>0</xdr:rowOff>
                  </from>
                  <to>
                    <xdr:col>2</xdr:col>
                    <xdr:colOff>92075</xdr:colOff>
                    <xdr:row>40</xdr:row>
                    <xdr:rowOff>0</xdr:rowOff>
                  </to>
                </anchor>
              </controlPr>
            </control>
          </mc:Choice>
        </mc:AlternateContent>
        <mc:AlternateContent xmlns:mc="http://schemas.openxmlformats.org/markup-compatibility/2006">
          <mc:Choice Requires="x14">
            <control shapeId="2146" name="Check Box 98" r:id="rId26">
              <controlPr defaultSize="0">
                <anchor moveWithCells="1">
                  <from>
                    <xdr:col>1</xdr:col>
                    <xdr:colOff>25400</xdr:colOff>
                    <xdr:row>40</xdr:row>
                    <xdr:rowOff>0</xdr:rowOff>
                  </from>
                  <to>
                    <xdr:col>2</xdr:col>
                    <xdr:colOff>92075</xdr:colOff>
                    <xdr:row>41</xdr:row>
                    <xdr:rowOff>0</xdr:rowOff>
                  </to>
                </anchor>
              </controlPr>
            </control>
          </mc:Choice>
        </mc:AlternateContent>
        <mc:AlternateContent xmlns:mc="http://schemas.openxmlformats.org/markup-compatibility/2006">
          <mc:Choice Requires="x14">
            <control shapeId="2148" name="Check Box 100" r:id="rId27">
              <controlPr defaultSize="0">
                <anchor moveWithCells="1">
                  <from>
                    <xdr:col>1</xdr:col>
                    <xdr:colOff>25400</xdr:colOff>
                    <xdr:row>41</xdr:row>
                    <xdr:rowOff>0</xdr:rowOff>
                  </from>
                  <to>
                    <xdr:col>2</xdr:col>
                    <xdr:colOff>92075</xdr:colOff>
                    <xdr:row>42</xdr:row>
                    <xdr:rowOff>0</xdr:rowOff>
                  </to>
                </anchor>
              </controlPr>
            </control>
          </mc:Choice>
        </mc:AlternateContent>
        <mc:AlternateContent xmlns:mc="http://schemas.openxmlformats.org/markup-compatibility/2006">
          <mc:Choice Requires="x14">
            <control shapeId="2150" name="Check Box 102" r:id="rId28">
              <controlPr defaultSize="0">
                <anchor moveWithCells="1">
                  <from>
                    <xdr:col>1</xdr:col>
                    <xdr:colOff>25400</xdr:colOff>
                    <xdr:row>43</xdr:row>
                    <xdr:rowOff>0</xdr:rowOff>
                  </from>
                  <to>
                    <xdr:col>2</xdr:col>
                    <xdr:colOff>92075</xdr:colOff>
                    <xdr:row>44</xdr:row>
                    <xdr:rowOff>0</xdr:rowOff>
                  </to>
                </anchor>
              </controlPr>
            </control>
          </mc:Choice>
        </mc:AlternateContent>
        <mc:AlternateContent xmlns:mc="http://schemas.openxmlformats.org/markup-compatibility/2006">
          <mc:Choice Requires="x14">
            <control shapeId="2152" name="Check Box 104" r:id="rId29">
              <controlPr defaultSize="0">
                <anchor moveWithCells="1">
                  <from>
                    <xdr:col>1</xdr:col>
                    <xdr:colOff>25400</xdr:colOff>
                    <xdr:row>44</xdr:row>
                    <xdr:rowOff>0</xdr:rowOff>
                  </from>
                  <to>
                    <xdr:col>2</xdr:col>
                    <xdr:colOff>92075</xdr:colOff>
                    <xdr:row>45</xdr:row>
                    <xdr:rowOff>0</xdr:rowOff>
                  </to>
                </anchor>
              </controlPr>
            </control>
          </mc:Choice>
        </mc:AlternateContent>
        <mc:AlternateContent xmlns:mc="http://schemas.openxmlformats.org/markup-compatibility/2006">
          <mc:Choice Requires="x14">
            <control shapeId="2154" name="Check Box 106" r:id="rId30">
              <controlPr defaultSize="0">
                <anchor moveWithCells="1">
                  <from>
                    <xdr:col>1</xdr:col>
                    <xdr:colOff>25400</xdr:colOff>
                    <xdr:row>45</xdr:row>
                    <xdr:rowOff>0</xdr:rowOff>
                  </from>
                  <to>
                    <xdr:col>2</xdr:col>
                    <xdr:colOff>92075</xdr:colOff>
                    <xdr:row>46</xdr:row>
                    <xdr:rowOff>0</xdr:rowOff>
                  </to>
                </anchor>
              </controlPr>
            </control>
          </mc:Choice>
        </mc:AlternateContent>
        <mc:AlternateContent xmlns:mc="http://schemas.openxmlformats.org/markup-compatibility/2006">
          <mc:Choice Requires="x14">
            <control shapeId="2156" name="Check Box 108" r:id="rId31">
              <controlPr defaultSize="0">
                <anchor moveWithCells="1">
                  <from>
                    <xdr:col>1</xdr:col>
                    <xdr:colOff>25400</xdr:colOff>
                    <xdr:row>46</xdr:row>
                    <xdr:rowOff>0</xdr:rowOff>
                  </from>
                  <to>
                    <xdr:col>2</xdr:col>
                    <xdr:colOff>92075</xdr:colOff>
                    <xdr:row>47</xdr:row>
                    <xdr:rowOff>0</xdr:rowOff>
                  </to>
                </anchor>
              </controlPr>
            </control>
          </mc:Choice>
        </mc:AlternateContent>
        <mc:AlternateContent xmlns:mc="http://schemas.openxmlformats.org/markup-compatibility/2006">
          <mc:Choice Requires="x14">
            <control shapeId="2158" name="Check Box 110" r:id="rId32">
              <controlPr defaultSize="0">
                <anchor moveWithCells="1">
                  <from>
                    <xdr:col>1</xdr:col>
                    <xdr:colOff>25400</xdr:colOff>
                    <xdr:row>25</xdr:row>
                    <xdr:rowOff>0</xdr:rowOff>
                  </from>
                  <to>
                    <xdr:col>2</xdr:col>
                    <xdr:colOff>92075</xdr:colOff>
                    <xdr:row>26</xdr:row>
                    <xdr:rowOff>0</xdr:rowOff>
                  </to>
                </anchor>
              </controlPr>
            </control>
          </mc:Choice>
        </mc:AlternateContent>
        <mc:AlternateContent xmlns:mc="http://schemas.openxmlformats.org/markup-compatibility/2006">
          <mc:Choice Requires="x14">
            <control shapeId="2178" name="Check Box 130" r:id="rId33">
              <controlPr defaultSize="0">
                <anchor moveWithCells="1">
                  <from>
                    <xdr:col>1</xdr:col>
                    <xdr:colOff>25400</xdr:colOff>
                    <xdr:row>10</xdr:row>
                    <xdr:rowOff>50800</xdr:rowOff>
                  </from>
                  <to>
                    <xdr:col>2</xdr:col>
                    <xdr:colOff>92075</xdr:colOff>
                    <xdr:row>11</xdr:row>
                    <xdr:rowOff>50800</xdr:rowOff>
                  </to>
                </anchor>
              </controlPr>
            </control>
          </mc:Choice>
        </mc:AlternateContent>
        <mc:AlternateContent xmlns:mc="http://schemas.openxmlformats.org/markup-compatibility/2006">
          <mc:Choice Requires="x14">
            <control shapeId="2179" name="Check Box 131" r:id="rId34">
              <controlPr defaultSize="0">
                <anchor moveWithCells="1">
                  <from>
                    <xdr:col>1</xdr:col>
                    <xdr:colOff>25400</xdr:colOff>
                    <xdr:row>12</xdr:row>
                    <xdr:rowOff>50800</xdr:rowOff>
                  </from>
                  <to>
                    <xdr:col>2</xdr:col>
                    <xdr:colOff>92075</xdr:colOff>
                    <xdr:row>13</xdr:row>
                    <xdr:rowOff>50800</xdr:rowOff>
                  </to>
                </anchor>
              </controlPr>
            </control>
          </mc:Choice>
        </mc:AlternateContent>
        <mc:AlternateContent xmlns:mc="http://schemas.openxmlformats.org/markup-compatibility/2006">
          <mc:Choice Requires="x14">
            <control shapeId="2181" name="Check Box 133" r:id="rId35">
              <controlPr defaultSize="0">
                <anchor moveWithCells="1">
                  <from>
                    <xdr:col>1</xdr:col>
                    <xdr:colOff>25400</xdr:colOff>
                    <xdr:row>14</xdr:row>
                    <xdr:rowOff>50800</xdr:rowOff>
                  </from>
                  <to>
                    <xdr:col>2</xdr:col>
                    <xdr:colOff>92075</xdr:colOff>
                    <xdr:row>15</xdr:row>
                    <xdr:rowOff>50800</xdr:rowOff>
                  </to>
                </anchor>
              </controlPr>
            </control>
          </mc:Choice>
        </mc:AlternateContent>
        <mc:AlternateContent xmlns:mc="http://schemas.openxmlformats.org/markup-compatibility/2006">
          <mc:Choice Requires="x14">
            <control shapeId="2183" name="Check Box 135" r:id="rId36">
              <controlPr defaultSize="0">
                <anchor moveWithCells="1">
                  <from>
                    <xdr:col>1</xdr:col>
                    <xdr:colOff>25400</xdr:colOff>
                    <xdr:row>16</xdr:row>
                    <xdr:rowOff>50800</xdr:rowOff>
                  </from>
                  <to>
                    <xdr:col>2</xdr:col>
                    <xdr:colOff>92075</xdr:colOff>
                    <xdr:row>17</xdr:row>
                    <xdr:rowOff>50800</xdr:rowOff>
                  </to>
                </anchor>
              </controlPr>
            </control>
          </mc:Choice>
        </mc:AlternateContent>
        <mc:AlternateContent xmlns:mc="http://schemas.openxmlformats.org/markup-compatibility/2006">
          <mc:Choice Requires="x14">
            <control shapeId="2185" name="Check Box 137" r:id="rId37">
              <controlPr defaultSize="0">
                <anchor moveWithCells="1">
                  <from>
                    <xdr:col>1</xdr:col>
                    <xdr:colOff>25400</xdr:colOff>
                    <xdr:row>18</xdr:row>
                    <xdr:rowOff>50800</xdr:rowOff>
                  </from>
                  <to>
                    <xdr:col>2</xdr:col>
                    <xdr:colOff>92075</xdr:colOff>
                    <xdr:row>19</xdr:row>
                    <xdr:rowOff>50800</xdr:rowOff>
                  </to>
                </anchor>
              </controlPr>
            </control>
          </mc:Choice>
        </mc:AlternateContent>
        <mc:AlternateContent xmlns:mc="http://schemas.openxmlformats.org/markup-compatibility/2006">
          <mc:Choice Requires="x14">
            <control shapeId="2187" name="Check Box 139" r:id="rId38">
              <controlPr defaultSize="0">
                <anchor moveWithCells="1">
                  <from>
                    <xdr:col>1</xdr:col>
                    <xdr:colOff>25400</xdr:colOff>
                    <xdr:row>20</xdr:row>
                    <xdr:rowOff>50800</xdr:rowOff>
                  </from>
                  <to>
                    <xdr:col>2</xdr:col>
                    <xdr:colOff>92075</xdr:colOff>
                    <xdr:row>21</xdr:row>
                    <xdr:rowOff>50800</xdr:rowOff>
                  </to>
                </anchor>
              </controlPr>
            </control>
          </mc:Choice>
        </mc:AlternateContent>
        <mc:AlternateContent xmlns:mc="http://schemas.openxmlformats.org/markup-compatibility/2006">
          <mc:Choice Requires="x14">
            <control shapeId="2195" name="Check Box 147" r:id="rId39">
              <controlPr defaultSize="0">
                <anchor moveWithCells="1">
                  <from>
                    <xdr:col>29</xdr:col>
                    <xdr:colOff>25400</xdr:colOff>
                    <xdr:row>27</xdr:row>
                    <xdr:rowOff>0</xdr:rowOff>
                  </from>
                  <to>
                    <xdr:col>30</xdr:col>
                    <xdr:colOff>92075</xdr:colOff>
                    <xdr:row>28</xdr:row>
                    <xdr:rowOff>0</xdr:rowOff>
                  </to>
                </anchor>
              </controlPr>
            </control>
          </mc:Choice>
        </mc:AlternateContent>
        <mc:AlternateContent xmlns:mc="http://schemas.openxmlformats.org/markup-compatibility/2006">
          <mc:Choice Requires="x14">
            <control shapeId="2196" name="Check Box 148" r:id="rId40">
              <controlPr defaultSize="0">
                <anchor moveWithCells="1">
                  <from>
                    <xdr:col>29</xdr:col>
                    <xdr:colOff>25400</xdr:colOff>
                    <xdr:row>28</xdr:row>
                    <xdr:rowOff>0</xdr:rowOff>
                  </from>
                  <to>
                    <xdr:col>30</xdr:col>
                    <xdr:colOff>92075</xdr:colOff>
                    <xdr:row>29</xdr:row>
                    <xdr:rowOff>0</xdr:rowOff>
                  </to>
                </anchor>
              </controlPr>
            </control>
          </mc:Choice>
        </mc:AlternateContent>
        <mc:AlternateContent xmlns:mc="http://schemas.openxmlformats.org/markup-compatibility/2006">
          <mc:Choice Requires="x14">
            <control shapeId="2197" name="Check Box 149" r:id="rId41">
              <controlPr defaultSize="0">
                <anchor moveWithCells="1">
                  <from>
                    <xdr:col>29</xdr:col>
                    <xdr:colOff>25400</xdr:colOff>
                    <xdr:row>29</xdr:row>
                    <xdr:rowOff>0</xdr:rowOff>
                  </from>
                  <to>
                    <xdr:col>30</xdr:col>
                    <xdr:colOff>92075</xdr:colOff>
                    <xdr:row>30</xdr:row>
                    <xdr:rowOff>0</xdr:rowOff>
                  </to>
                </anchor>
              </controlPr>
            </control>
          </mc:Choice>
        </mc:AlternateContent>
        <mc:AlternateContent xmlns:mc="http://schemas.openxmlformats.org/markup-compatibility/2006">
          <mc:Choice Requires="x14">
            <control shapeId="2198" name="Check Box 150" r:id="rId42">
              <controlPr defaultSize="0">
                <anchor moveWithCells="1">
                  <from>
                    <xdr:col>29</xdr:col>
                    <xdr:colOff>25400</xdr:colOff>
                    <xdr:row>30</xdr:row>
                    <xdr:rowOff>0</xdr:rowOff>
                  </from>
                  <to>
                    <xdr:col>30</xdr:col>
                    <xdr:colOff>92075</xdr:colOff>
                    <xdr:row>31</xdr:row>
                    <xdr:rowOff>0</xdr:rowOff>
                  </to>
                </anchor>
              </controlPr>
            </control>
          </mc:Choice>
        </mc:AlternateContent>
        <mc:AlternateContent xmlns:mc="http://schemas.openxmlformats.org/markup-compatibility/2006">
          <mc:Choice Requires="x14">
            <control shapeId="2199" name="Check Box 151" r:id="rId43">
              <controlPr defaultSize="0">
                <anchor moveWithCells="1">
                  <from>
                    <xdr:col>29</xdr:col>
                    <xdr:colOff>25400</xdr:colOff>
                    <xdr:row>31</xdr:row>
                    <xdr:rowOff>0</xdr:rowOff>
                  </from>
                  <to>
                    <xdr:col>30</xdr:col>
                    <xdr:colOff>92075</xdr:colOff>
                    <xdr:row>32</xdr:row>
                    <xdr:rowOff>0</xdr:rowOff>
                  </to>
                </anchor>
              </controlPr>
            </control>
          </mc:Choice>
        </mc:AlternateContent>
        <mc:AlternateContent xmlns:mc="http://schemas.openxmlformats.org/markup-compatibility/2006">
          <mc:Choice Requires="x14">
            <control shapeId="2216" name="Check Box 168" r:id="rId44">
              <controlPr defaultSize="0">
                <anchor moveWithCells="1">
                  <from>
                    <xdr:col>24</xdr:col>
                    <xdr:colOff>0</xdr:colOff>
                    <xdr:row>13</xdr:row>
                    <xdr:rowOff>63500</xdr:rowOff>
                  </from>
                  <to>
                    <xdr:col>25</xdr:col>
                    <xdr:colOff>66675</xdr:colOff>
                    <xdr:row>14</xdr:row>
                    <xdr:rowOff>177800</xdr:rowOff>
                  </to>
                </anchor>
              </controlPr>
            </control>
          </mc:Choice>
        </mc:AlternateContent>
        <mc:AlternateContent xmlns:mc="http://schemas.openxmlformats.org/markup-compatibility/2006">
          <mc:Choice Requires="x14">
            <control shapeId="2217" name="Check Box 169" r:id="rId45">
              <controlPr defaultSize="0">
                <anchor moveWithCells="1">
                  <from>
                    <xdr:col>25</xdr:col>
                    <xdr:colOff>0</xdr:colOff>
                    <xdr:row>13</xdr:row>
                    <xdr:rowOff>63500</xdr:rowOff>
                  </from>
                  <to>
                    <xdr:col>26</xdr:col>
                    <xdr:colOff>66675</xdr:colOff>
                    <xdr:row>14</xdr:row>
                    <xdr:rowOff>177800</xdr:rowOff>
                  </to>
                </anchor>
              </controlPr>
            </control>
          </mc:Choice>
        </mc:AlternateContent>
        <mc:AlternateContent xmlns:mc="http://schemas.openxmlformats.org/markup-compatibility/2006">
          <mc:Choice Requires="x14">
            <control shapeId="2218" name="Check Box 170" r:id="rId46">
              <controlPr defaultSize="0">
                <anchor moveWithCells="1">
                  <from>
                    <xdr:col>26</xdr:col>
                    <xdr:colOff>0</xdr:colOff>
                    <xdr:row>13</xdr:row>
                    <xdr:rowOff>63500</xdr:rowOff>
                  </from>
                  <to>
                    <xdr:col>27</xdr:col>
                    <xdr:colOff>66675</xdr:colOff>
                    <xdr:row>14</xdr:row>
                    <xdr:rowOff>177800</xdr:rowOff>
                  </to>
                </anchor>
              </controlPr>
            </control>
          </mc:Choice>
        </mc:AlternateContent>
        <mc:AlternateContent xmlns:mc="http://schemas.openxmlformats.org/markup-compatibility/2006">
          <mc:Choice Requires="x14">
            <control shapeId="2222" name="Check Box 174" r:id="rId47">
              <controlPr defaultSize="0">
                <anchor moveWithCells="1">
                  <from>
                    <xdr:col>29</xdr:col>
                    <xdr:colOff>0</xdr:colOff>
                    <xdr:row>13</xdr:row>
                    <xdr:rowOff>63500</xdr:rowOff>
                  </from>
                  <to>
                    <xdr:col>30</xdr:col>
                    <xdr:colOff>66675</xdr:colOff>
                    <xdr:row>14</xdr:row>
                    <xdr:rowOff>177800</xdr:rowOff>
                  </to>
                </anchor>
              </controlPr>
            </control>
          </mc:Choice>
        </mc:AlternateContent>
        <mc:AlternateContent xmlns:mc="http://schemas.openxmlformats.org/markup-compatibility/2006">
          <mc:Choice Requires="x14">
            <control shapeId="2223" name="Check Box 175" r:id="rId48">
              <controlPr defaultSize="0">
                <anchor moveWithCells="1">
                  <from>
                    <xdr:col>30</xdr:col>
                    <xdr:colOff>0</xdr:colOff>
                    <xdr:row>13</xdr:row>
                    <xdr:rowOff>63500</xdr:rowOff>
                  </from>
                  <to>
                    <xdr:col>31</xdr:col>
                    <xdr:colOff>66675</xdr:colOff>
                    <xdr:row>14</xdr:row>
                    <xdr:rowOff>177800</xdr:rowOff>
                  </to>
                </anchor>
              </controlPr>
            </control>
          </mc:Choice>
        </mc:AlternateContent>
        <mc:AlternateContent xmlns:mc="http://schemas.openxmlformats.org/markup-compatibility/2006">
          <mc:Choice Requires="x14">
            <control shapeId="2224" name="Check Box 176" r:id="rId49">
              <controlPr defaultSize="0">
                <anchor moveWithCells="1">
                  <from>
                    <xdr:col>31</xdr:col>
                    <xdr:colOff>0</xdr:colOff>
                    <xdr:row>13</xdr:row>
                    <xdr:rowOff>63500</xdr:rowOff>
                  </from>
                  <to>
                    <xdr:col>32</xdr:col>
                    <xdr:colOff>66675</xdr:colOff>
                    <xdr:row>14</xdr:row>
                    <xdr:rowOff>177800</xdr:rowOff>
                  </to>
                </anchor>
              </controlPr>
            </control>
          </mc:Choice>
        </mc:AlternateContent>
        <mc:AlternateContent xmlns:mc="http://schemas.openxmlformats.org/markup-compatibility/2006">
          <mc:Choice Requires="x14">
            <control shapeId="2269" name="Check Box 221" r:id="rId50">
              <controlPr defaultSize="0">
                <anchor moveWithCells="1">
                  <from>
                    <xdr:col>37</xdr:col>
                    <xdr:colOff>0</xdr:colOff>
                    <xdr:row>24</xdr:row>
                    <xdr:rowOff>165100</xdr:rowOff>
                  </from>
                  <to>
                    <xdr:col>37</xdr:col>
                    <xdr:colOff>103505</xdr:colOff>
                    <xdr:row>25</xdr:row>
                    <xdr:rowOff>165100</xdr:rowOff>
                  </to>
                </anchor>
              </controlPr>
            </control>
          </mc:Choice>
        </mc:AlternateContent>
        <mc:AlternateContent xmlns:mc="http://schemas.openxmlformats.org/markup-compatibility/2006">
          <mc:Choice Requires="x14">
            <control shapeId="2271" name="Check Box 223" r:id="rId51">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72" name="Check Box 224" r:id="rId52">
              <controlPr defaultSize="0">
                <anchor moveWithCells="1">
                  <from>
                    <xdr:col>20</xdr:col>
                    <xdr:colOff>0</xdr:colOff>
                    <xdr:row>27</xdr:row>
                    <xdr:rowOff>165100</xdr:rowOff>
                  </from>
                  <to>
                    <xdr:col>21</xdr:col>
                    <xdr:colOff>27305</xdr:colOff>
                    <xdr:row>28</xdr:row>
                    <xdr:rowOff>165100</xdr:rowOff>
                  </to>
                </anchor>
              </controlPr>
            </control>
          </mc:Choice>
        </mc:AlternateContent>
        <mc:AlternateContent xmlns:mc="http://schemas.openxmlformats.org/markup-compatibility/2006">
          <mc:Choice Requires="x14">
            <control shapeId="2273" name="Check Box 225" r:id="rId53">
              <controlPr defaultSize="0">
                <anchor moveWithCells="1">
                  <from>
                    <xdr:col>20</xdr:col>
                    <xdr:colOff>0</xdr:colOff>
                    <xdr:row>28</xdr:row>
                    <xdr:rowOff>165100</xdr:rowOff>
                  </from>
                  <to>
                    <xdr:col>21</xdr:col>
                    <xdr:colOff>27305</xdr:colOff>
                    <xdr:row>29</xdr:row>
                    <xdr:rowOff>165100</xdr:rowOff>
                  </to>
                </anchor>
              </controlPr>
            </control>
          </mc:Choice>
        </mc:AlternateContent>
        <mc:AlternateContent xmlns:mc="http://schemas.openxmlformats.org/markup-compatibility/2006">
          <mc:Choice Requires="x14">
            <control shapeId="2274" name="Check Box 226" r:id="rId54">
              <controlPr defaultSize="0">
                <anchor moveWithCells="1">
                  <from>
                    <xdr:col>20</xdr:col>
                    <xdr:colOff>0</xdr:colOff>
                    <xdr:row>29</xdr:row>
                    <xdr:rowOff>165100</xdr:rowOff>
                  </from>
                  <to>
                    <xdr:col>21</xdr:col>
                    <xdr:colOff>27305</xdr:colOff>
                    <xdr:row>30</xdr:row>
                    <xdr:rowOff>165100</xdr:rowOff>
                  </to>
                </anchor>
              </controlPr>
            </control>
          </mc:Choice>
        </mc:AlternateContent>
        <mc:AlternateContent xmlns:mc="http://schemas.openxmlformats.org/markup-compatibility/2006">
          <mc:Choice Requires="x14">
            <control shapeId="2275" name="Check Box 227" r:id="rId55">
              <controlPr defaultSize="0">
                <anchor moveWithCells="1">
                  <from>
                    <xdr:col>20</xdr:col>
                    <xdr:colOff>0</xdr:colOff>
                    <xdr:row>30</xdr:row>
                    <xdr:rowOff>165100</xdr:rowOff>
                  </from>
                  <to>
                    <xdr:col>21</xdr:col>
                    <xdr:colOff>27305</xdr:colOff>
                    <xdr:row>31</xdr:row>
                    <xdr:rowOff>165100</xdr:rowOff>
                  </to>
                </anchor>
              </controlPr>
            </control>
          </mc:Choice>
        </mc:AlternateContent>
        <mc:AlternateContent xmlns:mc="http://schemas.openxmlformats.org/markup-compatibility/2006">
          <mc:Choice Requires="x14">
            <control shapeId="2276" name="Check Box 228" r:id="rId56">
              <controlPr defaultSize="0">
                <anchor moveWithCells="1">
                  <from>
                    <xdr:col>20</xdr:col>
                    <xdr:colOff>0</xdr:colOff>
                    <xdr:row>33</xdr:row>
                    <xdr:rowOff>165100</xdr:rowOff>
                  </from>
                  <to>
                    <xdr:col>21</xdr:col>
                    <xdr:colOff>27305</xdr:colOff>
                    <xdr:row>34</xdr:row>
                    <xdr:rowOff>165100</xdr:rowOff>
                  </to>
                </anchor>
              </controlPr>
            </control>
          </mc:Choice>
        </mc:AlternateContent>
        <mc:AlternateContent xmlns:mc="http://schemas.openxmlformats.org/markup-compatibility/2006">
          <mc:Choice Requires="x14">
            <control shapeId="2277" name="Check Box 229" r:id="rId57">
              <controlPr defaultSize="0">
                <anchor moveWithCells="1">
                  <from>
                    <xdr:col>20</xdr:col>
                    <xdr:colOff>0</xdr:colOff>
                    <xdr:row>34</xdr:row>
                    <xdr:rowOff>165100</xdr:rowOff>
                  </from>
                  <to>
                    <xdr:col>21</xdr:col>
                    <xdr:colOff>27305</xdr:colOff>
                    <xdr:row>35</xdr:row>
                    <xdr:rowOff>165100</xdr:rowOff>
                  </to>
                </anchor>
              </controlPr>
            </control>
          </mc:Choice>
        </mc:AlternateContent>
        <mc:AlternateContent xmlns:mc="http://schemas.openxmlformats.org/markup-compatibility/2006">
          <mc:Choice Requires="x14">
            <control shapeId="2278" name="Check Box 230" r:id="rId58">
              <controlPr defaultSize="0">
                <anchor moveWithCells="1">
                  <from>
                    <xdr:col>20</xdr:col>
                    <xdr:colOff>0</xdr:colOff>
                    <xdr:row>35</xdr:row>
                    <xdr:rowOff>165100</xdr:rowOff>
                  </from>
                  <to>
                    <xdr:col>21</xdr:col>
                    <xdr:colOff>27305</xdr:colOff>
                    <xdr:row>36</xdr:row>
                    <xdr:rowOff>165100</xdr:rowOff>
                  </to>
                </anchor>
              </controlPr>
            </control>
          </mc:Choice>
        </mc:AlternateContent>
        <mc:AlternateContent xmlns:mc="http://schemas.openxmlformats.org/markup-compatibility/2006">
          <mc:Choice Requires="x14">
            <control shapeId="2279" name="Check Box 231" r:id="rId59">
              <controlPr defaultSize="0">
                <anchor moveWithCells="1">
                  <from>
                    <xdr:col>20</xdr:col>
                    <xdr:colOff>0</xdr:colOff>
                    <xdr:row>36</xdr:row>
                    <xdr:rowOff>165100</xdr:rowOff>
                  </from>
                  <to>
                    <xdr:col>21</xdr:col>
                    <xdr:colOff>27305</xdr:colOff>
                    <xdr:row>37</xdr:row>
                    <xdr:rowOff>165100</xdr:rowOff>
                  </to>
                </anchor>
              </controlPr>
            </control>
          </mc:Choice>
        </mc:AlternateContent>
        <mc:AlternateContent xmlns:mc="http://schemas.openxmlformats.org/markup-compatibility/2006">
          <mc:Choice Requires="x14">
            <control shapeId="2280" name="Check Box 232" r:id="rId60">
              <controlPr defaultSize="0">
                <anchor moveWithCells="1">
                  <from>
                    <xdr:col>20</xdr:col>
                    <xdr:colOff>0</xdr:colOff>
                    <xdr:row>37</xdr:row>
                    <xdr:rowOff>165100</xdr:rowOff>
                  </from>
                  <to>
                    <xdr:col>21</xdr:col>
                    <xdr:colOff>27305</xdr:colOff>
                    <xdr:row>38</xdr:row>
                    <xdr:rowOff>165100</xdr:rowOff>
                  </to>
                </anchor>
              </controlPr>
            </control>
          </mc:Choice>
        </mc:AlternateContent>
        <mc:AlternateContent xmlns:mc="http://schemas.openxmlformats.org/markup-compatibility/2006">
          <mc:Choice Requires="x14">
            <control shapeId="2281" name="Check Box 233" r:id="rId61">
              <controlPr defaultSize="0">
                <anchor moveWithCells="1">
                  <from>
                    <xdr:col>20</xdr:col>
                    <xdr:colOff>0</xdr:colOff>
                    <xdr:row>38</xdr:row>
                    <xdr:rowOff>165100</xdr:rowOff>
                  </from>
                  <to>
                    <xdr:col>21</xdr:col>
                    <xdr:colOff>27305</xdr:colOff>
                    <xdr:row>39</xdr:row>
                    <xdr:rowOff>165100</xdr:rowOff>
                  </to>
                </anchor>
              </controlPr>
            </control>
          </mc:Choice>
        </mc:AlternateContent>
        <mc:AlternateContent xmlns:mc="http://schemas.openxmlformats.org/markup-compatibility/2006">
          <mc:Choice Requires="x14">
            <control shapeId="2282" name="Check Box 234" r:id="rId62">
              <controlPr defaultSize="0">
                <anchor moveWithCells="1">
                  <from>
                    <xdr:col>20</xdr:col>
                    <xdr:colOff>0</xdr:colOff>
                    <xdr:row>39</xdr:row>
                    <xdr:rowOff>155575</xdr:rowOff>
                  </from>
                  <to>
                    <xdr:col>21</xdr:col>
                    <xdr:colOff>27305</xdr:colOff>
                    <xdr:row>40</xdr:row>
                    <xdr:rowOff>155575</xdr:rowOff>
                  </to>
                </anchor>
              </controlPr>
            </control>
          </mc:Choice>
        </mc:AlternateContent>
        <mc:AlternateContent xmlns:mc="http://schemas.openxmlformats.org/markup-compatibility/2006">
          <mc:Choice Requires="x14">
            <control shapeId="2283" name="Check Box 235" r:id="rId63">
              <controlPr defaultSize="0">
                <anchor moveWithCells="1">
                  <from>
                    <xdr:col>20</xdr:col>
                    <xdr:colOff>0</xdr:colOff>
                    <xdr:row>40</xdr:row>
                    <xdr:rowOff>165100</xdr:rowOff>
                  </from>
                  <to>
                    <xdr:col>21</xdr:col>
                    <xdr:colOff>27305</xdr:colOff>
                    <xdr:row>41</xdr:row>
                    <xdr:rowOff>165100</xdr:rowOff>
                  </to>
                </anchor>
              </controlPr>
            </control>
          </mc:Choice>
        </mc:AlternateContent>
        <mc:AlternateContent xmlns:mc="http://schemas.openxmlformats.org/markup-compatibility/2006">
          <mc:Choice Requires="x14">
            <control shapeId="2284" name="Check Box 236" r:id="rId64">
              <controlPr defaultSize="0">
                <anchor moveWithCells="1">
                  <from>
                    <xdr:col>20</xdr:col>
                    <xdr:colOff>0</xdr:colOff>
                    <xdr:row>26</xdr:row>
                    <xdr:rowOff>165100</xdr:rowOff>
                  </from>
                  <to>
                    <xdr:col>21</xdr:col>
                    <xdr:colOff>27305</xdr:colOff>
                    <xdr:row>27</xdr:row>
                    <xdr:rowOff>165100</xdr:rowOff>
                  </to>
                </anchor>
              </controlPr>
            </control>
          </mc:Choice>
        </mc:AlternateContent>
        <mc:AlternateContent xmlns:mc="http://schemas.openxmlformats.org/markup-compatibility/2006">
          <mc:Choice Requires="x14">
            <control shapeId="2285" name="Check Box 237" r:id="rId65">
              <controlPr defaultSize="0">
                <anchor moveWithCells="1">
                  <from>
                    <xdr:col>20</xdr:col>
                    <xdr:colOff>0</xdr:colOff>
                    <xdr:row>32</xdr:row>
                    <xdr:rowOff>165100</xdr:rowOff>
                  </from>
                  <to>
                    <xdr:col>21</xdr:col>
                    <xdr:colOff>27305</xdr:colOff>
                    <xdr:row>33</xdr:row>
                    <xdr:rowOff>165100</xdr:rowOff>
                  </to>
                </anchor>
              </controlPr>
            </control>
          </mc:Choice>
        </mc:AlternateContent>
        <mc:AlternateContent xmlns:mc="http://schemas.openxmlformats.org/markup-compatibility/2006">
          <mc:Choice Requires="x14">
            <control shapeId="2286" name="Check Box 238" r:id="rId66">
              <controlPr defaultSize="0">
                <anchor moveWithCells="1">
                  <from>
                    <xdr:col>20</xdr:col>
                    <xdr:colOff>0</xdr:colOff>
                    <xdr:row>26</xdr:row>
                    <xdr:rowOff>165100</xdr:rowOff>
                  </from>
                  <to>
                    <xdr:col>21</xdr:col>
                    <xdr:colOff>27305</xdr:colOff>
                    <xdr:row>27</xdr:row>
                    <xdr:rowOff>165100</xdr:rowOff>
                  </to>
                </anchor>
              </controlPr>
            </control>
          </mc:Choice>
        </mc:AlternateContent>
        <mc:AlternateContent xmlns:mc="http://schemas.openxmlformats.org/markup-compatibility/2006">
          <mc:Choice Requires="x14">
            <control shapeId="2287" name="Check Box 239" r:id="rId67">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88" name="Check Box 240" r:id="rId68">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89" name="Check Box 241" r:id="rId69">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90" name="Check Box 242" r:id="rId70">
              <controlPr defaultSize="0">
                <anchor moveWithCells="1">
                  <from>
                    <xdr:col>20</xdr:col>
                    <xdr:colOff>0</xdr:colOff>
                    <xdr:row>32</xdr:row>
                    <xdr:rowOff>165100</xdr:rowOff>
                  </from>
                  <to>
                    <xdr:col>21</xdr:col>
                    <xdr:colOff>27305</xdr:colOff>
                    <xdr:row>33</xdr:row>
                    <xdr:rowOff>165100</xdr:rowOff>
                  </to>
                </anchor>
              </controlPr>
            </control>
          </mc:Choice>
        </mc:AlternateContent>
        <mc:AlternateContent xmlns:mc="http://schemas.openxmlformats.org/markup-compatibility/2006">
          <mc:Choice Requires="x14">
            <control shapeId="2291" name="Check Box 243" r:id="rId71">
              <controlPr defaultSize="0">
                <anchor moveWithCells="1">
                  <from>
                    <xdr:col>20</xdr:col>
                    <xdr:colOff>0</xdr:colOff>
                    <xdr:row>32</xdr:row>
                    <xdr:rowOff>165100</xdr:rowOff>
                  </from>
                  <to>
                    <xdr:col>21</xdr:col>
                    <xdr:colOff>27305</xdr:colOff>
                    <xdr:row>33</xdr:row>
                    <xdr:rowOff>165100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4c9a2db-a860-485b-8cec-c886071226c7}">
            <x14:dataBar minLength="0" maxLength="100" direction="leftToRight">
              <x14:cfvo type="num">
                <xm:f>0</xm:f>
              </x14:cfvo>
              <x14:cfvo type="num">
                <xm:f>355000</xm:f>
              </x14:cfvo>
              <x14:negativeFillColor rgb="FFFF0000"/>
              <x14:axisColor rgb="FF000000"/>
            </x14:dataBar>
          </x14:cfRule>
          <xm:sqref>S4:X4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362"/>
  <sheetViews>
    <sheetView topLeftCell="AI76" workbookViewId="0">
      <selection activeCell="BA138" sqref="BA138"/>
    </sheetView>
  </sheetViews>
  <sheetFormatPr defaultColWidth="9" defaultRowHeight="16.5" customHeight="1"/>
  <cols>
    <col min="1" max="1" width="3.12727272727273" style="248" customWidth="1"/>
    <col min="2" max="2" width="9" style="248"/>
    <col min="3" max="3" width="4.75454545454545" style="248" customWidth="1"/>
    <col min="4" max="4" width="2.62727272727273" style="249" customWidth="1"/>
    <col min="5" max="5" width="3.12727272727273" style="248" customWidth="1"/>
    <col min="6" max="6" width="9" style="248"/>
    <col min="7" max="7" width="4.75454545454545" style="248" customWidth="1"/>
    <col min="8" max="8" width="2.62727272727273" style="249" customWidth="1"/>
    <col min="9" max="9" width="3.12727272727273" style="248" customWidth="1"/>
    <col min="10" max="10" width="9" style="248"/>
    <col min="11" max="11" width="4.75454545454545" style="248" customWidth="1"/>
    <col min="12" max="12" width="2.62727272727273" style="249" customWidth="1"/>
    <col min="13" max="18" width="9" style="248"/>
    <col min="19" max="21" width="9.00909090909091" style="248" customWidth="1"/>
    <col min="22" max="16384" width="9" style="248"/>
  </cols>
  <sheetData>
    <row r="1" customHeight="1" spans="1:38">
      <c r="A1" s="250">
        <v>1</v>
      </c>
      <c r="B1" s="251" t="str">
        <f>IF(法术书I!W8="","",法术书I!W8)</f>
        <v/>
      </c>
      <c r="C1" s="250" t="str">
        <f>IFERROR(VLOOKUP(B1,列表!$B:$B,1,FALSE),"QuQ")</f>
        <v>QuQ</v>
      </c>
      <c r="D1" s="252" t="str">
        <f>IFERROR(VLOOKUP(C1,列表!$B:$T,17,FALSE),"")</f>
        <v/>
      </c>
      <c r="E1" s="250">
        <v>1</v>
      </c>
      <c r="F1" s="251" t="str">
        <f>IF(法术书II!W8="","",法术书II!W8)</f>
        <v/>
      </c>
      <c r="G1" s="250" t="str">
        <f>IFERROR(VLOOKUP(F1,列表!$B:$B,1,FALSE),"QuQ")</f>
        <v>QuQ</v>
      </c>
      <c r="H1" s="252" t="str">
        <f>IFERROR(VLOOKUP(G1,列表!$B:$T,17,FALSE),"")</f>
        <v/>
      </c>
      <c r="I1" s="250">
        <v>1</v>
      </c>
      <c r="J1" s="251" t="str">
        <f>IF(法术书III!W8="","",法术书III!W8)</f>
        <v/>
      </c>
      <c r="K1" s="250" t="str">
        <f>IFERROR(VLOOKUP(J1,列表!$B:$B,1,FALSE),"QuQ")</f>
        <v>QuQ</v>
      </c>
      <c r="L1" s="252" t="str">
        <f>IFERROR(VLOOKUP(K1,列表!$B:$T,17,FALSE),"")</f>
        <v/>
      </c>
      <c r="N1" s="248" t="s">
        <v>185</v>
      </c>
      <c r="O1" s="250">
        <v>1</v>
      </c>
      <c r="Q1" s="250" t="s">
        <v>186</v>
      </c>
      <c r="R1" s="250">
        <v>0</v>
      </c>
      <c r="T1" s="253" t="s">
        <v>187</v>
      </c>
      <c r="U1" s="253" t="s">
        <v>134</v>
      </c>
      <c r="V1" s="253" t="s">
        <v>135</v>
      </c>
      <c r="W1" s="253" t="s">
        <v>136</v>
      </c>
      <c r="X1" s="253" t="s">
        <v>137</v>
      </c>
      <c r="Y1" s="253" t="s">
        <v>138</v>
      </c>
    </row>
    <row r="2" customHeight="1" spans="1:38">
      <c r="A2" s="250">
        <v>2</v>
      </c>
      <c r="B2" s="251" t="str">
        <f>IF(法术书I!W9="","",法术书I!W9)</f>
        <v/>
      </c>
      <c r="C2" s="250" t="str">
        <f>IFERROR(VLOOKUP(B2,列表!$B:$B,1,FALSE),"QuQ")</f>
        <v>QuQ</v>
      </c>
      <c r="D2" s="252" t="str">
        <f>IFERROR(VLOOKUP(C2,列表!$B:$T,17,FALSE),"")</f>
        <v/>
      </c>
      <c r="E2" s="250">
        <v>2</v>
      </c>
      <c r="F2" s="251" t="str">
        <f>IF(法术书II!W9="","",法术书II!W9)</f>
        <v/>
      </c>
      <c r="G2" s="250" t="str">
        <f>IFERROR(VLOOKUP(F2,列表!$B:$B,1,FALSE),"QuQ")</f>
        <v>QuQ</v>
      </c>
      <c r="H2" s="252" t="str">
        <f>IFERROR(VLOOKUP(G2,列表!$B:$T,17,FALSE),"")</f>
        <v/>
      </c>
      <c r="I2" s="250">
        <v>2</v>
      </c>
      <c r="J2" s="251" t="str">
        <f>IF(法术书III!W9="","",法术书III!W9)</f>
        <v/>
      </c>
      <c r="K2" s="250" t="str">
        <f>IFERROR(VLOOKUP(J2,列表!$B:$B,1,FALSE),"QuQ")</f>
        <v>QuQ</v>
      </c>
      <c r="L2" s="252" t="str">
        <f>IFERROR(VLOOKUP(K2,列表!$B:$T,17,FALSE),"")</f>
        <v/>
      </c>
      <c r="N2" s="248" t="s">
        <v>188</v>
      </c>
      <c r="O2" s="250">
        <v>1</v>
      </c>
      <c r="Q2" s="250" t="s">
        <v>189</v>
      </c>
      <c r="R2" s="250">
        <v>1</v>
      </c>
      <c r="T2" s="253" t="s">
        <v>134</v>
      </c>
      <c r="U2" s="254">
        <v>1</v>
      </c>
      <c r="V2" s="254">
        <f>1/10</f>
        <v>0.1</v>
      </c>
      <c r="W2" s="254">
        <f>1/50</f>
        <v>0.02</v>
      </c>
      <c r="X2" s="254">
        <f>1/100</f>
        <v>0.01</v>
      </c>
      <c r="Y2" s="254">
        <f>1/1000</f>
        <v>0.001</v>
      </c>
      <c r="Z2" s="253">
        <v>1</v>
      </c>
    </row>
    <row r="3" customHeight="1" spans="1:38">
      <c r="A3" s="250">
        <v>3</v>
      </c>
      <c r="B3" s="251" t="str">
        <f>IF(法术书I!W10="","",法术书I!W10)</f>
        <v/>
      </c>
      <c r="C3" s="250" t="str">
        <f>IFERROR(VLOOKUP(B3,列表!$B:$B,1,FALSE),"QuQ")</f>
        <v>QuQ</v>
      </c>
      <c r="D3" s="252" t="str">
        <f>IFERROR(VLOOKUP(C3,列表!$B:$T,17,FALSE),"")</f>
        <v/>
      </c>
      <c r="E3" s="250">
        <v>3</v>
      </c>
      <c r="F3" s="251" t="str">
        <f>IF(法术书II!W10="","",法术书II!W10)</f>
        <v/>
      </c>
      <c r="G3" s="250" t="str">
        <f>IFERROR(VLOOKUP(F3,列表!$B:$B,1,FALSE),"QuQ")</f>
        <v>QuQ</v>
      </c>
      <c r="H3" s="252" t="str">
        <f>IFERROR(VLOOKUP(G3,列表!$B:$T,17,FALSE),"")</f>
        <v/>
      </c>
      <c r="I3" s="250">
        <v>3</v>
      </c>
      <c r="J3" s="251" t="str">
        <f>IF(法术书III!W10="","",法术书III!W10)</f>
        <v/>
      </c>
      <c r="K3" s="250" t="str">
        <f>IFERROR(VLOOKUP(J3,列表!$B:$B,1,FALSE),"QuQ")</f>
        <v>QuQ</v>
      </c>
      <c r="L3" s="252" t="str">
        <f>IFERROR(VLOOKUP(K3,列表!$B:$T,17,FALSE),"")</f>
        <v/>
      </c>
      <c r="N3" s="248" t="s">
        <v>188</v>
      </c>
      <c r="O3" s="250">
        <v>1</v>
      </c>
      <c r="Q3" s="250" t="s">
        <v>190</v>
      </c>
      <c r="R3" s="250">
        <v>2</v>
      </c>
      <c r="T3" s="253" t="s">
        <v>135</v>
      </c>
      <c r="U3" s="254">
        <v>10</v>
      </c>
      <c r="V3" s="254">
        <v>1</v>
      </c>
      <c r="W3" s="254">
        <f>1/5</f>
        <v>0.2</v>
      </c>
      <c r="X3" s="254">
        <f>1/10</f>
        <v>0.1</v>
      </c>
      <c r="Y3" s="254">
        <f>1/100</f>
        <v>0.01</v>
      </c>
      <c r="Z3" s="253">
        <v>2</v>
      </c>
    </row>
    <row r="4" customHeight="1" spans="1:38">
      <c r="A4" s="250">
        <v>4</v>
      </c>
      <c r="B4" s="251" t="str">
        <f>IF(法术书I!W11="","",法术书I!W11)</f>
        <v/>
      </c>
      <c r="C4" s="250" t="str">
        <f>IFERROR(VLOOKUP(B4,列表!$B:$B,1,FALSE),"QuQ")</f>
        <v>QuQ</v>
      </c>
      <c r="D4" s="252" t="str">
        <f>IFERROR(VLOOKUP(C4,列表!$B:$T,17,FALSE),"")</f>
        <v/>
      </c>
      <c r="E4" s="250">
        <v>4</v>
      </c>
      <c r="F4" s="251" t="str">
        <f>IF(法术书II!W11="","",法术书II!W11)</f>
        <v/>
      </c>
      <c r="G4" s="250" t="str">
        <f>IFERROR(VLOOKUP(F4,列表!$B:$B,1,FALSE),"QuQ")</f>
        <v>QuQ</v>
      </c>
      <c r="H4" s="252" t="str">
        <f>IFERROR(VLOOKUP(G4,列表!$B:$T,17,FALSE),"")</f>
        <v/>
      </c>
      <c r="I4" s="250">
        <v>4</v>
      </c>
      <c r="J4" s="251" t="str">
        <f>IF(法术书III!W11="","",法术书III!W11)</f>
        <v/>
      </c>
      <c r="K4" s="250" t="str">
        <f>IFERROR(VLOOKUP(J4,列表!$B:$B,1,FALSE),"QuQ")</f>
        <v>QuQ</v>
      </c>
      <c r="L4" s="252" t="str">
        <f>IFERROR(VLOOKUP(K4,列表!$B:$T,17,FALSE),"")</f>
        <v/>
      </c>
      <c r="Q4" s="250" t="s">
        <v>191</v>
      </c>
      <c r="R4" s="250">
        <v>3</v>
      </c>
      <c r="T4" s="253" t="s">
        <v>136</v>
      </c>
      <c r="U4" s="254">
        <v>50</v>
      </c>
      <c r="V4" s="254">
        <v>5</v>
      </c>
      <c r="W4" s="254">
        <v>1</v>
      </c>
      <c r="X4" s="254">
        <f>1/2</f>
        <v>0.5</v>
      </c>
      <c r="Y4" s="254">
        <f>1/20</f>
        <v>0.05</v>
      </c>
      <c r="Z4" s="253">
        <v>3</v>
      </c>
    </row>
    <row r="5" customHeight="1" spans="1:38">
      <c r="A5" s="250">
        <v>5</v>
      </c>
      <c r="B5" s="251" t="str">
        <f>IF(法术书I!W12="","",法术书I!W12)</f>
        <v/>
      </c>
      <c r="C5" s="250" t="str">
        <f>IFERROR(VLOOKUP(B5,列表!$B:$B,1,FALSE),"QuQ")</f>
        <v>QuQ</v>
      </c>
      <c r="D5" s="252" t="str">
        <f>IFERROR(VLOOKUP(C5,列表!$B:$T,17,FALSE),"")</f>
        <v/>
      </c>
      <c r="E5" s="250">
        <v>5</v>
      </c>
      <c r="F5" s="251" t="str">
        <f>IF(法术书II!W12="","",法术书II!W12)</f>
        <v/>
      </c>
      <c r="G5" s="250" t="str">
        <f>IFERROR(VLOOKUP(F5,列表!$B:$B,1,FALSE),"QuQ")</f>
        <v>QuQ</v>
      </c>
      <c r="H5" s="252" t="str">
        <f>IFERROR(VLOOKUP(G5,列表!$B:$T,17,FALSE),"")</f>
        <v/>
      </c>
      <c r="I5" s="250">
        <v>5</v>
      </c>
      <c r="J5" s="251" t="str">
        <f>IF(法术书III!W12="","",法术书III!W12)</f>
        <v/>
      </c>
      <c r="K5" s="250" t="str">
        <f>IFERROR(VLOOKUP(J5,列表!$B:$B,1,FALSE),"QuQ")</f>
        <v>QuQ</v>
      </c>
      <c r="L5" s="252" t="str">
        <f>IFERROR(VLOOKUP(K5,列表!$B:$T,17,FALSE),"")</f>
        <v/>
      </c>
      <c r="O5" s="255" t="s">
        <v>192</v>
      </c>
      <c r="Q5" s="250" t="s">
        <v>193</v>
      </c>
      <c r="R5" s="250">
        <v>4</v>
      </c>
      <c r="T5" s="253" t="s">
        <v>137</v>
      </c>
      <c r="U5" s="254">
        <v>100</v>
      </c>
      <c r="V5" s="254">
        <v>10</v>
      </c>
      <c r="W5" s="254">
        <v>2</v>
      </c>
      <c r="X5" s="254">
        <v>1</v>
      </c>
      <c r="Y5" s="254">
        <f>1/10</f>
        <v>0.1</v>
      </c>
      <c r="Z5" s="253">
        <v>4</v>
      </c>
    </row>
    <row r="6" customHeight="1" spans="1:38">
      <c r="A6" s="250">
        <v>6</v>
      </c>
      <c r="B6" s="251" t="str">
        <f>IF(法术书I!W13="","",法术书I!W13)</f>
        <v/>
      </c>
      <c r="C6" s="250" t="str">
        <f>IFERROR(VLOOKUP(B6,列表!$B:$B,1,FALSE),"QuQ")</f>
        <v>QuQ</v>
      </c>
      <c r="D6" s="252" t="str">
        <f>IFERROR(VLOOKUP(C6,列表!$B:$T,17,FALSE),"")</f>
        <v/>
      </c>
      <c r="E6" s="250">
        <v>6</v>
      </c>
      <c r="F6" s="251" t="str">
        <f>IF(法术书II!W13="","",法术书II!W13)</f>
        <v/>
      </c>
      <c r="G6" s="250" t="str">
        <f>IFERROR(VLOOKUP(F6,列表!$B:$B,1,FALSE),"QuQ")</f>
        <v>QuQ</v>
      </c>
      <c r="H6" s="252" t="str">
        <f>IFERROR(VLOOKUP(G6,列表!$B:$T,17,FALSE),"")</f>
        <v/>
      </c>
      <c r="I6" s="250">
        <v>6</v>
      </c>
      <c r="J6" s="251" t="str">
        <f>IF(法术书III!W13="","",法术书III!W13)</f>
        <v/>
      </c>
      <c r="K6" s="250" t="str">
        <f>IFERROR(VLOOKUP(J6,列表!$B:$B,1,FALSE),"QuQ")</f>
        <v>QuQ</v>
      </c>
      <c r="L6" s="252" t="str">
        <f>IFERROR(VLOOKUP(K6,列表!$B:$T,17,FALSE),"")</f>
        <v/>
      </c>
      <c r="O6" s="255" t="s">
        <v>194</v>
      </c>
      <c r="Q6" s="250" t="s">
        <v>195</v>
      </c>
      <c r="R6" s="250">
        <v>5</v>
      </c>
      <c r="T6" s="253" t="s">
        <v>138</v>
      </c>
      <c r="U6" s="254">
        <v>1000</v>
      </c>
      <c r="V6" s="254">
        <v>100</v>
      </c>
      <c r="W6" s="254">
        <v>20</v>
      </c>
      <c r="X6" s="254">
        <v>10</v>
      </c>
      <c r="Y6" s="254">
        <v>1</v>
      </c>
      <c r="Z6" s="253">
        <v>5</v>
      </c>
    </row>
    <row r="7" customHeight="1" spans="1:38">
      <c r="A7" s="250">
        <v>7</v>
      </c>
      <c r="B7" s="251" t="str">
        <f>IF(法术书I!W14="","",法术书I!W14)</f>
        <v/>
      </c>
      <c r="C7" s="250" t="str">
        <f>IFERROR(VLOOKUP(B7,列表!$B:$B,1,FALSE),"QuQ")</f>
        <v>QuQ</v>
      </c>
      <c r="D7" s="252" t="str">
        <f>IFERROR(VLOOKUP(C7,列表!$B:$T,17,FALSE),"")</f>
        <v/>
      </c>
      <c r="E7" s="250">
        <v>7</v>
      </c>
      <c r="F7" s="251" t="str">
        <f>IF(法术书II!W14="","",法术书II!W14)</f>
        <v/>
      </c>
      <c r="G7" s="250" t="str">
        <f>IFERROR(VLOOKUP(F7,列表!$B:$B,1,FALSE),"QuQ")</f>
        <v>QuQ</v>
      </c>
      <c r="H7" s="252" t="str">
        <f>IFERROR(VLOOKUP(G7,列表!$B:$T,17,FALSE),"")</f>
        <v/>
      </c>
      <c r="I7" s="250">
        <v>7</v>
      </c>
      <c r="J7" s="251" t="str">
        <f>IF(法术书III!W14="","",法术书III!W14)</f>
        <v/>
      </c>
      <c r="K7" s="250" t="str">
        <f>IFERROR(VLOOKUP(J7,列表!$B:$B,1,FALSE),"QuQ")</f>
        <v>QuQ</v>
      </c>
      <c r="L7" s="252" t="str">
        <f>IFERROR(VLOOKUP(K7,列表!$B:$T,17,FALSE),"")</f>
        <v/>
      </c>
      <c r="O7" s="255" t="s">
        <v>196</v>
      </c>
      <c r="Q7" s="250" t="s">
        <v>197</v>
      </c>
      <c r="R7" s="250">
        <v>6</v>
      </c>
      <c r="U7" s="253">
        <v>1</v>
      </c>
      <c r="V7" s="253">
        <v>2</v>
      </c>
      <c r="W7" s="253">
        <v>3</v>
      </c>
      <c r="X7" s="253">
        <v>4</v>
      </c>
      <c r="Y7" s="253">
        <v>5</v>
      </c>
    </row>
    <row r="8" customHeight="1" spans="1:38">
      <c r="A8" s="250">
        <v>8</v>
      </c>
      <c r="B8" s="251" t="str">
        <f>IF(法术书I!W15="","",法术书I!W15)</f>
        <v/>
      </c>
      <c r="C8" s="250" t="str">
        <f>IFERROR(VLOOKUP(B8,列表!$B:$B,1,FALSE),"QuQ")</f>
        <v>QuQ</v>
      </c>
      <c r="D8" s="252" t="str">
        <f>IFERROR(VLOOKUP(C8,列表!$B:$T,17,FALSE),"")</f>
        <v/>
      </c>
      <c r="E8" s="250">
        <v>8</v>
      </c>
      <c r="F8" s="251" t="str">
        <f>IF(法术书II!W15="","",法术书II!W15)</f>
        <v/>
      </c>
      <c r="G8" s="250" t="str">
        <f>IFERROR(VLOOKUP(F8,列表!$B:$B,1,FALSE),"QuQ")</f>
        <v>QuQ</v>
      </c>
      <c r="H8" s="252" t="str">
        <f>IFERROR(VLOOKUP(G8,列表!$B:$T,17,FALSE),"")</f>
        <v/>
      </c>
      <c r="I8" s="250">
        <v>8</v>
      </c>
      <c r="J8" s="251" t="str">
        <f>IF(法术书III!W15="","",法术书III!W15)</f>
        <v/>
      </c>
      <c r="K8" s="250" t="str">
        <f>IFERROR(VLOOKUP(J8,列表!$B:$B,1,FALSE),"QuQ")</f>
        <v>QuQ</v>
      </c>
      <c r="L8" s="252" t="str">
        <f>IFERROR(VLOOKUP(K8,列表!$B:$T,17,FALSE),"")</f>
        <v/>
      </c>
      <c r="Q8" s="250" t="s">
        <v>198</v>
      </c>
      <c r="R8" s="250">
        <v>7</v>
      </c>
    </row>
    <row r="9" customHeight="1" spans="1:38">
      <c r="A9" s="250">
        <v>9</v>
      </c>
      <c r="B9" s="251" t="str">
        <f>IF(法术书I!W16="","",法术书I!W16)</f>
        <v/>
      </c>
      <c r="C9" s="250" t="str">
        <f>IFERROR(VLOOKUP(B9,列表!$B:$B,1,FALSE),"QuQ")</f>
        <v>QuQ</v>
      </c>
      <c r="D9" s="252" t="str">
        <f>IFERROR(VLOOKUP(C9,列表!$B:$T,17,FALSE),"")</f>
        <v/>
      </c>
      <c r="E9" s="250">
        <v>9</v>
      </c>
      <c r="F9" s="251" t="str">
        <f>IF(法术书II!W16="","",法术书II!W16)</f>
        <v/>
      </c>
      <c r="G9" s="250" t="str">
        <f>IFERROR(VLOOKUP(F9,列表!$B:$B,1,FALSE),"QuQ")</f>
        <v>QuQ</v>
      </c>
      <c r="H9" s="252" t="str">
        <f>IFERROR(VLOOKUP(G9,列表!$B:$T,17,FALSE),"")</f>
        <v/>
      </c>
      <c r="I9" s="250">
        <v>9</v>
      </c>
      <c r="J9" s="251" t="str">
        <f>IF(法术书III!W16="","",法术书III!W16)</f>
        <v/>
      </c>
      <c r="K9" s="250" t="str">
        <f>IFERROR(VLOOKUP(J9,列表!$B:$B,1,FALSE),"QuQ")</f>
        <v>QuQ</v>
      </c>
      <c r="L9" s="252" t="str">
        <f>IFERROR(VLOOKUP(K9,列表!$B:$T,17,FALSE),"")</f>
        <v/>
      </c>
      <c r="O9" s="253" t="s">
        <v>199</v>
      </c>
      <c r="P9" s="253" t="s">
        <v>200</v>
      </c>
      <c r="Q9" s="250" t="s">
        <v>201</v>
      </c>
      <c r="R9" s="250">
        <v>8</v>
      </c>
      <c r="T9" s="256" t="s">
        <v>75</v>
      </c>
      <c r="U9" s="256" t="s">
        <v>75</v>
      </c>
      <c r="V9" s="257" t="str">
        <f>""</f>
        <v/>
      </c>
      <c r="W9" s="257"/>
      <c r="X9" s="258" t="s">
        <v>68</v>
      </c>
      <c r="Y9" s="258" t="s">
        <v>202</v>
      </c>
      <c r="Z9" s="258" t="s">
        <v>203</v>
      </c>
      <c r="AA9" s="258" t="s">
        <v>71</v>
      </c>
      <c r="AB9" s="258" t="s">
        <v>204</v>
      </c>
      <c r="AE9" s="259"/>
      <c r="AF9" s="260"/>
      <c r="AG9" s="260" t="s">
        <v>38</v>
      </c>
      <c r="AH9" s="260" t="s">
        <v>43</v>
      </c>
      <c r="AI9" s="260" t="s">
        <v>46</v>
      </c>
      <c r="AJ9" s="260" t="s">
        <v>52</v>
      </c>
      <c r="AK9" s="260" t="s">
        <v>53</v>
      </c>
      <c r="AL9" s="260" t="s">
        <v>57</v>
      </c>
    </row>
    <row r="10" customHeight="1" spans="1:38">
      <c r="A10" s="250">
        <v>10</v>
      </c>
      <c r="B10" s="251" t="str">
        <f>IF(法术书I!W17="","",法术书I!W17)</f>
        <v/>
      </c>
      <c r="C10" s="250" t="str">
        <f>IFERROR(VLOOKUP(B10,列表!$B:$B,1,FALSE),"QuQ")</f>
        <v>QuQ</v>
      </c>
      <c r="D10" s="252" t="str">
        <f>IFERROR(VLOOKUP(C10,列表!$B:$T,17,FALSE),"")</f>
        <v/>
      </c>
      <c r="E10" s="250">
        <v>10</v>
      </c>
      <c r="F10" s="251" t="str">
        <f>IF(法术书II!W17="","",法术书II!W17)</f>
        <v/>
      </c>
      <c r="G10" s="250" t="str">
        <f>IFERROR(VLOOKUP(F10,列表!$B:$B,1,FALSE),"QuQ")</f>
        <v>QuQ</v>
      </c>
      <c r="H10" s="252" t="str">
        <f>IFERROR(VLOOKUP(G10,列表!$B:$T,17,FALSE),"")</f>
        <v/>
      </c>
      <c r="I10" s="250">
        <v>10</v>
      </c>
      <c r="J10" s="251" t="str">
        <f>IF(法术书III!W17="","",法术书III!W17)</f>
        <v/>
      </c>
      <c r="K10" s="250" t="str">
        <f>IFERROR(VLOOKUP(J10,列表!$B:$B,1,FALSE),"QuQ")</f>
        <v>QuQ</v>
      </c>
      <c r="L10" s="252" t="str">
        <f>IFERROR(VLOOKUP(K10,列表!$B:$T,17,FALSE),"")</f>
        <v/>
      </c>
      <c r="O10" s="253" t="s">
        <v>205</v>
      </c>
      <c r="P10" s="253" t="s">
        <v>200</v>
      </c>
      <c r="Q10" s="250" t="s">
        <v>206</v>
      </c>
      <c r="R10" s="250">
        <v>9</v>
      </c>
      <c r="T10" s="256" t="s">
        <v>207</v>
      </c>
      <c r="U10" s="256" t="s">
        <v>208</v>
      </c>
      <c r="V10" s="261" t="str">
        <f>""</f>
        <v/>
      </c>
      <c r="X10" s="248" t="s">
        <v>75</v>
      </c>
      <c r="AE10" s="259">
        <v>1</v>
      </c>
      <c r="AF10" s="262">
        <v>1</v>
      </c>
      <c r="AG10" s="263" t="s">
        <v>209</v>
      </c>
      <c r="AH10" s="263" t="s">
        <v>210</v>
      </c>
      <c r="AI10" s="263" t="s">
        <v>211</v>
      </c>
      <c r="AJ10" s="263" t="s">
        <v>212</v>
      </c>
      <c r="AK10" s="263" t="s">
        <v>213</v>
      </c>
      <c r="AL10" s="263" t="s">
        <v>214</v>
      </c>
    </row>
    <row r="11" customHeight="1" spans="1:38">
      <c r="A11" s="250">
        <v>11</v>
      </c>
      <c r="B11" s="251" t="str">
        <f>IF(法术书I!W18="","",法术书I!W18)</f>
        <v/>
      </c>
      <c r="C11" s="250" t="str">
        <f>IFERROR(VLOOKUP(B11,列表!$B:$B,1,FALSE),"QuQ")</f>
        <v>QuQ</v>
      </c>
      <c r="D11" s="252" t="str">
        <f>IFERROR(VLOOKUP(C11,列表!$B:$T,17,FALSE),"")</f>
        <v/>
      </c>
      <c r="E11" s="250">
        <v>11</v>
      </c>
      <c r="F11" s="251" t="str">
        <f>IF(法术书II!W18="","",法术书II!W18)</f>
        <v/>
      </c>
      <c r="G11" s="250" t="str">
        <f>IFERROR(VLOOKUP(F11,列表!$B:$B,1,FALSE),"QuQ")</f>
        <v>QuQ</v>
      </c>
      <c r="H11" s="252" t="str">
        <f>IFERROR(VLOOKUP(G11,列表!$B:$T,17,FALSE),"")</f>
        <v/>
      </c>
      <c r="I11" s="250">
        <v>11</v>
      </c>
      <c r="J11" s="251" t="str">
        <f>IF(法术书III!W18="","",法术书III!W18)</f>
        <v/>
      </c>
      <c r="K11" s="250" t="str">
        <f>IFERROR(VLOOKUP(J11,列表!$B:$B,1,FALSE),"QuQ")</f>
        <v>QuQ</v>
      </c>
      <c r="L11" s="252" t="str">
        <f>IFERROR(VLOOKUP(K11,列表!$B:$T,17,FALSE),"")</f>
        <v/>
      </c>
      <c r="O11" s="253" t="s">
        <v>215</v>
      </c>
      <c r="P11" s="253" t="s">
        <v>200</v>
      </c>
      <c r="T11" s="256" t="s">
        <v>216</v>
      </c>
      <c r="U11" s="256" t="s">
        <v>217</v>
      </c>
      <c r="V11" s="264"/>
      <c r="W11" s="262" t="s">
        <v>218</v>
      </c>
      <c r="X11" s="265" t="s">
        <v>219</v>
      </c>
      <c r="Y11" s="265" t="s">
        <v>220</v>
      </c>
      <c r="Z11" s="265" t="s">
        <v>221</v>
      </c>
      <c r="AA11" s="265" t="s">
        <v>222</v>
      </c>
      <c r="AB11" s="265" t="s">
        <v>223</v>
      </c>
      <c r="AC11" s="266" t="s">
        <v>38</v>
      </c>
      <c r="AE11" s="259"/>
      <c r="AF11" s="262">
        <v>2</v>
      </c>
      <c r="AG11" s="263" t="s">
        <v>224</v>
      </c>
      <c r="AH11" s="263" t="s">
        <v>225</v>
      </c>
      <c r="AI11" s="263" t="s">
        <v>226</v>
      </c>
      <c r="AJ11" s="263" t="s">
        <v>227</v>
      </c>
      <c r="AK11" s="263" t="s">
        <v>228</v>
      </c>
      <c r="AL11" s="263" t="s">
        <v>229</v>
      </c>
    </row>
    <row r="12" customHeight="1" spans="1:38">
      <c r="A12" s="250">
        <v>12</v>
      </c>
      <c r="B12" s="251" t="str">
        <f>IF(法术书I!W19="","",法术书I!W19)</f>
        <v/>
      </c>
      <c r="C12" s="250" t="str">
        <f>IFERROR(VLOOKUP(B12,列表!$B:$B,1,FALSE),"QuQ")</f>
        <v>QuQ</v>
      </c>
      <c r="D12" s="252" t="str">
        <f>IFERROR(VLOOKUP(C12,列表!$B:$T,17,FALSE),"")</f>
        <v/>
      </c>
      <c r="E12" s="250">
        <v>12</v>
      </c>
      <c r="F12" s="251" t="str">
        <f>IF(法术书II!W19="","",法术书II!W19)</f>
        <v/>
      </c>
      <c r="G12" s="250" t="str">
        <f>IFERROR(VLOOKUP(F12,列表!$B:$B,1,FALSE),"QuQ")</f>
        <v>QuQ</v>
      </c>
      <c r="H12" s="252" t="str">
        <f>IFERROR(VLOOKUP(G12,列表!$B:$T,17,FALSE),"")</f>
        <v/>
      </c>
      <c r="I12" s="250">
        <v>12</v>
      </c>
      <c r="J12" s="251" t="str">
        <f>IF(法术书III!W19="","",法术书III!W19)</f>
        <v/>
      </c>
      <c r="K12" s="250" t="str">
        <f>IFERROR(VLOOKUP(J12,列表!$B:$B,1,FALSE),"QuQ")</f>
        <v>QuQ</v>
      </c>
      <c r="L12" s="252" t="str">
        <f>IFERROR(VLOOKUP(K12,列表!$B:$T,17,FALSE),"")</f>
        <v/>
      </c>
      <c r="O12" s="253" t="s">
        <v>230</v>
      </c>
      <c r="P12" s="253">
        <f>主要!I19+主要!Y3</f>
        <v>0</v>
      </c>
      <c r="Q12" s="248" t="s">
        <v>75</v>
      </c>
      <c r="R12" s="267" t="s">
        <v>231</v>
      </c>
      <c r="T12" s="256" t="s">
        <v>232</v>
      </c>
      <c r="U12" s="256" t="s">
        <v>233</v>
      </c>
      <c r="V12" s="264"/>
      <c r="W12" s="262"/>
      <c r="X12" s="265" t="s">
        <v>234</v>
      </c>
      <c r="Y12" s="265" t="s">
        <v>235</v>
      </c>
      <c r="Z12" s="265" t="s">
        <v>236</v>
      </c>
      <c r="AA12" s="265" t="s">
        <v>237</v>
      </c>
      <c r="AB12" s="265" t="s">
        <v>238</v>
      </c>
      <c r="AC12" s="268" t="str">
        <f>IF(主要!$I$11&gt;=主要!$I$13,"力量","敏捷")</f>
        <v>力量</v>
      </c>
      <c r="AE12" s="259"/>
      <c r="AF12" s="262">
        <v>3</v>
      </c>
      <c r="AG12" s="263" t="s">
        <v>239</v>
      </c>
      <c r="AH12" s="263" t="s">
        <v>240</v>
      </c>
      <c r="AI12" s="263" t="s">
        <v>241</v>
      </c>
      <c r="AJ12" s="263" t="s">
        <v>242</v>
      </c>
      <c r="AK12" s="263" t="s">
        <v>243</v>
      </c>
      <c r="AL12" s="263" t="s">
        <v>244</v>
      </c>
    </row>
    <row r="13" customHeight="1" spans="1:38">
      <c r="A13" s="250">
        <v>13</v>
      </c>
      <c r="B13" s="251" t="str">
        <f>IF(法术书I!W20="","",法术书I!W20)</f>
        <v/>
      </c>
      <c r="C13" s="250" t="str">
        <f>IFERROR(VLOOKUP(B13,列表!$B:$B,1,FALSE),"QuQ")</f>
        <v>QuQ</v>
      </c>
      <c r="D13" s="252" t="str">
        <f>IFERROR(VLOOKUP(C13,列表!$B:$T,17,FALSE),"")</f>
        <v/>
      </c>
      <c r="E13" s="250">
        <v>13</v>
      </c>
      <c r="F13" s="251" t="str">
        <f>IF(法术书II!W20="","",法术书II!W20)</f>
        <v/>
      </c>
      <c r="G13" s="250" t="str">
        <f>IFERROR(VLOOKUP(F13,列表!$B:$B,1,FALSE),"QuQ")</f>
        <v>QuQ</v>
      </c>
      <c r="H13" s="252" t="str">
        <f>IFERROR(VLOOKUP(G13,列表!$B:$T,17,FALSE),"")</f>
        <v/>
      </c>
      <c r="I13" s="250">
        <v>13</v>
      </c>
      <c r="J13" s="251" t="str">
        <f>IF(法术书III!W20="","",法术书III!W20)</f>
        <v/>
      </c>
      <c r="K13" s="250" t="str">
        <f>IFERROR(VLOOKUP(J13,列表!$B:$B,1,FALSE),"QuQ")</f>
        <v>QuQ</v>
      </c>
      <c r="L13" s="252" t="str">
        <f>IFERROR(VLOOKUP(K13,列表!$B:$T,17,FALSE),"")</f>
        <v/>
      </c>
      <c r="O13" s="253" t="s">
        <v>245</v>
      </c>
      <c r="P13" s="253">
        <f>主要!I19+INT(主要!Y3/2)</f>
        <v>0</v>
      </c>
      <c r="Q13" s="248" t="s">
        <v>246</v>
      </c>
      <c r="R13" s="248" t="b">
        <v>0</v>
      </c>
      <c r="T13" s="256" t="s">
        <v>247</v>
      </c>
      <c r="U13" s="256" t="s">
        <v>73</v>
      </c>
      <c r="V13" s="264"/>
      <c r="W13" s="262"/>
      <c r="X13" s="265" t="s">
        <v>248</v>
      </c>
      <c r="Y13" s="265" t="s">
        <v>249</v>
      </c>
      <c r="Z13" s="265" t="s">
        <v>250</v>
      </c>
      <c r="AA13" s="265" t="s">
        <v>251</v>
      </c>
      <c r="AB13" s="265" t="s">
        <v>252</v>
      </c>
      <c r="AC13" s="268" t="s">
        <v>38</v>
      </c>
      <c r="AE13" s="259">
        <v>2</v>
      </c>
      <c r="AF13" s="262">
        <v>4</v>
      </c>
      <c r="AG13" s="263" t="s">
        <v>253</v>
      </c>
      <c r="AH13" s="263" t="s">
        <v>254</v>
      </c>
      <c r="AI13" s="263" t="s">
        <v>255</v>
      </c>
      <c r="AJ13" s="263" t="s">
        <v>256</v>
      </c>
      <c r="AK13" s="263" t="s">
        <v>257</v>
      </c>
      <c r="AL13" s="263" t="s">
        <v>258</v>
      </c>
    </row>
    <row r="14" customHeight="1" spans="1:38">
      <c r="A14" s="250">
        <v>14</v>
      </c>
      <c r="B14" s="251" t="str">
        <f>IF(法术书I!W21="","",法术书I!W21)</f>
        <v/>
      </c>
      <c r="C14" s="250" t="str">
        <f>IFERROR(VLOOKUP(B14,列表!$B:$B,1,FALSE),"QuQ")</f>
        <v>QuQ</v>
      </c>
      <c r="D14" s="252" t="str">
        <f>IFERROR(VLOOKUP(C14,列表!$B:$T,17,FALSE),"")</f>
        <v/>
      </c>
      <c r="E14" s="250">
        <v>14</v>
      </c>
      <c r="F14" s="251" t="str">
        <f>IF(法术书II!W21="","",法术书II!W21)</f>
        <v/>
      </c>
      <c r="G14" s="250" t="str">
        <f>IFERROR(VLOOKUP(F14,列表!$B:$B,1,FALSE),"QuQ")</f>
        <v>QuQ</v>
      </c>
      <c r="H14" s="252" t="str">
        <f>IFERROR(VLOOKUP(G14,列表!$B:$T,17,FALSE),"")</f>
        <v/>
      </c>
      <c r="I14" s="250">
        <v>14</v>
      </c>
      <c r="J14" s="251" t="str">
        <f>IF(法术书III!W21="","",法术书III!W21)</f>
        <v/>
      </c>
      <c r="K14" s="250" t="str">
        <f>IFERROR(VLOOKUP(J14,列表!$B:$B,1,FALSE),"QuQ")</f>
        <v>QuQ</v>
      </c>
      <c r="L14" s="252" t="str">
        <f>IFERROR(VLOOKUP(K14,列表!$B:$T,17,FALSE),"")</f>
        <v/>
      </c>
      <c r="O14" s="253" t="s">
        <v>259</v>
      </c>
      <c r="P14" s="253">
        <f>主要!I19+主要!Y3</f>
        <v>0</v>
      </c>
      <c r="Q14" s="248" t="s">
        <v>260</v>
      </c>
      <c r="R14" s="248" t="b">
        <v>0</v>
      </c>
      <c r="T14" s="256" t="s">
        <v>261</v>
      </c>
      <c r="U14" s="259" t="s">
        <v>262</v>
      </c>
      <c r="V14" s="269"/>
      <c r="W14" s="262"/>
      <c r="X14" s="265" t="s">
        <v>263</v>
      </c>
      <c r="Y14" s="265" t="s">
        <v>264</v>
      </c>
      <c r="Z14" s="265" t="s">
        <v>265</v>
      </c>
      <c r="AA14" s="265" t="s">
        <v>222</v>
      </c>
      <c r="AB14" s="265" t="s">
        <v>266</v>
      </c>
      <c r="AC14" s="268" t="s">
        <v>38</v>
      </c>
      <c r="AE14" s="259"/>
      <c r="AF14" s="262">
        <v>5</v>
      </c>
      <c r="AG14" s="263" t="s">
        <v>267</v>
      </c>
      <c r="AH14" s="263" t="s">
        <v>268</v>
      </c>
      <c r="AI14" s="263" t="s">
        <v>269</v>
      </c>
      <c r="AJ14" s="263" t="s">
        <v>270</v>
      </c>
      <c r="AK14" s="263" t="s">
        <v>271</v>
      </c>
      <c r="AL14" s="263" t="s">
        <v>272</v>
      </c>
    </row>
    <row r="15" customHeight="1" spans="1:38">
      <c r="A15" s="250">
        <v>15</v>
      </c>
      <c r="B15" s="251" t="str">
        <f>IF(法术书I!W22="","",法术书I!W22)</f>
        <v/>
      </c>
      <c r="C15" s="250" t="str">
        <f>IFERROR(VLOOKUP(B15,列表!$B:$B,1,FALSE),"QuQ")</f>
        <v>QuQ</v>
      </c>
      <c r="D15" s="252" t="str">
        <f>IFERROR(VLOOKUP(C15,列表!$B:$T,17,FALSE),"")</f>
        <v/>
      </c>
      <c r="E15" s="250">
        <v>15</v>
      </c>
      <c r="F15" s="251" t="str">
        <f>IF(法术书II!W22="","",法术书II!W22)</f>
        <v/>
      </c>
      <c r="G15" s="250" t="str">
        <f>IFERROR(VLOOKUP(F15,列表!$B:$B,1,FALSE),"QuQ")</f>
        <v>QuQ</v>
      </c>
      <c r="H15" s="252" t="str">
        <f>IFERROR(VLOOKUP(G15,列表!$B:$T,17,FALSE),"")</f>
        <v/>
      </c>
      <c r="I15" s="250">
        <v>15</v>
      </c>
      <c r="J15" s="251" t="str">
        <f>IF(法术书III!W22="","",法术书III!W22)</f>
        <v/>
      </c>
      <c r="K15" s="250" t="str">
        <f>IFERROR(VLOOKUP(J15,列表!$B:$B,1,FALSE),"QuQ")</f>
        <v>QuQ</v>
      </c>
      <c r="L15" s="252" t="str">
        <f>IFERROR(VLOOKUP(K15,列表!$B:$T,17,FALSE),"")</f>
        <v/>
      </c>
      <c r="O15" s="253" t="s">
        <v>273</v>
      </c>
      <c r="P15" s="253" t="s">
        <v>200</v>
      </c>
      <c r="Q15" s="248" t="s">
        <v>274</v>
      </c>
      <c r="R15" s="248" t="b">
        <v>0</v>
      </c>
      <c r="T15" s="259" t="s">
        <v>275</v>
      </c>
      <c r="U15" s="259" t="s">
        <v>276</v>
      </c>
      <c r="V15" s="269"/>
      <c r="W15" s="262"/>
      <c r="X15" s="265" t="s">
        <v>277</v>
      </c>
      <c r="Y15" s="265" t="s">
        <v>278</v>
      </c>
      <c r="Z15" s="265" t="s">
        <v>279</v>
      </c>
      <c r="AA15" s="265" t="s">
        <v>222</v>
      </c>
      <c r="AB15" s="265" t="s">
        <v>280</v>
      </c>
      <c r="AC15" s="268" t="s">
        <v>38</v>
      </c>
      <c r="AE15" s="259"/>
      <c r="AF15" s="262">
        <v>6</v>
      </c>
      <c r="AG15" s="263" t="s">
        <v>281</v>
      </c>
      <c r="AH15" s="263" t="s">
        <v>282</v>
      </c>
      <c r="AI15" s="263" t="s">
        <v>283</v>
      </c>
      <c r="AJ15" s="263" t="s">
        <v>284</v>
      </c>
      <c r="AK15" s="263" t="s">
        <v>285</v>
      </c>
      <c r="AL15" s="263" t="s">
        <v>286</v>
      </c>
    </row>
    <row r="16" customHeight="1" spans="1:38">
      <c r="A16" s="250">
        <v>16</v>
      </c>
      <c r="B16" s="251" t="str">
        <f>IF(法术书I!W23="","",法术书I!W23)</f>
        <v/>
      </c>
      <c r="C16" s="250" t="str">
        <f>IFERROR(VLOOKUP(B16,列表!$B:$B,1,FALSE),"QuQ")</f>
        <v>QuQ</v>
      </c>
      <c r="D16" s="252" t="str">
        <f>IFERROR(VLOOKUP(C16,列表!$B:$T,17,FALSE),"")</f>
        <v/>
      </c>
      <c r="E16" s="250">
        <v>16</v>
      </c>
      <c r="F16" s="251" t="str">
        <f>IF(法术书II!W23="","",法术书II!W23)</f>
        <v/>
      </c>
      <c r="G16" s="250" t="str">
        <f>IFERROR(VLOOKUP(F16,列表!$B:$B,1,FALSE),"QuQ")</f>
        <v>QuQ</v>
      </c>
      <c r="H16" s="252" t="str">
        <f>IFERROR(VLOOKUP(G16,列表!$B:$T,17,FALSE),"")</f>
        <v/>
      </c>
      <c r="I16" s="250">
        <v>16</v>
      </c>
      <c r="J16" s="251" t="str">
        <f>IF(法术书III!W23="","",法术书III!W23)</f>
        <v/>
      </c>
      <c r="K16" s="250" t="str">
        <f>IFERROR(VLOOKUP(J16,列表!$B:$B,1,FALSE),"QuQ")</f>
        <v>QuQ</v>
      </c>
      <c r="L16" s="252" t="str">
        <f>IFERROR(VLOOKUP(K16,列表!$B:$T,17,FALSE),"")</f>
        <v/>
      </c>
      <c r="O16" s="253" t="s">
        <v>287</v>
      </c>
      <c r="P16" s="253" t="s">
        <v>200</v>
      </c>
      <c r="Q16" s="248" t="s">
        <v>288</v>
      </c>
      <c r="R16" s="253">
        <f>COUNTIF(R13:R15,TRUE)</f>
        <v>0</v>
      </c>
      <c r="T16" s="259" t="s">
        <v>289</v>
      </c>
      <c r="U16" s="259" t="s">
        <v>290</v>
      </c>
      <c r="V16" s="269"/>
      <c r="W16" s="262"/>
      <c r="X16" s="265" t="s">
        <v>291</v>
      </c>
      <c r="Y16" s="265" t="s">
        <v>235</v>
      </c>
      <c r="Z16" s="265" t="s">
        <v>221</v>
      </c>
      <c r="AA16" s="265" t="s">
        <v>222</v>
      </c>
      <c r="AB16" s="265" t="s">
        <v>266</v>
      </c>
      <c r="AC16" s="268" t="s">
        <v>38</v>
      </c>
      <c r="AE16" s="259">
        <v>3</v>
      </c>
      <c r="AF16" s="262">
        <v>7</v>
      </c>
      <c r="AG16" s="263" t="s">
        <v>292</v>
      </c>
      <c r="AH16" s="263" t="s">
        <v>293</v>
      </c>
      <c r="AI16" s="263" t="s">
        <v>294</v>
      </c>
      <c r="AJ16" s="263" t="s">
        <v>295</v>
      </c>
      <c r="AK16" s="263" t="s">
        <v>296</v>
      </c>
      <c r="AL16" s="263" t="s">
        <v>297</v>
      </c>
    </row>
    <row r="17" customHeight="1" spans="1:38">
      <c r="A17" s="250">
        <v>17</v>
      </c>
      <c r="B17" s="251" t="str">
        <f>IF(法术书I!W24="","",法术书I!W24)</f>
        <v/>
      </c>
      <c r="C17" s="250" t="str">
        <f>IFERROR(VLOOKUP(B17,列表!$B:$B,1,FALSE),"QuQ")</f>
        <v>QuQ</v>
      </c>
      <c r="D17" s="252" t="str">
        <f>IFERROR(VLOOKUP(C17,列表!$B:$T,17,FALSE),"")</f>
        <v/>
      </c>
      <c r="E17" s="250">
        <v>17</v>
      </c>
      <c r="F17" s="251" t="str">
        <f>IF(法术书II!W24="","",法术书II!W24)</f>
        <v/>
      </c>
      <c r="G17" s="250" t="str">
        <f>IFERROR(VLOOKUP(F17,列表!$B:$B,1,FALSE),"QuQ")</f>
        <v>QuQ</v>
      </c>
      <c r="H17" s="252" t="str">
        <f>IFERROR(VLOOKUP(G17,列表!$B:$T,17,FALSE),"")</f>
        <v/>
      </c>
      <c r="I17" s="250">
        <v>17</v>
      </c>
      <c r="J17" s="251" t="str">
        <f>IF(法术书III!W24="","",法术书III!W24)</f>
        <v/>
      </c>
      <c r="K17" s="250" t="str">
        <f>IFERROR(VLOOKUP(J17,列表!$B:$B,1,FALSE),"QuQ")</f>
        <v>QuQ</v>
      </c>
      <c r="L17" s="252" t="str">
        <f>IFERROR(VLOOKUP(K17,列表!$B:$T,17,FALSE),"")</f>
        <v/>
      </c>
      <c r="O17" s="253" t="s">
        <v>298</v>
      </c>
      <c r="P17" s="253" t="s">
        <v>200</v>
      </c>
      <c r="Q17" s="248" t="s">
        <v>299</v>
      </c>
      <c r="T17" s="259" t="s">
        <v>300</v>
      </c>
      <c r="U17" s="259" t="s">
        <v>301</v>
      </c>
      <c r="V17" s="269"/>
      <c r="W17" s="262"/>
      <c r="X17" s="265" t="s">
        <v>302</v>
      </c>
      <c r="Y17" s="265" t="s">
        <v>264</v>
      </c>
      <c r="Z17" s="265" t="s">
        <v>303</v>
      </c>
      <c r="AA17" s="265" t="s">
        <v>304</v>
      </c>
      <c r="AB17" s="265" t="s">
        <v>75</v>
      </c>
      <c r="AC17" s="268" t="s">
        <v>38</v>
      </c>
      <c r="AE17" s="259"/>
      <c r="AF17" s="262">
        <v>8</v>
      </c>
      <c r="AG17" s="263" t="s">
        <v>305</v>
      </c>
      <c r="AH17" s="263" t="s">
        <v>306</v>
      </c>
      <c r="AI17" s="263" t="s">
        <v>307</v>
      </c>
      <c r="AJ17" s="270" t="s">
        <v>308</v>
      </c>
      <c r="AK17" s="263" t="s">
        <v>309</v>
      </c>
      <c r="AL17" s="263" t="s">
        <v>310</v>
      </c>
    </row>
    <row r="18" customHeight="1" spans="1:38">
      <c r="A18" s="250">
        <v>18</v>
      </c>
      <c r="B18" s="251" t="str">
        <f>IF(法术书I!W25="","",法术书I!W25)</f>
        <v/>
      </c>
      <c r="C18" s="250" t="str">
        <f>IFERROR(VLOOKUP(B18,列表!$B:$B,1,FALSE),"QuQ")</f>
        <v>QuQ</v>
      </c>
      <c r="D18" s="252" t="str">
        <f>IFERROR(VLOOKUP(C18,列表!$B:$T,17,FALSE),"")</f>
        <v/>
      </c>
      <c r="E18" s="250">
        <v>18</v>
      </c>
      <c r="F18" s="251" t="str">
        <f>IF(法术书II!W25="","",法术书II!W25)</f>
        <v/>
      </c>
      <c r="G18" s="250" t="str">
        <f>IFERROR(VLOOKUP(F18,列表!$B:$B,1,FALSE),"QuQ")</f>
        <v>QuQ</v>
      </c>
      <c r="H18" s="252" t="str">
        <f>IFERROR(VLOOKUP(G18,列表!$B:$T,17,FALSE),"")</f>
        <v/>
      </c>
      <c r="I18" s="250">
        <v>18</v>
      </c>
      <c r="J18" s="251" t="str">
        <f>IF(法术书III!W25="","",法术书III!W25)</f>
        <v/>
      </c>
      <c r="K18" s="250" t="str">
        <f>IFERROR(VLOOKUP(J18,列表!$B:$B,1,FALSE),"QuQ")</f>
        <v>QuQ</v>
      </c>
      <c r="L18" s="252" t="str">
        <f>IFERROR(VLOOKUP(K18,列表!$B:$T,17,FALSE),"")</f>
        <v/>
      </c>
      <c r="O18" s="253" t="s">
        <v>311</v>
      </c>
      <c r="P18" s="253">
        <f>主要!I17+主要!Y3</f>
        <v>0</v>
      </c>
      <c r="R18" s="253" t="s">
        <v>55</v>
      </c>
      <c r="T18" s="259" t="s">
        <v>312</v>
      </c>
      <c r="U18" s="259" t="s">
        <v>313</v>
      </c>
      <c r="V18" s="269"/>
      <c r="W18" s="262"/>
      <c r="X18" s="265" t="s">
        <v>314</v>
      </c>
      <c r="Y18" s="265" t="s">
        <v>249</v>
      </c>
      <c r="Z18" s="265" t="s">
        <v>303</v>
      </c>
      <c r="AA18" s="265" t="s">
        <v>304</v>
      </c>
      <c r="AB18" s="265" t="s">
        <v>315</v>
      </c>
      <c r="AC18" s="268" t="s">
        <v>38</v>
      </c>
      <c r="AE18" s="259"/>
      <c r="AF18" s="262">
        <v>9</v>
      </c>
      <c r="AG18" s="263" t="s">
        <v>316</v>
      </c>
      <c r="AH18" s="263" t="s">
        <v>316</v>
      </c>
      <c r="AI18" s="263" t="s">
        <v>316</v>
      </c>
      <c r="AJ18" s="263" t="s">
        <v>317</v>
      </c>
      <c r="AK18" s="263" t="s">
        <v>316</v>
      </c>
      <c r="AL18" s="263" t="s">
        <v>316</v>
      </c>
    </row>
    <row r="19" customHeight="1" spans="1:38">
      <c r="A19" s="250">
        <v>19</v>
      </c>
      <c r="B19" s="251" t="str">
        <f>IF(法术书I!W26="","",法术书I!W26)</f>
        <v/>
      </c>
      <c r="C19" s="250" t="str">
        <f>IFERROR(VLOOKUP(B19,列表!$B:$B,1,FALSE),"QuQ")</f>
        <v>QuQ</v>
      </c>
      <c r="D19" s="252" t="str">
        <f>IFERROR(VLOOKUP(C19,列表!$B:$T,17,FALSE),"")</f>
        <v/>
      </c>
      <c r="E19" s="250">
        <v>19</v>
      </c>
      <c r="F19" s="251" t="str">
        <f>IF(法术书II!W26="","",法术书II!W26)</f>
        <v/>
      </c>
      <c r="G19" s="250" t="str">
        <f>IFERROR(VLOOKUP(F19,列表!$B:$B,1,FALSE),"QuQ")</f>
        <v>QuQ</v>
      </c>
      <c r="H19" s="252" t="str">
        <f>IFERROR(VLOOKUP(G19,列表!$B:$T,17,FALSE),"")</f>
        <v/>
      </c>
      <c r="I19" s="250">
        <v>19</v>
      </c>
      <c r="J19" s="251" t="str">
        <f>IF(法术书III!W26="","",法术书III!W26)</f>
        <v/>
      </c>
      <c r="K19" s="250" t="str">
        <f>IFERROR(VLOOKUP(J19,列表!$B:$B,1,FALSE),"QuQ")</f>
        <v>QuQ</v>
      </c>
      <c r="L19" s="252" t="str">
        <f>IFERROR(VLOOKUP(K19,列表!$B:$T,17,FALSE),"")</f>
        <v/>
      </c>
      <c r="O19" s="253" t="s">
        <v>318</v>
      </c>
      <c r="P19" s="253" t="s">
        <v>200</v>
      </c>
      <c r="R19" s="253" t="s">
        <v>319</v>
      </c>
      <c r="T19" s="259" t="s">
        <v>320</v>
      </c>
      <c r="U19" s="259" t="s">
        <v>321</v>
      </c>
      <c r="V19" s="269"/>
      <c r="W19" s="262"/>
      <c r="X19" s="265" t="s">
        <v>322</v>
      </c>
      <c r="Y19" s="265" t="s">
        <v>323</v>
      </c>
      <c r="Z19" s="265" t="s">
        <v>324</v>
      </c>
      <c r="AA19" s="265" t="s">
        <v>222</v>
      </c>
      <c r="AB19" s="265" t="s">
        <v>223</v>
      </c>
      <c r="AC19" s="268" t="s">
        <v>38</v>
      </c>
      <c r="AE19" s="259">
        <v>4</v>
      </c>
      <c r="AF19" s="262">
        <v>10</v>
      </c>
      <c r="AG19" s="263" t="s">
        <v>325</v>
      </c>
      <c r="AH19" s="263" t="s">
        <v>326</v>
      </c>
      <c r="AI19" s="263" t="s">
        <v>327</v>
      </c>
      <c r="AJ19" s="263" t="s">
        <v>328</v>
      </c>
      <c r="AK19" s="263" t="s">
        <v>329</v>
      </c>
      <c r="AL19" s="263" t="s">
        <v>330</v>
      </c>
    </row>
    <row r="20" customHeight="1" spans="1:38">
      <c r="A20" s="250">
        <v>20</v>
      </c>
      <c r="B20" s="251" t="str">
        <f>IF(法术书I!W27="","",法术书I!W27)</f>
        <v/>
      </c>
      <c r="C20" s="250" t="str">
        <f>IFERROR(VLOOKUP(B20,列表!$B:$B,1,FALSE),"QuQ")</f>
        <v>QuQ</v>
      </c>
      <c r="D20" s="252" t="str">
        <f>IFERROR(VLOOKUP(C20,列表!$B:$T,17,FALSE),"")</f>
        <v/>
      </c>
      <c r="E20" s="250">
        <v>20</v>
      </c>
      <c r="F20" s="251" t="str">
        <f>IF(法术书II!W27="","",法术书II!W27)</f>
        <v/>
      </c>
      <c r="G20" s="250" t="str">
        <f>IFERROR(VLOOKUP(F20,列表!$B:$B,1,FALSE),"QuQ")</f>
        <v>QuQ</v>
      </c>
      <c r="H20" s="252" t="str">
        <f>IFERROR(VLOOKUP(G20,列表!$B:$T,17,FALSE),"")</f>
        <v/>
      </c>
      <c r="I20" s="250">
        <v>20</v>
      </c>
      <c r="J20" s="251" t="str">
        <f>IF(法术书III!W27="","",法术书III!W27)</f>
        <v/>
      </c>
      <c r="K20" s="250" t="str">
        <f>IFERROR(VLOOKUP(J20,列表!$B:$B,1,FALSE),"QuQ")</f>
        <v>QuQ</v>
      </c>
      <c r="L20" s="252" t="str">
        <f>IFERROR(VLOOKUP(K20,列表!$B:$T,17,FALSE),"")</f>
        <v/>
      </c>
      <c r="O20" s="253" t="s">
        <v>331</v>
      </c>
      <c r="P20" s="253" t="s">
        <v>200</v>
      </c>
      <c r="R20" s="253" t="s">
        <v>332</v>
      </c>
      <c r="T20" s="259" t="s">
        <v>333</v>
      </c>
      <c r="U20" s="259" t="s">
        <v>334</v>
      </c>
      <c r="V20" s="269"/>
      <c r="W20" s="262"/>
      <c r="X20" s="265" t="s">
        <v>335</v>
      </c>
      <c r="Y20" s="265" t="s">
        <v>323</v>
      </c>
      <c r="Z20" s="265" t="s">
        <v>279</v>
      </c>
      <c r="AA20" s="265" t="s">
        <v>336</v>
      </c>
      <c r="AB20" s="265" t="s">
        <v>337</v>
      </c>
      <c r="AC20" s="268" t="s">
        <v>38</v>
      </c>
      <c r="AE20" s="259"/>
      <c r="AF20" s="262">
        <v>11</v>
      </c>
      <c r="AG20" s="263" t="s">
        <v>338</v>
      </c>
      <c r="AH20" s="263" t="s">
        <v>339</v>
      </c>
      <c r="AI20" s="263" t="s">
        <v>340</v>
      </c>
      <c r="AJ20" s="263" t="s">
        <v>341</v>
      </c>
      <c r="AK20" s="263" t="s">
        <v>342</v>
      </c>
      <c r="AL20" s="263" t="s">
        <v>343</v>
      </c>
    </row>
    <row r="21" customHeight="1" spans="1:38">
      <c r="A21" s="250">
        <v>21</v>
      </c>
      <c r="B21" s="251" t="str">
        <f>IF(法术书I!W28="","",法术书I!W28)</f>
        <v/>
      </c>
      <c r="C21" s="250" t="str">
        <f>IFERROR(VLOOKUP(B21,列表!$B:$B,1,FALSE),"QuQ")</f>
        <v>QuQ</v>
      </c>
      <c r="D21" s="252" t="str">
        <f>IFERROR(VLOOKUP(C21,列表!$B:$T,17,FALSE),"")</f>
        <v/>
      </c>
      <c r="E21" s="250">
        <v>21</v>
      </c>
      <c r="F21" s="251" t="str">
        <f>IF(法术书II!W28="","",法术书II!W28)</f>
        <v/>
      </c>
      <c r="G21" s="250" t="str">
        <f>IFERROR(VLOOKUP(F21,列表!$B:$B,1,FALSE),"QuQ")</f>
        <v>QuQ</v>
      </c>
      <c r="H21" s="252" t="str">
        <f>IFERROR(VLOOKUP(G21,列表!$B:$T,17,FALSE),"")</f>
        <v/>
      </c>
      <c r="I21" s="250">
        <v>21</v>
      </c>
      <c r="J21" s="251" t="str">
        <f>IF(法术书III!W28="","",法术书III!W28)</f>
        <v/>
      </c>
      <c r="K21" s="250" t="str">
        <f>IFERROR(VLOOKUP(J21,列表!$B:$B,1,FALSE),"QuQ")</f>
        <v>QuQ</v>
      </c>
      <c r="L21" s="252" t="str">
        <f>IFERROR(VLOOKUP(K21,列表!$B:$T,17,FALSE),"")</f>
        <v/>
      </c>
      <c r="R21" s="253" t="s">
        <v>217</v>
      </c>
      <c r="T21" s="271" t="s">
        <v>344</v>
      </c>
      <c r="U21" s="259" t="s">
        <v>345</v>
      </c>
      <c r="V21" s="272" t="s">
        <v>75</v>
      </c>
      <c r="W21" s="273" t="s">
        <v>346</v>
      </c>
      <c r="X21" s="274" t="s">
        <v>347</v>
      </c>
      <c r="Y21" s="274" t="s">
        <v>348</v>
      </c>
      <c r="Z21" s="274" t="s">
        <v>349</v>
      </c>
      <c r="AA21" s="274" t="s">
        <v>350</v>
      </c>
      <c r="AB21" s="274" t="s">
        <v>351</v>
      </c>
      <c r="AC21" s="275" t="s">
        <v>43</v>
      </c>
      <c r="AE21" s="259"/>
      <c r="AF21" s="262">
        <v>12</v>
      </c>
      <c r="AG21" s="263" t="s">
        <v>352</v>
      </c>
      <c r="AH21" s="263" t="s">
        <v>353</v>
      </c>
      <c r="AI21" s="263" t="s">
        <v>354</v>
      </c>
      <c r="AJ21" s="263" t="s">
        <v>355</v>
      </c>
      <c r="AK21" s="263" t="s">
        <v>356</v>
      </c>
      <c r="AL21" s="263" t="s">
        <v>357</v>
      </c>
    </row>
    <row r="22" customHeight="1" spans="1:38">
      <c r="A22" s="250">
        <v>22</v>
      </c>
      <c r="B22" s="251" t="str">
        <f>IF(法术书I!W29="","",法术书I!W29)</f>
        <v/>
      </c>
      <c r="C22" s="250" t="str">
        <f>IFERROR(VLOOKUP(B22,列表!$B:$B,1,FALSE),"QuQ")</f>
        <v>QuQ</v>
      </c>
      <c r="D22" s="252" t="str">
        <f>IFERROR(VLOOKUP(C22,列表!$B:$T,17,FALSE),"")</f>
        <v/>
      </c>
      <c r="E22" s="250">
        <v>22</v>
      </c>
      <c r="F22" s="251" t="str">
        <f>IF(法术书II!W29="","",法术书II!W29)</f>
        <v/>
      </c>
      <c r="G22" s="250" t="str">
        <f>IFERROR(VLOOKUP(F22,列表!$B:$B,1,FALSE),"QuQ")</f>
        <v>QuQ</v>
      </c>
      <c r="H22" s="252" t="str">
        <f>IFERROR(VLOOKUP(G22,列表!$B:$T,17,FALSE),"")</f>
        <v/>
      </c>
      <c r="I22" s="250">
        <v>22</v>
      </c>
      <c r="J22" s="251" t="str">
        <f>IF(法术书III!W29="","",法术书III!W29)</f>
        <v/>
      </c>
      <c r="K22" s="250" t="str">
        <f>IFERROR(VLOOKUP(J22,列表!$B:$B,1,FALSE),"QuQ")</f>
        <v>QuQ</v>
      </c>
      <c r="L22" s="252" t="str">
        <f>IFERROR(VLOOKUP(K22,列表!$B:$T,17,FALSE),"")</f>
        <v/>
      </c>
      <c r="O22" s="253" t="s">
        <v>21</v>
      </c>
      <c r="P22" s="253"/>
      <c r="R22" s="253" t="s">
        <v>358</v>
      </c>
      <c r="T22" s="271" t="s">
        <v>359</v>
      </c>
      <c r="U22" s="259" t="s">
        <v>360</v>
      </c>
      <c r="V22" s="272" t="s">
        <v>361</v>
      </c>
      <c r="W22" s="273"/>
      <c r="X22" s="274" t="s">
        <v>362</v>
      </c>
      <c r="Y22" s="274" t="s">
        <v>363</v>
      </c>
      <c r="Z22" s="274" t="s">
        <v>236</v>
      </c>
      <c r="AA22" s="274" t="s">
        <v>364</v>
      </c>
      <c r="AB22" s="274" t="s">
        <v>365</v>
      </c>
      <c r="AC22" s="275" t="str">
        <f>IF(主要!$I$11&gt;=主要!$I$13,"力量","敏捷")</f>
        <v>力量</v>
      </c>
      <c r="AE22" s="259">
        <v>5</v>
      </c>
      <c r="AF22" s="262">
        <v>13</v>
      </c>
      <c r="AG22" s="263" t="s">
        <v>366</v>
      </c>
      <c r="AH22" s="263" t="s">
        <v>367</v>
      </c>
      <c r="AI22" s="263" t="s">
        <v>368</v>
      </c>
      <c r="AJ22" s="263" t="s">
        <v>369</v>
      </c>
      <c r="AK22" s="263" t="s">
        <v>370</v>
      </c>
      <c r="AL22" s="263" t="s">
        <v>371</v>
      </c>
    </row>
    <row r="23" customHeight="1" spans="1:38">
      <c r="A23" s="250">
        <v>23</v>
      </c>
      <c r="B23" s="251" t="str">
        <f>IF(法术书I!W30="","",法术书I!W30)</f>
        <v/>
      </c>
      <c r="C23" s="250" t="str">
        <f>IFERROR(VLOOKUP(B23,列表!$B:$B,1,FALSE),"QuQ")</f>
        <v>QuQ</v>
      </c>
      <c r="D23" s="252" t="str">
        <f>IFERROR(VLOOKUP(C23,列表!$B:$T,17,FALSE),"")</f>
        <v/>
      </c>
      <c r="E23" s="250">
        <v>23</v>
      </c>
      <c r="F23" s="251" t="str">
        <f>IF(法术书II!W30="","",法术书II!W30)</f>
        <v/>
      </c>
      <c r="G23" s="250" t="str">
        <f>IFERROR(VLOOKUP(F23,列表!$B:$B,1,FALSE),"QuQ")</f>
        <v>QuQ</v>
      </c>
      <c r="H23" s="252" t="str">
        <f>IFERROR(VLOOKUP(G23,列表!$B:$T,17,FALSE),"")</f>
        <v/>
      </c>
      <c r="I23" s="250">
        <v>23</v>
      </c>
      <c r="J23" s="251" t="str">
        <f>IF(法术书III!W30="","",法术书III!W30)</f>
        <v/>
      </c>
      <c r="K23" s="250" t="str">
        <f>IFERROR(VLOOKUP(J23,列表!$B:$B,1,FALSE),"QuQ")</f>
        <v>QuQ</v>
      </c>
      <c r="L23" s="252" t="str">
        <f>IFERROR(VLOOKUP(K23,列表!$B:$T,17,FALSE),"")</f>
        <v/>
      </c>
      <c r="O23" s="276" t="s">
        <v>372</v>
      </c>
      <c r="P23" s="276" t="s">
        <v>15</v>
      </c>
      <c r="R23" s="253" t="s">
        <v>373</v>
      </c>
      <c r="T23" s="271" t="s">
        <v>374</v>
      </c>
      <c r="U23" s="259" t="s">
        <v>375</v>
      </c>
      <c r="V23" s="269"/>
      <c r="W23" s="273"/>
      <c r="X23" s="274" t="s">
        <v>376</v>
      </c>
      <c r="Y23" s="274" t="s">
        <v>348</v>
      </c>
      <c r="Z23" s="274" t="s">
        <v>279</v>
      </c>
      <c r="AA23" s="274" t="s">
        <v>222</v>
      </c>
      <c r="AB23" s="274" t="s">
        <v>377</v>
      </c>
      <c r="AC23" s="275" t="s">
        <v>43</v>
      </c>
      <c r="AE23" s="259"/>
      <c r="AF23" s="262">
        <v>14</v>
      </c>
      <c r="AG23" s="263"/>
      <c r="AH23" s="263"/>
      <c r="AI23" s="263"/>
      <c r="AJ23" s="263"/>
      <c r="AK23" s="263"/>
      <c r="AL23" s="263"/>
    </row>
    <row r="24" customHeight="1" spans="1:38">
      <c r="A24" s="250">
        <v>24</v>
      </c>
      <c r="B24" s="251" t="str">
        <f>IF(法术书I!W31="","",法术书I!W31)</f>
        <v/>
      </c>
      <c r="C24" s="250" t="str">
        <f>IFERROR(VLOOKUP(B24,列表!$B:$B,1,FALSE),"QuQ")</f>
        <v>QuQ</v>
      </c>
      <c r="D24" s="252" t="str">
        <f>IFERROR(VLOOKUP(C24,列表!$B:$T,17,FALSE),"")</f>
        <v/>
      </c>
      <c r="E24" s="250">
        <v>24</v>
      </c>
      <c r="F24" s="251" t="str">
        <f>IF(法术书II!W31="","",法术书II!W31)</f>
        <v/>
      </c>
      <c r="G24" s="250" t="str">
        <f>IFERROR(VLOOKUP(F24,列表!$B:$B,1,FALSE),"QuQ")</f>
        <v>QuQ</v>
      </c>
      <c r="H24" s="252" t="str">
        <f>IFERROR(VLOOKUP(G24,列表!$B:$T,17,FALSE),"")</f>
        <v/>
      </c>
      <c r="I24" s="250">
        <v>24</v>
      </c>
      <c r="J24" s="251" t="str">
        <f>IF(法术书III!W31="","",法术书III!W31)</f>
        <v/>
      </c>
      <c r="K24" s="250" t="str">
        <f>IFERROR(VLOOKUP(J24,列表!$B:$B,1,FALSE),"QuQ")</f>
        <v>QuQ</v>
      </c>
      <c r="L24" s="252" t="str">
        <f>IFERROR(VLOOKUP(K24,列表!$B:$T,17,FALSE),"")</f>
        <v/>
      </c>
      <c r="O24" s="277">
        <v>0</v>
      </c>
      <c r="P24" s="277">
        <v>1</v>
      </c>
      <c r="R24" s="253" t="s">
        <v>378</v>
      </c>
      <c r="T24" s="271" t="s">
        <v>379</v>
      </c>
      <c r="U24" s="259" t="s">
        <v>380</v>
      </c>
      <c r="V24" s="269"/>
      <c r="W24" s="273"/>
      <c r="X24" s="274" t="s">
        <v>381</v>
      </c>
      <c r="Y24" s="274" t="s">
        <v>220</v>
      </c>
      <c r="Z24" s="274" t="s">
        <v>221</v>
      </c>
      <c r="AA24" s="274" t="s">
        <v>75</v>
      </c>
      <c r="AB24" s="274" t="s">
        <v>382</v>
      </c>
      <c r="AC24" s="275" t="s">
        <v>43</v>
      </c>
      <c r="AE24" s="259"/>
      <c r="AF24" s="262">
        <v>15</v>
      </c>
      <c r="AG24" s="263"/>
      <c r="AH24" s="263"/>
      <c r="AI24" s="263"/>
      <c r="AJ24" s="263"/>
      <c r="AK24" s="263"/>
      <c r="AL24" s="263"/>
    </row>
    <row r="25" customHeight="1" spans="1:38">
      <c r="A25" s="250">
        <v>25</v>
      </c>
      <c r="B25" s="251" t="str">
        <f>IF(法术书I!W32="","",法术书I!W32)</f>
        <v/>
      </c>
      <c r="C25" s="250" t="str">
        <f>IFERROR(VLOOKUP(B25,列表!$B:$B,1,FALSE),"QuQ")</f>
        <v>QuQ</v>
      </c>
      <c r="D25" s="252" t="str">
        <f>IFERROR(VLOOKUP(C25,列表!$B:$T,17,FALSE),"")</f>
        <v/>
      </c>
      <c r="E25" s="250">
        <v>25</v>
      </c>
      <c r="F25" s="251" t="str">
        <f>IF(法术书II!W32="","",法术书II!W32)</f>
        <v/>
      </c>
      <c r="G25" s="250" t="str">
        <f>IFERROR(VLOOKUP(F25,列表!$B:$B,1,FALSE),"QuQ")</f>
        <v>QuQ</v>
      </c>
      <c r="H25" s="252" t="str">
        <f>IFERROR(VLOOKUP(G25,列表!$B:$T,17,FALSE),"")</f>
        <v/>
      </c>
      <c r="I25" s="250">
        <v>25</v>
      </c>
      <c r="J25" s="251" t="str">
        <f>IF(法术书III!W32="","",法术书III!W32)</f>
        <v/>
      </c>
      <c r="K25" s="250" t="str">
        <f>IFERROR(VLOOKUP(J25,列表!$B:$B,1,FALSE),"QuQ")</f>
        <v>QuQ</v>
      </c>
      <c r="L25" s="252" t="str">
        <f>IFERROR(VLOOKUP(K25,列表!$B:$T,17,FALSE),"")</f>
        <v/>
      </c>
      <c r="O25" s="277">
        <v>300</v>
      </c>
      <c r="P25" s="277">
        <v>2</v>
      </c>
      <c r="T25" s="271" t="s">
        <v>383</v>
      </c>
      <c r="U25" s="259" t="s">
        <v>384</v>
      </c>
      <c r="V25" s="269"/>
      <c r="W25" s="266" t="s">
        <v>385</v>
      </c>
      <c r="X25" s="278" t="s">
        <v>386</v>
      </c>
      <c r="Y25" s="265" t="s">
        <v>387</v>
      </c>
      <c r="Z25" s="265" t="s">
        <v>388</v>
      </c>
      <c r="AA25" s="265" t="s">
        <v>304</v>
      </c>
      <c r="AB25" s="265" t="s">
        <v>389</v>
      </c>
      <c r="AC25" s="268" t="s">
        <v>38</v>
      </c>
      <c r="AE25" s="259">
        <v>6</v>
      </c>
      <c r="AF25" s="262">
        <v>16</v>
      </c>
      <c r="AG25" s="263" t="s">
        <v>390</v>
      </c>
      <c r="AH25" s="263" t="s">
        <v>391</v>
      </c>
      <c r="AI25" s="263" t="s">
        <v>392</v>
      </c>
      <c r="AJ25" s="263" t="s">
        <v>393</v>
      </c>
      <c r="AK25" s="263" t="s">
        <v>394</v>
      </c>
      <c r="AL25" s="263" t="s">
        <v>395</v>
      </c>
    </row>
    <row r="26" customHeight="1" spans="1:38">
      <c r="A26" s="250">
        <v>26</v>
      </c>
      <c r="B26" s="251" t="str">
        <f>IF(法术书I!W33="","",法术书I!W33)</f>
        <v/>
      </c>
      <c r="C26" s="250" t="str">
        <f>IFERROR(VLOOKUP(B26,列表!$B:$B,1,FALSE),"QuQ")</f>
        <v>QuQ</v>
      </c>
      <c r="D26" s="252" t="str">
        <f>IFERROR(VLOOKUP(C26,列表!$B:$T,17,FALSE),"")</f>
        <v/>
      </c>
      <c r="E26" s="250">
        <v>26</v>
      </c>
      <c r="F26" s="251" t="str">
        <f>IF(法术书II!W33="","",法术书II!W33)</f>
        <v/>
      </c>
      <c r="G26" s="250" t="str">
        <f>IFERROR(VLOOKUP(F26,列表!$B:$B,1,FALSE),"QuQ")</f>
        <v>QuQ</v>
      </c>
      <c r="H26" s="252" t="str">
        <f>IFERROR(VLOOKUP(G26,列表!$B:$T,17,FALSE),"")</f>
        <v/>
      </c>
      <c r="I26" s="250">
        <v>26</v>
      </c>
      <c r="J26" s="251" t="str">
        <f>IF(法术书III!W33="","",法术书III!W33)</f>
        <v/>
      </c>
      <c r="K26" s="250" t="str">
        <f>IFERROR(VLOOKUP(J26,列表!$B:$B,1,FALSE),"QuQ")</f>
        <v>QuQ</v>
      </c>
      <c r="L26" s="252" t="str">
        <f>IFERROR(VLOOKUP(K26,列表!$B:$T,17,FALSE),"")</f>
        <v/>
      </c>
      <c r="O26" s="277">
        <v>900</v>
      </c>
      <c r="P26" s="277">
        <v>3</v>
      </c>
      <c r="R26" s="253" t="s">
        <v>396</v>
      </c>
      <c r="T26" s="271" t="s">
        <v>397</v>
      </c>
      <c r="U26" s="259" t="s">
        <v>398</v>
      </c>
      <c r="V26" s="269"/>
      <c r="W26" s="268"/>
      <c r="X26" s="278" t="s">
        <v>399</v>
      </c>
      <c r="Y26" s="265" t="s">
        <v>387</v>
      </c>
      <c r="Z26" s="265" t="s">
        <v>250</v>
      </c>
      <c r="AA26" s="265" t="s">
        <v>222</v>
      </c>
      <c r="AB26" s="265" t="s">
        <v>75</v>
      </c>
      <c r="AC26" s="268" t="s">
        <v>38</v>
      </c>
      <c r="AE26" s="259"/>
      <c r="AF26" s="262">
        <v>17</v>
      </c>
      <c r="AG26" s="263"/>
      <c r="AH26" s="263"/>
      <c r="AI26" s="263"/>
      <c r="AJ26" s="263"/>
      <c r="AK26" s="263"/>
      <c r="AL26" s="263"/>
    </row>
    <row r="27" customHeight="1" spans="1:38">
      <c r="A27" s="250">
        <v>27</v>
      </c>
      <c r="B27" s="251" t="str">
        <f>IF(法术书I!W34="","",法术书I!W34)</f>
        <v/>
      </c>
      <c r="C27" s="250" t="str">
        <f>IFERROR(VLOOKUP(B27,列表!$B:$B,1,FALSE),"QuQ")</f>
        <v>QuQ</v>
      </c>
      <c r="D27" s="252" t="str">
        <f>IFERROR(VLOOKUP(C27,列表!$B:$T,17,FALSE),"")</f>
        <v/>
      </c>
      <c r="E27" s="250">
        <v>27</v>
      </c>
      <c r="F27" s="251" t="str">
        <f>IF(法术书II!W34="","",法术书II!W34)</f>
        <v/>
      </c>
      <c r="G27" s="250" t="str">
        <f>IFERROR(VLOOKUP(F27,列表!$B:$B,1,FALSE),"QuQ")</f>
        <v>QuQ</v>
      </c>
      <c r="H27" s="252" t="str">
        <f>IFERROR(VLOOKUP(G27,列表!$B:$T,17,FALSE),"")</f>
        <v/>
      </c>
      <c r="I27" s="250">
        <v>27</v>
      </c>
      <c r="J27" s="251" t="str">
        <f>IF(法术书III!W34="","",法术书III!W34)</f>
        <v/>
      </c>
      <c r="K27" s="250" t="str">
        <f>IFERROR(VLOOKUP(J27,列表!$B:$B,1,FALSE),"QuQ")</f>
        <v>QuQ</v>
      </c>
      <c r="L27" s="252" t="str">
        <f>IFERROR(VLOOKUP(K27,列表!$B:$T,17,FALSE),"")</f>
        <v/>
      </c>
      <c r="O27" s="277">
        <f>O26*P26</f>
        <v>2700</v>
      </c>
      <c r="P27" s="277">
        <v>4</v>
      </c>
      <c r="R27" s="248" t="b">
        <v>0</v>
      </c>
      <c r="T27" s="259" t="s">
        <v>400</v>
      </c>
      <c r="U27" s="269"/>
      <c r="V27" s="269"/>
      <c r="W27" s="268"/>
      <c r="X27" s="278" t="s">
        <v>401</v>
      </c>
      <c r="Y27" s="265" t="s">
        <v>402</v>
      </c>
      <c r="Z27" s="265" t="s">
        <v>403</v>
      </c>
      <c r="AA27" s="265" t="s">
        <v>404</v>
      </c>
      <c r="AB27" s="265" t="s">
        <v>405</v>
      </c>
      <c r="AC27" s="268" t="s">
        <v>38</v>
      </c>
      <c r="AE27" s="259"/>
      <c r="AF27" s="262">
        <v>18</v>
      </c>
      <c r="AG27" s="263" t="s">
        <v>406</v>
      </c>
      <c r="AH27" s="263" t="s">
        <v>407</v>
      </c>
      <c r="AI27" s="263" t="s">
        <v>408</v>
      </c>
      <c r="AJ27" s="263" t="s">
        <v>409</v>
      </c>
      <c r="AK27" s="263" t="s">
        <v>410</v>
      </c>
      <c r="AL27" s="263" t="s">
        <v>411</v>
      </c>
    </row>
    <row r="28" customHeight="1" spans="1:38">
      <c r="A28" s="250">
        <v>28</v>
      </c>
      <c r="B28" s="251" t="str">
        <f>IF(法术书I!W35="","",法术书I!W35)</f>
        <v/>
      </c>
      <c r="C28" s="250" t="str">
        <f>IFERROR(VLOOKUP(B28,列表!$B:$B,1,FALSE),"QuQ")</f>
        <v>QuQ</v>
      </c>
      <c r="D28" s="252" t="str">
        <f>IFERROR(VLOOKUP(C28,列表!$B:$T,17,FALSE),"")</f>
        <v/>
      </c>
      <c r="E28" s="250">
        <v>28</v>
      </c>
      <c r="F28" s="251" t="str">
        <f>IF(法术书II!W35="","",法术书II!W35)</f>
        <v/>
      </c>
      <c r="G28" s="250" t="str">
        <f>IFERROR(VLOOKUP(F28,列表!$B:$B,1,FALSE),"QuQ")</f>
        <v>QuQ</v>
      </c>
      <c r="H28" s="252" t="str">
        <f>IFERROR(VLOOKUP(G28,列表!$B:$T,17,FALSE),"")</f>
        <v/>
      </c>
      <c r="I28" s="250">
        <v>28</v>
      </c>
      <c r="J28" s="251" t="str">
        <f>IF(法术书III!W35="","",法术书III!W35)</f>
        <v/>
      </c>
      <c r="K28" s="250" t="str">
        <f>IFERROR(VLOOKUP(J28,列表!$B:$B,1,FALSE),"QuQ")</f>
        <v>QuQ</v>
      </c>
      <c r="L28" s="252" t="str">
        <f>IFERROR(VLOOKUP(K28,列表!$B:$T,17,FALSE),"")</f>
        <v/>
      </c>
      <c r="O28" s="250">
        <v>6500</v>
      </c>
      <c r="P28" s="250">
        <v>5</v>
      </c>
      <c r="R28" s="248" t="b">
        <v>0</v>
      </c>
      <c r="T28" s="259" t="s">
        <v>412</v>
      </c>
      <c r="U28" s="269"/>
      <c r="V28" s="269"/>
      <c r="W28" s="268"/>
      <c r="X28" s="278" t="s">
        <v>413</v>
      </c>
      <c r="Y28" s="265" t="s">
        <v>414</v>
      </c>
      <c r="Z28" s="265" t="s">
        <v>415</v>
      </c>
      <c r="AA28" s="265" t="s">
        <v>416</v>
      </c>
      <c r="AB28" s="265" t="s">
        <v>417</v>
      </c>
      <c r="AC28" s="268" t="s">
        <v>38</v>
      </c>
      <c r="AE28" s="259">
        <v>7</v>
      </c>
      <c r="AF28" s="262">
        <v>19</v>
      </c>
      <c r="AG28" s="263" t="s">
        <v>418</v>
      </c>
      <c r="AH28" s="263" t="s">
        <v>419</v>
      </c>
      <c r="AI28" s="263" t="s">
        <v>420</v>
      </c>
      <c r="AJ28" s="263" t="s">
        <v>421</v>
      </c>
      <c r="AK28" s="263" t="s">
        <v>422</v>
      </c>
      <c r="AL28" s="263" t="s">
        <v>423</v>
      </c>
    </row>
    <row r="29" customHeight="1" spans="1:38">
      <c r="A29" s="250">
        <v>29</v>
      </c>
      <c r="B29" s="251" t="str">
        <f>IF(法术书I!W36="","",法术书I!W36)</f>
        <v/>
      </c>
      <c r="C29" s="250" t="str">
        <f>IFERROR(VLOOKUP(B29,列表!$B:$B,1,FALSE),"QuQ")</f>
        <v>QuQ</v>
      </c>
      <c r="D29" s="252" t="str">
        <f>IFERROR(VLOOKUP(C29,列表!$B:$T,17,FALSE),"")</f>
        <v/>
      </c>
      <c r="E29" s="250">
        <v>29</v>
      </c>
      <c r="F29" s="251" t="str">
        <f>IF(法术书II!W36="","",法术书II!W36)</f>
        <v/>
      </c>
      <c r="G29" s="250" t="str">
        <f>IFERROR(VLOOKUP(F29,列表!$B:$B,1,FALSE),"QuQ")</f>
        <v>QuQ</v>
      </c>
      <c r="H29" s="252" t="str">
        <f>IFERROR(VLOOKUP(G29,列表!$B:$T,17,FALSE),"")</f>
        <v/>
      </c>
      <c r="I29" s="250">
        <v>29</v>
      </c>
      <c r="J29" s="251" t="str">
        <f>IF(法术书III!W36="","",法术书III!W36)</f>
        <v/>
      </c>
      <c r="K29" s="250" t="str">
        <f>IFERROR(VLOOKUP(J29,列表!$B:$B,1,FALSE),"QuQ")</f>
        <v>QuQ</v>
      </c>
      <c r="L29" s="252" t="str">
        <f>IFERROR(VLOOKUP(K29,列表!$B:$T,17,FALSE),"")</f>
        <v/>
      </c>
      <c r="O29" s="250">
        <v>14000</v>
      </c>
      <c r="P29" s="250">
        <v>6</v>
      </c>
      <c r="R29" s="248" t="b">
        <v>0</v>
      </c>
      <c r="T29" s="259" t="s">
        <v>252</v>
      </c>
      <c r="U29" s="269"/>
      <c r="V29" s="269"/>
      <c r="W29" s="268"/>
      <c r="X29" s="278" t="s">
        <v>424</v>
      </c>
      <c r="Y29" s="265" t="s">
        <v>425</v>
      </c>
      <c r="Z29" s="265" t="s">
        <v>426</v>
      </c>
      <c r="AA29" s="265" t="s">
        <v>404</v>
      </c>
      <c r="AB29" s="265" t="s">
        <v>417</v>
      </c>
      <c r="AC29" s="268" t="s">
        <v>38</v>
      </c>
      <c r="AE29" s="259">
        <v>8</v>
      </c>
      <c r="AF29" s="262">
        <v>20</v>
      </c>
      <c r="AG29" s="263" t="s">
        <v>427</v>
      </c>
      <c r="AH29" s="263" t="s">
        <v>428</v>
      </c>
      <c r="AI29" s="263" t="s">
        <v>429</v>
      </c>
      <c r="AJ29" s="263" t="s">
        <v>430</v>
      </c>
      <c r="AK29" s="263" t="s">
        <v>431</v>
      </c>
      <c r="AL29" s="263" t="s">
        <v>432</v>
      </c>
    </row>
    <row r="30" customHeight="1" spans="1:38">
      <c r="A30" s="250">
        <v>30</v>
      </c>
      <c r="B30" s="251" t="str">
        <f>IF(法术书I!W37="","",法术书I!W37)</f>
        <v/>
      </c>
      <c r="C30" s="250" t="str">
        <f>IFERROR(VLOOKUP(B30,列表!$B:$B,1,FALSE),"QuQ")</f>
        <v>QuQ</v>
      </c>
      <c r="D30" s="252" t="str">
        <f>IFERROR(VLOOKUP(C30,列表!$B:$T,17,FALSE),"")</f>
        <v/>
      </c>
      <c r="E30" s="250">
        <v>30</v>
      </c>
      <c r="F30" s="251" t="str">
        <f>IF(法术书II!W37="","",法术书II!W37)</f>
        <v/>
      </c>
      <c r="G30" s="250" t="str">
        <f>IFERROR(VLOOKUP(F30,列表!$B:$B,1,FALSE),"QuQ")</f>
        <v>QuQ</v>
      </c>
      <c r="H30" s="252" t="str">
        <f>IFERROR(VLOOKUP(G30,列表!$B:$T,17,FALSE),"")</f>
        <v/>
      </c>
      <c r="I30" s="250">
        <v>30</v>
      </c>
      <c r="J30" s="251" t="str">
        <f>IF(法术书III!W37="","",法术书III!W37)</f>
        <v/>
      </c>
      <c r="K30" s="250" t="str">
        <f>IFERROR(VLOOKUP(J30,列表!$B:$B,1,FALSE),"QuQ")</f>
        <v>QuQ</v>
      </c>
      <c r="L30" s="252" t="str">
        <f>IFERROR(VLOOKUP(K30,列表!$B:$T,17,FALSE),"")</f>
        <v/>
      </c>
      <c r="O30" s="250">
        <v>23000</v>
      </c>
      <c r="P30" s="250">
        <v>7</v>
      </c>
      <c r="R30" s="248" t="b">
        <v>0</v>
      </c>
      <c r="T30" s="259" t="s">
        <v>433</v>
      </c>
      <c r="U30" s="269"/>
      <c r="V30" s="269"/>
      <c r="W30" s="268"/>
      <c r="X30" s="278" t="s">
        <v>434</v>
      </c>
      <c r="Y30" s="265" t="s">
        <v>402</v>
      </c>
      <c r="Z30" s="265" t="s">
        <v>403</v>
      </c>
      <c r="AA30" s="265" t="s">
        <v>404</v>
      </c>
      <c r="AB30" s="265" t="s">
        <v>405</v>
      </c>
      <c r="AC30" s="268" t="s">
        <v>38</v>
      </c>
      <c r="AE30" s="259"/>
      <c r="AF30" s="262">
        <v>21</v>
      </c>
      <c r="AG30" s="263" t="s">
        <v>435</v>
      </c>
      <c r="AH30" s="263" t="s">
        <v>436</v>
      </c>
      <c r="AI30" s="263" t="s">
        <v>437</v>
      </c>
      <c r="AJ30" s="263" t="s">
        <v>438</v>
      </c>
      <c r="AK30" s="263" t="s">
        <v>439</v>
      </c>
      <c r="AL30" s="263" t="s">
        <v>440</v>
      </c>
    </row>
    <row r="31" customHeight="1" spans="1:38">
      <c r="A31" s="250">
        <v>31</v>
      </c>
      <c r="B31" s="251" t="str">
        <f>IF(法术书I!W38="","",法术书I!W38)</f>
        <v/>
      </c>
      <c r="C31" s="250" t="str">
        <f>IFERROR(VLOOKUP(B31,列表!$B:$B,1,FALSE),"QuQ")</f>
        <v>QuQ</v>
      </c>
      <c r="D31" s="252" t="str">
        <f>IFERROR(VLOOKUP(C31,列表!$B:$T,17,FALSE),"")</f>
        <v/>
      </c>
      <c r="E31" s="250">
        <v>31</v>
      </c>
      <c r="F31" s="251" t="str">
        <f>IF(法术书II!W38="","",法术书II!W38)</f>
        <v/>
      </c>
      <c r="G31" s="250" t="str">
        <f>IFERROR(VLOOKUP(F31,列表!$B:$B,1,FALSE),"QuQ")</f>
        <v>QuQ</v>
      </c>
      <c r="H31" s="252" t="str">
        <f>IFERROR(VLOOKUP(G31,列表!$B:$T,17,FALSE),"")</f>
        <v/>
      </c>
      <c r="I31" s="250">
        <v>31</v>
      </c>
      <c r="J31" s="251" t="str">
        <f>IF(法术书III!W38="","",法术书III!W38)</f>
        <v/>
      </c>
      <c r="K31" s="250" t="str">
        <f>IFERROR(VLOOKUP(J31,列表!$B:$B,1,FALSE),"QuQ")</f>
        <v>QuQ</v>
      </c>
      <c r="L31" s="252" t="str">
        <f>IFERROR(VLOOKUP(K31,列表!$B:$T,17,FALSE),"")</f>
        <v/>
      </c>
      <c r="O31" s="250">
        <v>34000</v>
      </c>
      <c r="P31" s="250">
        <v>8</v>
      </c>
      <c r="R31" s="248" t="b">
        <v>0</v>
      </c>
      <c r="T31" s="259" t="s">
        <v>441</v>
      </c>
      <c r="U31" s="269"/>
      <c r="V31" s="269"/>
      <c r="W31" s="268"/>
      <c r="X31" s="278" t="s">
        <v>442</v>
      </c>
      <c r="Y31" s="265" t="s">
        <v>387</v>
      </c>
      <c r="Z31" s="265" t="s">
        <v>443</v>
      </c>
      <c r="AA31" s="265" t="s">
        <v>404</v>
      </c>
      <c r="AB31" s="265" t="s">
        <v>444</v>
      </c>
      <c r="AC31" s="268" t="s">
        <v>38</v>
      </c>
      <c r="AE31" s="259"/>
      <c r="AF31" s="262">
        <v>22</v>
      </c>
      <c r="AG31" s="263" t="s">
        <v>445</v>
      </c>
      <c r="AH31" s="263" t="s">
        <v>446</v>
      </c>
      <c r="AI31" s="263" t="s">
        <v>447</v>
      </c>
      <c r="AJ31" s="263" t="s">
        <v>448</v>
      </c>
      <c r="AK31" s="263" t="s">
        <v>449</v>
      </c>
      <c r="AL31" s="263" t="s">
        <v>450</v>
      </c>
    </row>
    <row r="32" customHeight="1" spans="1:38">
      <c r="A32" s="250">
        <v>32</v>
      </c>
      <c r="B32" s="251" t="str">
        <f>IF(法术书I!W39="","",法术书I!W39)</f>
        <v/>
      </c>
      <c r="C32" s="250" t="str">
        <f>IFERROR(VLOOKUP(B32,列表!$B:$B,1,FALSE),"QuQ")</f>
        <v>QuQ</v>
      </c>
      <c r="D32" s="252" t="str">
        <f>IFERROR(VLOOKUP(C32,列表!$B:$T,17,FALSE),"")</f>
        <v/>
      </c>
      <c r="E32" s="250">
        <v>32</v>
      </c>
      <c r="F32" s="251" t="str">
        <f>IF(法术书II!W39="","",法术书II!W39)</f>
        <v/>
      </c>
      <c r="G32" s="250" t="str">
        <f>IFERROR(VLOOKUP(F32,列表!$B:$B,1,FALSE),"QuQ")</f>
        <v>QuQ</v>
      </c>
      <c r="H32" s="252" t="str">
        <f>IFERROR(VLOOKUP(G32,列表!$B:$T,17,FALSE),"")</f>
        <v/>
      </c>
      <c r="I32" s="250">
        <v>32</v>
      </c>
      <c r="J32" s="251" t="str">
        <f>IF(法术书III!W39="","",法术书III!W39)</f>
        <v/>
      </c>
      <c r="K32" s="250" t="str">
        <f>IFERROR(VLOOKUP(J32,列表!$B:$B,1,FALSE),"QuQ")</f>
        <v>QuQ</v>
      </c>
      <c r="L32" s="252" t="str">
        <f>IFERROR(VLOOKUP(K32,列表!$B:$T,17,FALSE),"")</f>
        <v/>
      </c>
      <c r="O32" s="250">
        <v>48000</v>
      </c>
      <c r="P32" s="250">
        <v>9</v>
      </c>
      <c r="R32" s="248" t="b">
        <v>0</v>
      </c>
      <c r="T32" s="259" t="s">
        <v>451</v>
      </c>
      <c r="U32" s="269"/>
      <c r="V32" s="269"/>
      <c r="W32" s="268"/>
      <c r="X32" s="278" t="s">
        <v>452</v>
      </c>
      <c r="Y32" s="265" t="s">
        <v>453</v>
      </c>
      <c r="Z32" s="265" t="s">
        <v>388</v>
      </c>
      <c r="AA32" s="265" t="s">
        <v>336</v>
      </c>
      <c r="AB32" s="265" t="s">
        <v>454</v>
      </c>
      <c r="AC32" s="268" t="s">
        <v>38</v>
      </c>
      <c r="AE32" s="270"/>
      <c r="AF32" s="262">
        <v>23</v>
      </c>
      <c r="AG32" s="279" t="s">
        <v>455</v>
      </c>
      <c r="AH32" s="279" t="s">
        <v>456</v>
      </c>
      <c r="AI32" s="279" t="s">
        <v>457</v>
      </c>
      <c r="AJ32" s="279" t="s">
        <v>458</v>
      </c>
      <c r="AK32" s="279" t="s">
        <v>459</v>
      </c>
      <c r="AL32" s="279" t="s">
        <v>460</v>
      </c>
    </row>
    <row r="33" customHeight="1" spans="1:52">
      <c r="A33" s="250">
        <v>33</v>
      </c>
      <c r="B33" s="251" t="str">
        <f>IF(法术书I!W40="","",法术书I!W40)</f>
        <v/>
      </c>
      <c r="C33" s="250" t="str">
        <f>IFERROR(VLOOKUP(B33,列表!$B:$B,1,FALSE),"QuQ")</f>
        <v>QuQ</v>
      </c>
      <c r="D33" s="252" t="str">
        <f>IFERROR(VLOOKUP(C33,列表!$B:$T,17,FALSE),"")</f>
        <v/>
      </c>
      <c r="E33" s="250">
        <v>33</v>
      </c>
      <c r="F33" s="251" t="str">
        <f>IF(法术书II!W40="","",法术书II!W40)</f>
        <v/>
      </c>
      <c r="G33" s="250" t="str">
        <f>IFERROR(VLOOKUP(F33,列表!$B:$B,1,FALSE),"QuQ")</f>
        <v>QuQ</v>
      </c>
      <c r="H33" s="252" t="str">
        <f>IFERROR(VLOOKUP(G33,列表!$B:$T,17,FALSE),"")</f>
        <v/>
      </c>
      <c r="I33" s="250">
        <v>33</v>
      </c>
      <c r="J33" s="251" t="str">
        <f>IF(法术书III!W40="","",法术书III!W40)</f>
        <v/>
      </c>
      <c r="K33" s="250" t="str">
        <f>IFERROR(VLOOKUP(J33,列表!$B:$B,1,FALSE),"QuQ")</f>
        <v>QuQ</v>
      </c>
      <c r="L33" s="252" t="str">
        <f>IFERROR(VLOOKUP(K33,列表!$B:$T,17,FALSE),"")</f>
        <v/>
      </c>
      <c r="O33" s="250">
        <v>64000</v>
      </c>
      <c r="P33" s="250">
        <v>10</v>
      </c>
      <c r="R33" s="248" t="b">
        <v>0</v>
      </c>
      <c r="T33" s="256" t="s">
        <v>461</v>
      </c>
      <c r="U33" s="269"/>
      <c r="V33" s="269"/>
      <c r="W33" s="268"/>
      <c r="X33" s="278" t="s">
        <v>462</v>
      </c>
      <c r="Y33" s="265" t="s">
        <v>387</v>
      </c>
      <c r="Z33" s="265" t="s">
        <v>463</v>
      </c>
      <c r="AA33" s="265" t="s">
        <v>251</v>
      </c>
      <c r="AB33" s="265" t="s">
        <v>417</v>
      </c>
      <c r="AC33" s="268" t="s">
        <v>38</v>
      </c>
      <c r="AE33" s="270"/>
      <c r="AF33" s="262">
        <v>24</v>
      </c>
      <c r="AG33" s="279" t="s">
        <v>464</v>
      </c>
      <c r="AH33" s="279" t="s">
        <v>465</v>
      </c>
      <c r="AI33" s="279" t="s">
        <v>466</v>
      </c>
      <c r="AJ33" s="279" t="s">
        <v>467</v>
      </c>
      <c r="AK33" s="279" t="s">
        <v>468</v>
      </c>
      <c r="AL33" s="279" t="s">
        <v>469</v>
      </c>
    </row>
    <row r="34" customHeight="1" spans="1:52">
      <c r="A34" s="250">
        <v>34</v>
      </c>
      <c r="B34" s="251" t="str">
        <f>IF(法术书I!W41="","",法术书I!W41)</f>
        <v/>
      </c>
      <c r="C34" s="250" t="str">
        <f>IFERROR(VLOOKUP(B34,列表!$B:$B,1,FALSE),"QuQ")</f>
        <v>QuQ</v>
      </c>
      <c r="D34" s="252" t="str">
        <f>IFERROR(VLOOKUP(C34,列表!$B:$T,17,FALSE),"")</f>
        <v/>
      </c>
      <c r="E34" s="250">
        <v>34</v>
      </c>
      <c r="F34" s="251" t="str">
        <f>IF(法术书II!W41="","",法术书II!W41)</f>
        <v/>
      </c>
      <c r="G34" s="250" t="str">
        <f>IFERROR(VLOOKUP(F34,列表!$B:$B,1,FALSE),"QuQ")</f>
        <v>QuQ</v>
      </c>
      <c r="H34" s="252" t="str">
        <f>IFERROR(VLOOKUP(G34,列表!$B:$T,17,FALSE),"")</f>
        <v/>
      </c>
      <c r="I34" s="250">
        <v>34</v>
      </c>
      <c r="J34" s="251" t="str">
        <f>IF(法术书III!W41="","",法术书III!W41)</f>
        <v/>
      </c>
      <c r="K34" s="250" t="str">
        <f>IFERROR(VLOOKUP(J34,列表!$B:$B,1,FALSE),"QuQ")</f>
        <v>QuQ</v>
      </c>
      <c r="L34" s="252" t="str">
        <f>IFERROR(VLOOKUP(K34,列表!$B:$T,17,FALSE),"")</f>
        <v/>
      </c>
      <c r="O34" s="280">
        <v>85000</v>
      </c>
      <c r="P34" s="280">
        <v>11</v>
      </c>
      <c r="R34" s="248" t="b">
        <v>0</v>
      </c>
      <c r="T34" s="269"/>
      <c r="U34" s="269"/>
      <c r="V34" s="269"/>
      <c r="W34" s="268"/>
      <c r="X34" s="278" t="s">
        <v>470</v>
      </c>
      <c r="Y34" s="265" t="s">
        <v>453</v>
      </c>
      <c r="Z34" s="265" t="s">
        <v>349</v>
      </c>
      <c r="AA34" s="265" t="s">
        <v>304</v>
      </c>
      <c r="AB34" s="265" t="s">
        <v>75</v>
      </c>
      <c r="AC34" s="268" t="s">
        <v>38</v>
      </c>
      <c r="AE34" s="270"/>
      <c r="AF34" s="262">
        <v>25</v>
      </c>
      <c r="AG34" s="279" t="s">
        <v>471</v>
      </c>
      <c r="AH34" s="279" t="s">
        <v>472</v>
      </c>
      <c r="AI34" s="279" t="s">
        <v>473</v>
      </c>
      <c r="AJ34" s="279" t="s">
        <v>474</v>
      </c>
      <c r="AK34" s="279" t="s">
        <v>475</v>
      </c>
      <c r="AL34" s="279" t="s">
        <v>476</v>
      </c>
    </row>
    <row r="35" customHeight="1" spans="1:52">
      <c r="A35" s="250">
        <v>35</v>
      </c>
      <c r="B35" s="251" t="str">
        <f>IF(法术书I!W42="","",法术书I!W42)</f>
        <v/>
      </c>
      <c r="C35" s="250" t="str">
        <f>IFERROR(VLOOKUP(B35,列表!$B:$B,1,FALSE),"QuQ")</f>
        <v>QuQ</v>
      </c>
      <c r="D35" s="252" t="str">
        <f>IFERROR(VLOOKUP(C35,列表!$B:$T,17,FALSE),"")</f>
        <v/>
      </c>
      <c r="E35" s="250">
        <v>35</v>
      </c>
      <c r="F35" s="251" t="str">
        <f>IF(法术书II!W42="","",法术书II!W42)</f>
        <v/>
      </c>
      <c r="G35" s="250" t="str">
        <f>IFERROR(VLOOKUP(F35,列表!$B:$B,1,FALSE),"QuQ")</f>
        <v>QuQ</v>
      </c>
      <c r="H35" s="252" t="str">
        <f>IFERROR(VLOOKUP(G35,列表!$B:$T,17,FALSE),"")</f>
        <v/>
      </c>
      <c r="I35" s="250">
        <v>35</v>
      </c>
      <c r="J35" s="251" t="str">
        <f>IF(法术书III!W42="","",法术书III!W42)</f>
        <v/>
      </c>
      <c r="K35" s="250" t="str">
        <f>IFERROR(VLOOKUP(J35,列表!$B:$B,1,FALSE),"QuQ")</f>
        <v>QuQ</v>
      </c>
      <c r="L35" s="252" t="str">
        <f>IFERROR(VLOOKUP(K35,列表!$B:$T,17,FALSE),"")</f>
        <v/>
      </c>
      <c r="O35" s="280">
        <v>100000</v>
      </c>
      <c r="P35" s="280">
        <v>12</v>
      </c>
      <c r="R35" s="248" t="b">
        <v>0</v>
      </c>
      <c r="T35" s="259" t="s">
        <v>75</v>
      </c>
      <c r="U35" s="259"/>
      <c r="V35" s="272"/>
      <c r="W35" s="268"/>
      <c r="X35" s="278" t="s">
        <v>477</v>
      </c>
      <c r="Y35" s="265" t="s">
        <v>264</v>
      </c>
      <c r="Z35" s="265" t="s">
        <v>478</v>
      </c>
      <c r="AA35" s="265" t="s">
        <v>479</v>
      </c>
      <c r="AB35" s="265" t="s">
        <v>405</v>
      </c>
      <c r="AC35" s="268" t="s">
        <v>38</v>
      </c>
      <c r="AE35" s="270"/>
      <c r="AF35" s="262"/>
      <c r="AG35" s="270"/>
      <c r="AH35" s="270"/>
      <c r="AI35" s="270"/>
      <c r="AJ35" s="270"/>
      <c r="AK35" s="270"/>
      <c r="AL35" s="270"/>
    </row>
    <row r="36" customHeight="1" spans="1:52">
      <c r="A36" s="250">
        <v>36</v>
      </c>
      <c r="B36" s="251" t="str">
        <f>IF(法术书I!W43="","",法术书I!W43)</f>
        <v/>
      </c>
      <c r="C36" s="250" t="str">
        <f>IFERROR(VLOOKUP(B36,列表!$B:$B,1,FALSE),"QuQ")</f>
        <v>QuQ</v>
      </c>
      <c r="D36" s="252" t="str">
        <f>IFERROR(VLOOKUP(C36,列表!$B:$T,17,FALSE),"")</f>
        <v/>
      </c>
      <c r="E36" s="250">
        <v>36</v>
      </c>
      <c r="F36" s="251" t="str">
        <f>IF(法术书II!W43="","",法术书II!W43)</f>
        <v/>
      </c>
      <c r="G36" s="250" t="str">
        <f>IFERROR(VLOOKUP(F36,列表!$B:$B,1,FALSE),"QuQ")</f>
        <v>QuQ</v>
      </c>
      <c r="H36" s="252" t="str">
        <f>IFERROR(VLOOKUP(G36,列表!$B:$T,17,FALSE),"")</f>
        <v/>
      </c>
      <c r="I36" s="250">
        <v>36</v>
      </c>
      <c r="J36" s="251" t="str">
        <f>IF(法术书III!W43="","",法术书III!W43)</f>
        <v/>
      </c>
      <c r="K36" s="250" t="str">
        <f>IFERROR(VLOOKUP(J36,列表!$B:$B,1,FALSE),"QuQ")</f>
        <v>QuQ</v>
      </c>
      <c r="L36" s="252" t="str">
        <f>IFERROR(VLOOKUP(K36,列表!$B:$T,17,FALSE),"")</f>
        <v/>
      </c>
      <c r="O36" s="280">
        <v>120000</v>
      </c>
      <c r="P36" s="280">
        <v>13</v>
      </c>
      <c r="R36" s="248" t="b">
        <v>0</v>
      </c>
      <c r="T36" s="259" t="s">
        <v>208</v>
      </c>
      <c r="U36" s="259"/>
      <c r="V36" s="272">
        <f>主要!$I$13</f>
        <v>0</v>
      </c>
      <c r="W36" s="268"/>
      <c r="X36" s="278" t="s">
        <v>480</v>
      </c>
      <c r="Y36" s="265" t="s">
        <v>348</v>
      </c>
      <c r="Z36" s="265" t="s">
        <v>349</v>
      </c>
      <c r="AA36" s="265" t="s">
        <v>222</v>
      </c>
      <c r="AB36" s="265" t="s">
        <v>481</v>
      </c>
      <c r="AC36" s="268" t="str">
        <f>IF(主要!$I$11&gt;=主要!$I$13,"力量","敏捷")</f>
        <v>力量</v>
      </c>
      <c r="AE36" s="270"/>
      <c r="AF36" s="270"/>
      <c r="AG36" s="259" t="s">
        <v>38</v>
      </c>
      <c r="AH36" s="259" t="s">
        <v>43</v>
      </c>
      <c r="AI36" s="259" t="s">
        <v>46</v>
      </c>
      <c r="AJ36" s="259" t="s">
        <v>52</v>
      </c>
      <c r="AK36" s="259" t="s">
        <v>53</v>
      </c>
      <c r="AL36" s="259" t="s">
        <v>57</v>
      </c>
    </row>
    <row r="37" customHeight="1" spans="1:52">
      <c r="A37" s="250">
        <v>37</v>
      </c>
      <c r="B37" s="251" t="str">
        <f>IF(法术书I!W44="","",法术书I!W44)</f>
        <v/>
      </c>
      <c r="C37" s="250" t="str">
        <f>IFERROR(VLOOKUP(B37,列表!$B:$B,1,FALSE),"QuQ")</f>
        <v>QuQ</v>
      </c>
      <c r="D37" s="252" t="str">
        <f>IFERROR(VLOOKUP(C37,列表!$B:$T,17,FALSE),"")</f>
        <v/>
      </c>
      <c r="E37" s="250">
        <v>37</v>
      </c>
      <c r="F37" s="251" t="str">
        <f>IF(法术书II!W44="","",法术书II!W44)</f>
        <v/>
      </c>
      <c r="G37" s="250" t="str">
        <f>IFERROR(VLOOKUP(F37,列表!$B:$B,1,FALSE),"QuQ")</f>
        <v>QuQ</v>
      </c>
      <c r="H37" s="252" t="str">
        <f>IFERROR(VLOOKUP(G37,列表!$B:$T,17,FALSE),"")</f>
        <v/>
      </c>
      <c r="I37" s="250">
        <v>37</v>
      </c>
      <c r="J37" s="251" t="str">
        <f>IF(法术书III!W44="","",法术书III!W44)</f>
        <v/>
      </c>
      <c r="K37" s="250" t="str">
        <f>IFERROR(VLOOKUP(J37,列表!$B:$B,1,FALSE),"QuQ")</f>
        <v>QuQ</v>
      </c>
      <c r="L37" s="252" t="str">
        <f>IFERROR(VLOOKUP(K37,列表!$B:$T,17,FALSE),"")</f>
        <v/>
      </c>
      <c r="O37" s="280">
        <v>140000</v>
      </c>
      <c r="P37" s="280">
        <v>14</v>
      </c>
      <c r="R37" s="248" t="b">
        <v>0</v>
      </c>
      <c r="T37" s="259" t="s">
        <v>217</v>
      </c>
      <c r="U37" s="259">
        <v>2</v>
      </c>
      <c r="V37" s="272">
        <f>IF(主要!$I$13&gt;=U37,U37,主要!$I$13)</f>
        <v>0</v>
      </c>
      <c r="W37" s="268"/>
      <c r="X37" s="278" t="s">
        <v>482</v>
      </c>
      <c r="Y37" s="265" t="s">
        <v>348</v>
      </c>
      <c r="Z37" s="265" t="s">
        <v>265</v>
      </c>
      <c r="AA37" s="265" t="s">
        <v>336</v>
      </c>
      <c r="AB37" s="265" t="s">
        <v>483</v>
      </c>
      <c r="AC37" s="268" t="str">
        <f>IF(主要!$I$11&gt;=主要!$I$13,"力量","敏捷")</f>
        <v>力量</v>
      </c>
      <c r="AE37" s="270"/>
      <c r="AF37" s="270"/>
      <c r="AG37" s="250">
        <f>IF(主要!F11&lt;&gt;"",主要!F11,"")</f>
        <v>10</v>
      </c>
      <c r="AH37" s="250">
        <f>IF(主要!F13&lt;&gt;"",主要!F13,"")</f>
        <v>10</v>
      </c>
      <c r="AI37" s="250">
        <f>IF(主要!F15&lt;&gt;"",主要!F15,"")</f>
        <v>10</v>
      </c>
      <c r="AJ37" s="250">
        <f>IF(主要!F17&lt;&gt;"",主要!F17,"")</f>
        <v>10</v>
      </c>
      <c r="AK37" s="250">
        <f>IF(主要!F19&lt;&gt;"",主要!F19,"")</f>
        <v>10</v>
      </c>
      <c r="AL37" s="250">
        <f>IF(主要!F21&lt;&gt;"",主要!F21,"")</f>
        <v>10</v>
      </c>
    </row>
    <row r="38" customHeight="1" spans="1:52">
      <c r="A38" s="250">
        <v>38</v>
      </c>
      <c r="B38" s="251" t="str">
        <f>IF(法术书I!W45="","",法术书I!W45)</f>
        <v/>
      </c>
      <c r="C38" s="250" t="str">
        <f>IFERROR(VLOOKUP(B38,列表!$B:$B,1,FALSE),"QuQ")</f>
        <v>QuQ</v>
      </c>
      <c r="D38" s="252" t="str">
        <f>IFERROR(VLOOKUP(C38,列表!$B:$T,17,FALSE),"")</f>
        <v/>
      </c>
      <c r="E38" s="250">
        <v>38</v>
      </c>
      <c r="F38" s="251" t="str">
        <f>IF(法术书II!W45="","",法术书II!W45)</f>
        <v/>
      </c>
      <c r="G38" s="250" t="str">
        <f>IFERROR(VLOOKUP(F38,列表!$B:$B,1,FALSE),"QuQ")</f>
        <v>QuQ</v>
      </c>
      <c r="H38" s="252" t="str">
        <f>IFERROR(VLOOKUP(G38,列表!$B:$T,17,FALSE),"")</f>
        <v/>
      </c>
      <c r="I38" s="250">
        <v>38</v>
      </c>
      <c r="J38" s="251" t="str">
        <f>IF(法术书III!W45="","",法术书III!W45)</f>
        <v/>
      </c>
      <c r="K38" s="250" t="str">
        <f>IFERROR(VLOOKUP(J38,列表!$B:$B,1,FALSE),"QuQ")</f>
        <v>QuQ</v>
      </c>
      <c r="L38" s="252" t="str">
        <f>IFERROR(VLOOKUP(K38,列表!$B:$T,17,FALSE),"")</f>
        <v/>
      </c>
      <c r="O38" s="280">
        <v>165000</v>
      </c>
      <c r="P38" s="280">
        <v>15</v>
      </c>
      <c r="R38" s="248" t="b">
        <v>0</v>
      </c>
      <c r="T38" s="259" t="s">
        <v>233</v>
      </c>
      <c r="U38" s="259">
        <v>0</v>
      </c>
      <c r="V38" s="272">
        <f>IF(主要!$I$13&lt;0,0,IF(主要!$I$13&gt;=U38,U38,主要!$I$13))</f>
        <v>0</v>
      </c>
      <c r="W38" s="268"/>
      <c r="X38" s="278" t="s">
        <v>484</v>
      </c>
      <c r="Y38" s="265" t="s">
        <v>387</v>
      </c>
      <c r="Z38" s="265" t="s">
        <v>279</v>
      </c>
      <c r="AA38" s="265" t="s">
        <v>222</v>
      </c>
      <c r="AB38" s="265" t="s">
        <v>483</v>
      </c>
      <c r="AC38" s="268" t="str">
        <f>IF(主要!$I$11&gt;=主要!$I$13,"力量","敏捷")</f>
        <v>力量</v>
      </c>
      <c r="AE38" s="270"/>
      <c r="AF38" s="270"/>
      <c r="AG38" s="270" t="str">
        <f t="shared" ref="AG38:AL38" si="0">IF(AG37="","",IF(AG37&lt;=1,AG10,IF(AG37=2,AG11,IF(AG37=3,AG12,IF(AG37=4,AG13,IF(AG37=5,AG14,IF(AG37=6,AG15,IF(AG37=7,AG16,IF(AG37=8,AG17,IF(AG37=9,AG18,IF(AG37=10,AG19,IF(AG37=11,AG20,IF(AG37=12,AG21,IF(AG37&lt;=14,AG22,IF(AG37&lt;=17,AG25,IF(AG37=18,AG27,IF(AG37=19,AG28,IF(AG37=20,AG29,IF(AG37=21,AG30,IF(AG37=22,AG31,IF(AG37=23,AG32,IF(AG37=24,AG33,IF(AG37&gt;=25,AG34)))))))))))))))))))))))</f>
        <v>有正常人的力量</v>
      </c>
      <c r="AH38" s="270" t="str">
        <f t="shared" si="0"/>
        <v>普通人的水准</v>
      </c>
      <c r="AI38" s="270" t="str">
        <f t="shared" si="0"/>
        <v>正常人的体质</v>
      </c>
      <c r="AJ38" s="270" t="str">
        <f t="shared" si="0"/>
        <v>正常人的智力</v>
      </c>
      <c r="AK38" s="270" t="str">
        <f t="shared" si="0"/>
        <v>你醒啦，你很正常</v>
      </c>
      <c r="AL38" s="270" t="str">
        <f t="shared" si="0"/>
        <v>讨价还价的能力不错</v>
      </c>
    </row>
    <row r="39" customHeight="1" spans="1:52">
      <c r="A39" s="250">
        <v>39</v>
      </c>
      <c r="B39" s="251" t="str">
        <f>IF(法术书I!W46="","",法术书I!W46)</f>
        <v/>
      </c>
      <c r="C39" s="250" t="str">
        <f>IFERROR(VLOOKUP(B39,列表!$B:$B,1,FALSE),"QuQ")</f>
        <v>QuQ</v>
      </c>
      <c r="D39" s="252" t="str">
        <f>IFERROR(VLOOKUP(C39,列表!$B:$T,17,FALSE),"")</f>
        <v/>
      </c>
      <c r="E39" s="250">
        <v>39</v>
      </c>
      <c r="F39" s="251" t="str">
        <f>IF(法术书II!W46="","",法术书II!W46)</f>
        <v/>
      </c>
      <c r="G39" s="250" t="str">
        <f>IFERROR(VLOOKUP(F39,列表!$B:$B,1,FALSE),"QuQ")</f>
        <v>QuQ</v>
      </c>
      <c r="H39" s="252" t="str">
        <f>IFERROR(VLOOKUP(G39,列表!$B:$T,17,FALSE),"")</f>
        <v/>
      </c>
      <c r="I39" s="250">
        <v>39</v>
      </c>
      <c r="J39" s="251" t="str">
        <f>IF(法术书III!W46="","",法术书III!W46)</f>
        <v/>
      </c>
      <c r="K39" s="250" t="str">
        <f>IFERROR(VLOOKUP(J39,列表!$B:$B,1,FALSE),"QuQ")</f>
        <v>QuQ</v>
      </c>
      <c r="L39" s="252" t="str">
        <f>IFERROR(VLOOKUP(K39,列表!$B:$T,17,FALSE),"")</f>
        <v/>
      </c>
      <c r="O39" s="280">
        <v>195000</v>
      </c>
      <c r="P39" s="280">
        <v>16</v>
      </c>
      <c r="R39" s="248" t="b">
        <v>0</v>
      </c>
      <c r="T39" s="259" t="s">
        <v>73</v>
      </c>
      <c r="U39" s="259"/>
      <c r="V39" s="272" t="s">
        <v>485</v>
      </c>
      <c r="W39" s="268"/>
      <c r="X39" s="278" t="s">
        <v>486</v>
      </c>
      <c r="Y39" s="265" t="s">
        <v>264</v>
      </c>
      <c r="Z39" s="265" t="s">
        <v>279</v>
      </c>
      <c r="AA39" s="265" t="s">
        <v>304</v>
      </c>
      <c r="AB39" s="265" t="s">
        <v>487</v>
      </c>
      <c r="AC39" s="268" t="s">
        <v>38</v>
      </c>
    </row>
    <row r="40" customHeight="1" spans="1:52">
      <c r="A40" s="250">
        <v>40</v>
      </c>
      <c r="B40" s="251" t="str">
        <f>IF(法术书I!W47="","",法术书I!W47)</f>
        <v/>
      </c>
      <c r="C40" s="250" t="str">
        <f>IFERROR(VLOOKUP(B40,列表!$B:$B,1,FALSE),"QuQ")</f>
        <v>QuQ</v>
      </c>
      <c r="D40" s="252" t="str">
        <f>IFERROR(VLOOKUP(C40,列表!$B:$T,17,FALSE),"")</f>
        <v/>
      </c>
      <c r="E40" s="250">
        <v>40</v>
      </c>
      <c r="F40" s="251" t="str">
        <f>IF(法术书II!W47="","",法术书II!W47)</f>
        <v/>
      </c>
      <c r="G40" s="250" t="str">
        <f>IFERROR(VLOOKUP(F40,列表!$B:$B,1,FALSE),"QuQ")</f>
        <v>QuQ</v>
      </c>
      <c r="H40" s="252" t="str">
        <f>IFERROR(VLOOKUP(G40,列表!$B:$T,17,FALSE),"")</f>
        <v/>
      </c>
      <c r="I40" s="250">
        <v>40</v>
      </c>
      <c r="J40" s="251" t="str">
        <f>IF(法术书III!W47="","",法术书III!W47)</f>
        <v/>
      </c>
      <c r="K40" s="250" t="str">
        <f>IFERROR(VLOOKUP(J40,列表!$B:$B,1,FALSE),"QuQ")</f>
        <v>QuQ</v>
      </c>
      <c r="L40" s="252" t="str">
        <f>IFERROR(VLOOKUP(K40,列表!$B:$T,17,FALSE),"")</f>
        <v/>
      </c>
      <c r="O40" s="250">
        <v>225000</v>
      </c>
      <c r="P40" s="250">
        <v>17</v>
      </c>
      <c r="R40" s="248" t="b">
        <v>0</v>
      </c>
      <c r="T40" s="269"/>
      <c r="U40" s="269"/>
      <c r="V40" s="269"/>
      <c r="W40" s="268"/>
      <c r="X40" s="278" t="s">
        <v>488</v>
      </c>
      <c r="Y40" s="265" t="s">
        <v>264</v>
      </c>
      <c r="Z40" s="265" t="s">
        <v>349</v>
      </c>
      <c r="AA40" s="265">
        <v>2</v>
      </c>
      <c r="AB40" s="265" t="s">
        <v>75</v>
      </c>
      <c r="AC40" s="268" t="s">
        <v>38</v>
      </c>
      <c r="AG40" s="259" t="s">
        <v>74</v>
      </c>
      <c r="AH40" s="250">
        <f>VLOOKUP($AG40,主要!C:J,7,FALSE)</f>
        <v>0</v>
      </c>
    </row>
    <row r="41" customHeight="1" spans="1:52">
      <c r="A41" s="250">
        <v>41</v>
      </c>
      <c r="B41" s="251" t="str">
        <f>IF(法术书I!W48="","",法术书I!W48)</f>
        <v/>
      </c>
      <c r="C41" s="250" t="str">
        <f>IFERROR(VLOOKUP(B41,列表!$B:$B,1,FALSE),"QuQ")</f>
        <v>QuQ</v>
      </c>
      <c r="D41" s="252" t="str">
        <f>IFERROR(VLOOKUP(C41,列表!$B:$T,17,FALSE),"")</f>
        <v/>
      </c>
      <c r="E41" s="250">
        <v>41</v>
      </c>
      <c r="F41" s="251" t="str">
        <f>IF(法术书II!W48="","",法术书II!W48)</f>
        <v/>
      </c>
      <c r="G41" s="250" t="str">
        <f>IFERROR(VLOOKUP(F41,列表!$B:$B,1,FALSE),"QuQ")</f>
        <v>QuQ</v>
      </c>
      <c r="H41" s="252" t="str">
        <f>IFERROR(VLOOKUP(G41,列表!$B:$T,17,FALSE),"")</f>
        <v/>
      </c>
      <c r="I41" s="250">
        <v>41</v>
      </c>
      <c r="J41" s="251" t="str">
        <f>IF(法术书III!W48="","",法术书III!W48)</f>
        <v/>
      </c>
      <c r="K41" s="250" t="str">
        <f>IFERROR(VLOOKUP(J41,列表!$B:$B,1,FALSE),"QuQ")</f>
        <v>QuQ</v>
      </c>
      <c r="L41" s="252" t="str">
        <f>IFERROR(VLOOKUP(K41,列表!$B:$T,17,FALSE),"")</f>
        <v/>
      </c>
      <c r="O41" s="250">
        <v>265000</v>
      </c>
      <c r="P41" s="250">
        <v>18</v>
      </c>
      <c r="R41" s="248" t="b">
        <v>0</v>
      </c>
      <c r="T41" s="269"/>
      <c r="U41" s="269"/>
      <c r="V41" s="269"/>
      <c r="W41" s="268"/>
      <c r="X41" s="278" t="s">
        <v>489</v>
      </c>
      <c r="Y41" s="265" t="s">
        <v>453</v>
      </c>
      <c r="Z41" s="265" t="s">
        <v>250</v>
      </c>
      <c r="AA41" s="265" t="s">
        <v>222</v>
      </c>
      <c r="AB41" s="265" t="s">
        <v>389</v>
      </c>
      <c r="AC41" s="268" t="s">
        <v>38</v>
      </c>
      <c r="AG41" s="259" t="s">
        <v>84</v>
      </c>
      <c r="AH41" s="250">
        <f>VLOOKUP($AG41,主要!C:J,7,FALSE)</f>
        <v>0</v>
      </c>
      <c r="AK41" s="250" t="s">
        <v>490</v>
      </c>
      <c r="AL41" s="250" t="s">
        <v>22</v>
      </c>
      <c r="AM41" s="281" t="s">
        <v>491</v>
      </c>
      <c r="AN41" s="281"/>
      <c r="AO41" s="281"/>
      <c r="AP41" s="281"/>
      <c r="AQ41" s="281"/>
      <c r="AR41" s="281"/>
      <c r="AS41" s="281"/>
      <c r="AT41" s="281"/>
      <c r="AU41" s="281"/>
      <c r="AV41" s="281"/>
      <c r="AW41" s="281"/>
      <c r="AX41" s="281"/>
      <c r="AY41" s="281"/>
      <c r="AZ41" s="281"/>
    </row>
    <row r="42" customHeight="1" spans="1:52">
      <c r="A42" s="250">
        <v>42</v>
      </c>
      <c r="B42" s="251" t="str">
        <f>IF(法术书I!W49="","",法术书I!W49)</f>
        <v/>
      </c>
      <c r="C42" s="250" t="str">
        <f>IFERROR(VLOOKUP(B42,列表!$B:$B,1,FALSE),"QuQ")</f>
        <v>QuQ</v>
      </c>
      <c r="D42" s="252" t="str">
        <f>IFERROR(VLOOKUP(C42,列表!$B:$T,17,FALSE),"")</f>
        <v/>
      </c>
      <c r="E42" s="250">
        <v>42</v>
      </c>
      <c r="F42" s="251" t="str">
        <f>IF(法术书II!W49="","",法术书II!W49)</f>
        <v/>
      </c>
      <c r="G42" s="250" t="str">
        <f>IFERROR(VLOOKUP(F42,列表!$B:$B,1,FALSE),"QuQ")</f>
        <v>QuQ</v>
      </c>
      <c r="H42" s="252" t="str">
        <f>IFERROR(VLOOKUP(G42,列表!$B:$T,17,FALSE),"")</f>
        <v/>
      </c>
      <c r="I42" s="250">
        <v>42</v>
      </c>
      <c r="J42" s="251" t="str">
        <f>IF(法术书III!W49="","",法术书III!W49)</f>
        <v/>
      </c>
      <c r="K42" s="250" t="str">
        <f>IFERROR(VLOOKUP(J42,列表!$B:$B,1,FALSE),"QuQ")</f>
        <v>QuQ</v>
      </c>
      <c r="L42" s="252" t="str">
        <f>IFERROR(VLOOKUP(K42,列表!$B:$T,17,FALSE),"")</f>
        <v/>
      </c>
      <c r="O42" s="250">
        <v>305000</v>
      </c>
      <c r="P42" s="250">
        <v>19</v>
      </c>
      <c r="R42" s="248" t="b">
        <v>0</v>
      </c>
      <c r="T42" s="269"/>
      <c r="U42" s="269"/>
      <c r="V42" s="269"/>
      <c r="W42" s="268"/>
      <c r="X42" s="278" t="s">
        <v>492</v>
      </c>
      <c r="Y42" s="265" t="s">
        <v>235</v>
      </c>
      <c r="Z42" s="265" t="s">
        <v>324</v>
      </c>
      <c r="AA42" s="265" t="s">
        <v>336</v>
      </c>
      <c r="AB42" s="265" t="s">
        <v>493</v>
      </c>
      <c r="AC42" s="268" t="str">
        <f>IF(主要!$I$11&gt;=主要!$I$13,"力量","敏捷")</f>
        <v>力量</v>
      </c>
      <c r="AG42" s="259" t="s">
        <v>86</v>
      </c>
      <c r="AH42" s="250">
        <f>VLOOKUP($AG42,主要!C:J,7,FALSE)</f>
        <v>0</v>
      </c>
      <c r="AK42" s="250" t="s">
        <v>494</v>
      </c>
      <c r="AL42" s="250" t="s">
        <v>495</v>
      </c>
      <c r="AM42" s="281" t="s">
        <v>496</v>
      </c>
      <c r="AN42" s="281"/>
      <c r="AO42" s="281"/>
      <c r="AP42" s="281"/>
      <c r="AQ42" s="281"/>
      <c r="AR42" s="281"/>
      <c r="AS42" s="281"/>
      <c r="AT42" s="281"/>
      <c r="AU42" s="281"/>
      <c r="AV42" s="281"/>
      <c r="AW42" s="281"/>
      <c r="AX42" s="282"/>
      <c r="AY42" s="282"/>
      <c r="AZ42" s="282"/>
    </row>
    <row r="43" customHeight="1" spans="1:52">
      <c r="A43" s="250">
        <v>43</v>
      </c>
      <c r="B43" s="251" t="str">
        <f>IF(法术书I!W50="","",法术书I!W50)</f>
        <v/>
      </c>
      <c r="C43" s="250" t="str">
        <f>IFERROR(VLOOKUP(B43,列表!$B:$B,1,FALSE),"QuQ")</f>
        <v>QuQ</v>
      </c>
      <c r="D43" s="252" t="str">
        <f>IFERROR(VLOOKUP(C43,列表!$B:$T,17,FALSE),"")</f>
        <v/>
      </c>
      <c r="E43" s="250">
        <v>43</v>
      </c>
      <c r="F43" s="251" t="str">
        <f>IF(法术书II!W50="","",法术书II!W50)</f>
        <v/>
      </c>
      <c r="G43" s="250" t="str">
        <f>IFERROR(VLOOKUP(F43,列表!$B:$B,1,FALSE),"QuQ")</f>
        <v>QuQ</v>
      </c>
      <c r="H43" s="252" t="str">
        <f>IFERROR(VLOOKUP(G43,列表!$B:$T,17,FALSE),"")</f>
        <v/>
      </c>
      <c r="I43" s="250">
        <v>43</v>
      </c>
      <c r="J43" s="251" t="str">
        <f>IF(法术书III!W50="","",法术书III!W50)</f>
        <v/>
      </c>
      <c r="K43" s="250" t="str">
        <f>IFERROR(VLOOKUP(J43,列表!$B:$B,1,FALSE),"QuQ")</f>
        <v>QuQ</v>
      </c>
      <c r="L43" s="252" t="str">
        <f>IFERROR(VLOOKUP(K43,列表!$B:$T,17,FALSE),"")</f>
        <v/>
      </c>
      <c r="O43" s="250">
        <v>355000</v>
      </c>
      <c r="P43" s="250">
        <v>20</v>
      </c>
      <c r="T43" s="269"/>
      <c r="U43" s="269"/>
      <c r="V43" s="269"/>
      <c r="W43" s="283" t="s">
        <v>497</v>
      </c>
      <c r="X43" s="274" t="s">
        <v>498</v>
      </c>
      <c r="Y43" s="274" t="s">
        <v>387</v>
      </c>
      <c r="Z43" s="274" t="s">
        <v>499</v>
      </c>
      <c r="AA43" s="274" t="s">
        <v>237</v>
      </c>
      <c r="AB43" s="274" t="s">
        <v>500</v>
      </c>
      <c r="AC43" s="275" t="s">
        <v>43</v>
      </c>
      <c r="AG43" s="259" t="s">
        <v>88</v>
      </c>
      <c r="AH43" s="250">
        <f>VLOOKUP($AG43,主要!C:J,7,FALSE)</f>
        <v>0</v>
      </c>
      <c r="AK43" s="250" t="s">
        <v>501</v>
      </c>
      <c r="AL43" s="250" t="s">
        <v>502</v>
      </c>
      <c r="AM43" s="281" t="s">
        <v>503</v>
      </c>
      <c r="AN43" s="281" t="s">
        <v>504</v>
      </c>
      <c r="AO43" s="281" t="s">
        <v>505</v>
      </c>
      <c r="AP43" s="281"/>
      <c r="AQ43" s="281"/>
      <c r="AR43" s="281"/>
      <c r="AS43" s="281"/>
      <c r="AT43" s="281"/>
      <c r="AU43" s="281"/>
      <c r="AV43" s="281"/>
      <c r="AW43" s="281"/>
      <c r="AX43" s="282"/>
      <c r="AY43" s="282"/>
      <c r="AZ43" s="282"/>
    </row>
    <row r="44" customHeight="1" spans="1:52">
      <c r="A44" s="250">
        <v>44</v>
      </c>
      <c r="B44" s="251" t="str">
        <f>IF(法术书I!W51="","",法术书I!W51)</f>
        <v/>
      </c>
      <c r="C44" s="250" t="str">
        <f>IFERROR(VLOOKUP(B44,列表!$B:$B,1,FALSE),"QuQ")</f>
        <v>QuQ</v>
      </c>
      <c r="D44" s="252" t="str">
        <f>IFERROR(VLOOKUP(C44,列表!$B:$T,17,FALSE),"")</f>
        <v/>
      </c>
      <c r="E44" s="250">
        <v>44</v>
      </c>
      <c r="F44" s="251" t="str">
        <f>IF(法术书II!W51="","",法术书II!W51)</f>
        <v/>
      </c>
      <c r="G44" s="250" t="str">
        <f>IFERROR(VLOOKUP(F44,列表!$B:$B,1,FALSE),"QuQ")</f>
        <v>QuQ</v>
      </c>
      <c r="H44" s="252" t="str">
        <f>IFERROR(VLOOKUP(G44,列表!$B:$T,17,FALSE),"")</f>
        <v/>
      </c>
      <c r="I44" s="250">
        <v>44</v>
      </c>
      <c r="J44" s="251" t="str">
        <f>IF(法术书III!W51="","",法术书III!W51)</f>
        <v/>
      </c>
      <c r="K44" s="250" t="str">
        <f>IFERROR(VLOOKUP(J44,列表!$B:$B,1,FALSE),"QuQ")</f>
        <v>QuQ</v>
      </c>
      <c r="L44" s="252" t="str">
        <f>IFERROR(VLOOKUP(K44,列表!$B:$T,17,FALSE),"")</f>
        <v/>
      </c>
      <c r="T44" s="269"/>
      <c r="U44" s="269"/>
      <c r="V44" s="269"/>
      <c r="W44" s="284"/>
      <c r="X44" s="274" t="s">
        <v>506</v>
      </c>
      <c r="Y44" s="274" t="s">
        <v>507</v>
      </c>
      <c r="Z44" s="274" t="s">
        <v>279</v>
      </c>
      <c r="AA44" s="274" t="s">
        <v>336</v>
      </c>
      <c r="AB44" s="274" t="s">
        <v>508</v>
      </c>
      <c r="AC44" s="275" t="s">
        <v>43</v>
      </c>
      <c r="AG44" s="259" t="s">
        <v>92</v>
      </c>
      <c r="AH44" s="250">
        <f>VLOOKUP($AG44,主要!C:J,7,FALSE)</f>
        <v>0</v>
      </c>
      <c r="AK44" s="250" t="s">
        <v>494</v>
      </c>
      <c r="AL44" s="250" t="s">
        <v>509</v>
      </c>
      <c r="AM44" s="281" t="s">
        <v>510</v>
      </c>
      <c r="AN44" s="281" t="s">
        <v>511</v>
      </c>
      <c r="AO44" s="281" t="s">
        <v>512</v>
      </c>
      <c r="AP44" s="281" t="s">
        <v>513</v>
      </c>
      <c r="AQ44" s="281" t="s">
        <v>514</v>
      </c>
      <c r="AR44" s="281" t="s">
        <v>515</v>
      </c>
      <c r="AS44" s="281" t="s">
        <v>516</v>
      </c>
      <c r="AT44" s="281" t="s">
        <v>517</v>
      </c>
      <c r="AU44" s="281" t="s">
        <v>518</v>
      </c>
      <c r="AV44" s="281" t="s">
        <v>519</v>
      </c>
      <c r="AW44" s="281" t="s">
        <v>520</v>
      </c>
      <c r="AX44" s="282"/>
      <c r="AY44" s="282"/>
      <c r="AZ44" s="282"/>
    </row>
    <row r="45" customHeight="1" spans="1:52">
      <c r="A45" s="250">
        <v>45</v>
      </c>
      <c r="B45" s="251" t="str">
        <f>IF(法术书I!W52="","",法术书I!W52)</f>
        <v/>
      </c>
      <c r="C45" s="250" t="str">
        <f>IFERROR(VLOOKUP(B45,列表!$B:$B,1,FALSE),"QuQ")</f>
        <v>QuQ</v>
      </c>
      <c r="D45" s="252" t="str">
        <f>IFERROR(VLOOKUP(C45,列表!$B:$T,17,FALSE),"")</f>
        <v/>
      </c>
      <c r="E45" s="250">
        <v>45</v>
      </c>
      <c r="F45" s="251" t="str">
        <f>IF(法术书II!W52="","",法术书II!W52)</f>
        <v/>
      </c>
      <c r="G45" s="250" t="str">
        <f>IFERROR(VLOOKUP(F45,列表!$B:$B,1,FALSE),"QuQ")</f>
        <v>QuQ</v>
      </c>
      <c r="H45" s="252" t="str">
        <f>IFERROR(VLOOKUP(G45,列表!$B:$T,17,FALSE),"")</f>
        <v/>
      </c>
      <c r="I45" s="250">
        <v>45</v>
      </c>
      <c r="J45" s="251" t="str">
        <f>IF(法术书III!W52="","",法术书III!W52)</f>
        <v/>
      </c>
      <c r="K45" s="250" t="str">
        <f>IFERROR(VLOOKUP(J45,列表!$B:$B,1,FALSE),"QuQ")</f>
        <v>QuQ</v>
      </c>
      <c r="L45" s="252" t="str">
        <f>IFERROR(VLOOKUP(K45,列表!$B:$T,17,FALSE),"")</f>
        <v/>
      </c>
      <c r="O45" s="250" t="s">
        <v>25</v>
      </c>
      <c r="P45" s="250"/>
      <c r="Q45" s="250"/>
      <c r="T45" s="269"/>
      <c r="U45" s="269"/>
      <c r="V45" s="269"/>
      <c r="W45" s="284"/>
      <c r="X45" s="274" t="s">
        <v>521</v>
      </c>
      <c r="Y45" s="274" t="s">
        <v>425</v>
      </c>
      <c r="Z45" s="274" t="s">
        <v>478</v>
      </c>
      <c r="AA45" s="274" t="s">
        <v>479</v>
      </c>
      <c r="AB45" s="274" t="s">
        <v>522</v>
      </c>
      <c r="AC45" s="275" t="s">
        <v>43</v>
      </c>
      <c r="AG45" s="259" t="s">
        <v>94</v>
      </c>
      <c r="AH45" s="250">
        <f>VLOOKUP($AG45,主要!C:J,7,FALSE)</f>
        <v>0</v>
      </c>
      <c r="AK45" s="250" t="s">
        <v>494</v>
      </c>
      <c r="AL45" s="250" t="s">
        <v>523</v>
      </c>
      <c r="AM45" s="281" t="s">
        <v>524</v>
      </c>
      <c r="AN45" s="281" t="s">
        <v>525</v>
      </c>
      <c r="AO45" s="281" t="s">
        <v>526</v>
      </c>
      <c r="AP45" s="281"/>
      <c r="AQ45" s="281"/>
      <c r="AR45" s="281"/>
      <c r="AS45" s="281"/>
      <c r="AT45" s="281"/>
      <c r="AU45" s="281"/>
      <c r="AV45" s="281"/>
      <c r="AW45" s="281"/>
      <c r="AX45" s="282"/>
      <c r="AY45" s="282"/>
      <c r="AZ45" s="282"/>
    </row>
    <row r="46" customHeight="1" spans="1:52">
      <c r="A46" s="250">
        <v>46</v>
      </c>
      <c r="B46" s="251" t="str">
        <f>IF(法术书I!AA8="","",法术书I!AA8)</f>
        <v/>
      </c>
      <c r="C46" s="250" t="str">
        <f>IFERROR(VLOOKUP(B46,列表!$B:$B,1,FALSE),"QuQ")</f>
        <v>QuQ</v>
      </c>
      <c r="D46" s="252" t="str">
        <f>IFERROR(VLOOKUP(C46,列表!$B:$T,17,FALSE),"")</f>
        <v/>
      </c>
      <c r="E46" s="250">
        <v>46</v>
      </c>
      <c r="F46" s="251" t="str">
        <f>IF(法术书II!AA8="","",法术书II!AA8)</f>
        <v/>
      </c>
      <c r="G46" s="250" t="str">
        <f>IFERROR(VLOOKUP(F46,列表!$B:$B,1,FALSE),"QuQ")</f>
        <v>QuQ</v>
      </c>
      <c r="H46" s="252" t="str">
        <f>IFERROR(VLOOKUP(G46,列表!$B:$T,17,FALSE),"")</f>
        <v/>
      </c>
      <c r="I46" s="250">
        <v>46</v>
      </c>
      <c r="J46" s="251" t="str">
        <f>IF(法术书III!AA8="","",法术书III!AA8)</f>
        <v/>
      </c>
      <c r="K46" s="250" t="str">
        <f>IFERROR(VLOOKUP(J46,列表!$B:$B,1,FALSE),"QuQ")</f>
        <v>QuQ</v>
      </c>
      <c r="L46" s="252" t="str">
        <f>IFERROR(VLOOKUP(K46,列表!$B:$T,17,FALSE),"")</f>
        <v/>
      </c>
      <c r="O46" s="285" t="s">
        <v>527</v>
      </c>
      <c r="P46" s="286" t="s">
        <v>528</v>
      </c>
      <c r="Q46" s="287" t="s">
        <v>529</v>
      </c>
      <c r="T46" s="269"/>
      <c r="U46" s="269"/>
      <c r="V46" s="269"/>
      <c r="W46" s="284"/>
      <c r="X46" s="274" t="s">
        <v>530</v>
      </c>
      <c r="Y46" s="274" t="s">
        <v>425</v>
      </c>
      <c r="Z46" s="274" t="s">
        <v>349</v>
      </c>
      <c r="AA46" s="274" t="s">
        <v>222</v>
      </c>
      <c r="AB46" s="274" t="s">
        <v>531</v>
      </c>
      <c r="AC46" s="275" t="s">
        <v>43</v>
      </c>
      <c r="AG46" s="259" t="s">
        <v>95</v>
      </c>
      <c r="AH46" s="250">
        <f>VLOOKUP($AG46,主要!C:J,7,FALSE)</f>
        <v>0</v>
      </c>
      <c r="AK46" s="250" t="s">
        <v>494</v>
      </c>
      <c r="AL46" s="250" t="s">
        <v>532</v>
      </c>
      <c r="AM46" s="281" t="s">
        <v>533</v>
      </c>
      <c r="AN46" s="281" t="s">
        <v>534</v>
      </c>
      <c r="AO46" s="281" t="s">
        <v>535</v>
      </c>
      <c r="AP46" s="281"/>
      <c r="AQ46" s="281"/>
      <c r="AR46" s="281"/>
      <c r="AS46" s="281"/>
      <c r="AT46" s="281"/>
      <c r="AU46" s="281"/>
      <c r="AV46" s="281"/>
      <c r="AW46" s="281"/>
      <c r="AX46" s="282"/>
      <c r="AY46" s="282"/>
      <c r="AZ46" s="282"/>
    </row>
    <row r="47" customHeight="1" spans="1:52">
      <c r="A47" s="250">
        <v>47</v>
      </c>
      <c r="B47" s="251" t="str">
        <f>IF(法术书I!AA9="","",法术书I!AA9)</f>
        <v/>
      </c>
      <c r="C47" s="250" t="str">
        <f>IFERROR(VLOOKUP(B47,列表!$B:$B,1,FALSE),"QuQ")</f>
        <v>QuQ</v>
      </c>
      <c r="D47" s="252" t="str">
        <f>IFERROR(VLOOKUP(C47,列表!$B:$T,17,FALSE),"")</f>
        <v/>
      </c>
      <c r="E47" s="250">
        <v>47</v>
      </c>
      <c r="F47" s="251" t="str">
        <f>IF(法术书II!AA9="","",法术书II!AA9)</f>
        <v/>
      </c>
      <c r="G47" s="250" t="str">
        <f>IFERROR(VLOOKUP(F47,列表!$B:$B,1,FALSE),"QuQ")</f>
        <v>QuQ</v>
      </c>
      <c r="H47" s="252" t="str">
        <f>IFERROR(VLOOKUP(G47,列表!$B:$T,17,FALSE),"")</f>
        <v/>
      </c>
      <c r="I47" s="250">
        <v>47</v>
      </c>
      <c r="J47" s="251" t="str">
        <f>IF(法术书III!AA9="","",法术书III!AA9)</f>
        <v/>
      </c>
      <c r="K47" s="250" t="str">
        <f>IFERROR(VLOOKUP(J47,列表!$B:$B,1,FALSE),"QuQ")</f>
        <v>QuQ</v>
      </c>
      <c r="L47" s="252" t="str">
        <f>IFERROR(VLOOKUP(K47,列表!$B:$T,17,FALSE),"")</f>
        <v/>
      </c>
      <c r="O47" s="288" t="s">
        <v>536</v>
      </c>
      <c r="P47" s="288" t="s">
        <v>537</v>
      </c>
      <c r="Q47" s="288" t="s">
        <v>538</v>
      </c>
      <c r="T47" s="269"/>
      <c r="U47" s="269"/>
      <c r="V47" s="269"/>
      <c r="W47" s="289"/>
      <c r="X47" s="274" t="s">
        <v>539</v>
      </c>
      <c r="Y47" s="274" t="s">
        <v>323</v>
      </c>
      <c r="Z47" s="274" t="s">
        <v>75</v>
      </c>
      <c r="AA47" s="274" t="s">
        <v>336</v>
      </c>
      <c r="AB47" s="274" t="s">
        <v>540</v>
      </c>
      <c r="AC47" s="275" t="s">
        <v>43</v>
      </c>
      <c r="AG47" s="259" t="s">
        <v>97</v>
      </c>
      <c r="AH47" s="250">
        <f>VLOOKUP($AG47,主要!C:J,7,FALSE)</f>
        <v>0</v>
      </c>
      <c r="AK47" s="250" t="s">
        <v>494</v>
      </c>
      <c r="AL47" s="250" t="s">
        <v>541</v>
      </c>
      <c r="AM47" s="281" t="s">
        <v>542</v>
      </c>
      <c r="AN47" s="281" t="s">
        <v>543</v>
      </c>
      <c r="AO47" s="281" t="s">
        <v>544</v>
      </c>
      <c r="AP47" s="281" t="s">
        <v>545</v>
      </c>
      <c r="AQ47" s="281" t="s">
        <v>546</v>
      </c>
      <c r="AR47" s="281" t="s">
        <v>547</v>
      </c>
      <c r="AS47" s="281" t="s">
        <v>548</v>
      </c>
      <c r="AT47" s="281" t="s">
        <v>549</v>
      </c>
      <c r="AU47" s="281" t="s">
        <v>550</v>
      </c>
      <c r="AV47" s="281" t="s">
        <v>551</v>
      </c>
      <c r="AW47" s="281"/>
      <c r="AX47" s="282"/>
      <c r="AY47" s="282"/>
      <c r="AZ47" s="282"/>
    </row>
    <row r="48" customHeight="1" spans="1:52">
      <c r="A48" s="250">
        <v>48</v>
      </c>
      <c r="B48" s="251" t="str">
        <f>IF(法术书I!AA10="","",法术书I!AA10)</f>
        <v/>
      </c>
      <c r="C48" s="250" t="str">
        <f>IFERROR(VLOOKUP(B48,列表!$B:$B,1,FALSE),"QuQ")</f>
        <v>QuQ</v>
      </c>
      <c r="D48" s="252" t="str">
        <f>IFERROR(VLOOKUP(C48,列表!$B:$T,17,FALSE),"")</f>
        <v/>
      </c>
      <c r="E48" s="250">
        <v>48</v>
      </c>
      <c r="F48" s="251" t="str">
        <f>IF(法术书II!AA10="","",法术书II!AA10)</f>
        <v/>
      </c>
      <c r="G48" s="250" t="str">
        <f>IFERROR(VLOOKUP(F48,列表!$B:$B,1,FALSE),"QuQ")</f>
        <v>QuQ</v>
      </c>
      <c r="H48" s="252" t="str">
        <f>IFERROR(VLOOKUP(G48,列表!$B:$T,17,FALSE),"")</f>
        <v/>
      </c>
      <c r="I48" s="250">
        <v>48</v>
      </c>
      <c r="J48" s="251" t="str">
        <f>IF(法术书III!AA10="","",法术书III!AA10)</f>
        <v/>
      </c>
      <c r="K48" s="250" t="str">
        <f>IFERROR(VLOOKUP(J48,列表!$B:$B,1,FALSE),"QuQ")</f>
        <v>QuQ</v>
      </c>
      <c r="L48" s="252" t="str">
        <f>IFERROR(VLOOKUP(K48,列表!$B:$T,17,FALSE),"")</f>
        <v/>
      </c>
      <c r="O48" s="290" t="s">
        <v>552</v>
      </c>
      <c r="P48" s="291" t="s">
        <v>553</v>
      </c>
      <c r="Q48" s="292" t="s">
        <v>554</v>
      </c>
      <c r="T48" s="269"/>
      <c r="U48" s="269"/>
      <c r="V48" s="269"/>
      <c r="AC48" s="293"/>
      <c r="AG48" s="259" t="s">
        <v>101</v>
      </c>
      <c r="AH48" s="250">
        <f>VLOOKUP($AG48,主要!C:J,7,FALSE)</f>
        <v>0</v>
      </c>
      <c r="AK48" s="250" t="s">
        <v>494</v>
      </c>
      <c r="AL48" s="250" t="s">
        <v>555</v>
      </c>
      <c r="AM48" s="281" t="s">
        <v>556</v>
      </c>
      <c r="AN48" s="281" t="s">
        <v>557</v>
      </c>
      <c r="AO48" s="281" t="s">
        <v>558</v>
      </c>
      <c r="AP48" s="281"/>
      <c r="AQ48" s="281"/>
      <c r="AR48" s="281"/>
      <c r="AS48" s="281"/>
      <c r="AT48" s="281"/>
      <c r="AU48" s="281"/>
      <c r="AV48" s="281"/>
      <c r="AW48" s="281"/>
      <c r="AX48" s="282"/>
      <c r="AY48" s="282"/>
      <c r="AZ48" s="282"/>
    </row>
    <row r="49" customHeight="1" spans="1:52">
      <c r="A49" s="250">
        <v>49</v>
      </c>
      <c r="B49" s="251" t="str">
        <f>IF(法术书I!AA11="","",法术书I!AA11)</f>
        <v/>
      </c>
      <c r="C49" s="250" t="str">
        <f>IFERROR(VLOOKUP(B49,列表!$B:$B,1,FALSE),"QuQ")</f>
        <v>QuQ</v>
      </c>
      <c r="D49" s="252" t="str">
        <f>IFERROR(VLOOKUP(C49,列表!$B:$T,17,FALSE),"")</f>
        <v/>
      </c>
      <c r="E49" s="250">
        <v>49</v>
      </c>
      <c r="F49" s="251" t="str">
        <f>IF(法术书II!AA11="","",法术书II!AA11)</f>
        <v/>
      </c>
      <c r="G49" s="250" t="str">
        <f>IFERROR(VLOOKUP(F49,列表!$B:$B,1,FALSE),"QuQ")</f>
        <v>QuQ</v>
      </c>
      <c r="H49" s="252" t="str">
        <f>IFERROR(VLOOKUP(G49,列表!$B:$T,17,FALSE),"")</f>
        <v/>
      </c>
      <c r="I49" s="250">
        <v>49</v>
      </c>
      <c r="J49" s="251" t="str">
        <f>IF(法术书III!AA11="","",法术书III!AA11)</f>
        <v/>
      </c>
      <c r="K49" s="250" t="str">
        <f>IFERROR(VLOOKUP(J49,列表!$B:$B,1,FALSE),"QuQ")</f>
        <v>QuQ</v>
      </c>
      <c r="L49" s="252" t="str">
        <f>IFERROR(VLOOKUP(K49,列表!$B:$T,17,FALSE),"")</f>
        <v/>
      </c>
      <c r="T49" s="269"/>
      <c r="U49" s="269"/>
      <c r="V49" s="269"/>
      <c r="W49" s="294" t="s">
        <v>52</v>
      </c>
      <c r="X49" s="253">
        <f>主要!I17</f>
        <v>0</v>
      </c>
      <c r="Y49" s="253" t="str">
        <f>IF(X49&lt;0,"D20","D20+")</f>
        <v>D20+</v>
      </c>
      <c r="AC49" s="293"/>
      <c r="AG49" s="259" t="s">
        <v>103</v>
      </c>
      <c r="AH49" s="250">
        <f>VLOOKUP($AG49,主要!C:J,7,FALSE)</f>
        <v>0</v>
      </c>
      <c r="AK49" s="250" t="s">
        <v>494</v>
      </c>
      <c r="AL49" s="250" t="s">
        <v>559</v>
      </c>
      <c r="AM49" s="281" t="s">
        <v>560</v>
      </c>
      <c r="AN49" s="281" t="s">
        <v>561</v>
      </c>
      <c r="AO49" s="281" t="s">
        <v>562</v>
      </c>
      <c r="AP49" s="281" t="s">
        <v>563</v>
      </c>
      <c r="AQ49" s="281" t="s">
        <v>564</v>
      </c>
      <c r="AR49" s="281"/>
      <c r="AS49" s="281"/>
      <c r="AT49" s="281"/>
      <c r="AU49" s="281"/>
      <c r="AV49" s="281"/>
      <c r="AW49" s="281"/>
      <c r="AX49" s="282"/>
      <c r="AY49" s="282"/>
      <c r="AZ49" s="282"/>
    </row>
    <row r="50" customHeight="1" spans="1:52">
      <c r="A50" s="250">
        <v>50</v>
      </c>
      <c r="B50" s="251" t="str">
        <f>IF(法术书I!AA12="","",法术书I!AA12)</f>
        <v/>
      </c>
      <c r="C50" s="250" t="str">
        <f>IFERROR(VLOOKUP(B50,列表!$B:$B,1,FALSE),"QuQ")</f>
        <v>QuQ</v>
      </c>
      <c r="D50" s="252" t="str">
        <f>IFERROR(VLOOKUP(C50,列表!$B:$T,17,FALSE),"")</f>
        <v/>
      </c>
      <c r="E50" s="250">
        <v>50</v>
      </c>
      <c r="F50" s="251" t="str">
        <f>IF(法术书II!AA12="","",法术书II!AA12)</f>
        <v/>
      </c>
      <c r="G50" s="250" t="str">
        <f>IFERROR(VLOOKUP(F50,列表!$B:$B,1,FALSE),"QuQ")</f>
        <v>QuQ</v>
      </c>
      <c r="H50" s="252" t="str">
        <f>IFERROR(VLOOKUP(G50,列表!$B:$T,17,FALSE),"")</f>
        <v/>
      </c>
      <c r="I50" s="250">
        <v>50</v>
      </c>
      <c r="J50" s="251" t="str">
        <f>IF(法术书III!AA12="","",法术书III!AA12)</f>
        <v/>
      </c>
      <c r="K50" s="250" t="str">
        <f>IFERROR(VLOOKUP(J50,列表!$B:$B,1,FALSE),"QuQ")</f>
        <v>QuQ</v>
      </c>
      <c r="L50" s="252" t="str">
        <f>IFERROR(VLOOKUP(K50,列表!$B:$T,17,FALSE),"")</f>
        <v/>
      </c>
      <c r="T50" s="269"/>
      <c r="W50" s="294" t="s">
        <v>53</v>
      </c>
      <c r="X50" s="253">
        <f>主要!I19</f>
        <v>0</v>
      </c>
      <c r="Y50" s="253" t="str">
        <f>IF(X50&lt;0,"D20","D20+")</f>
        <v>D20+</v>
      </c>
      <c r="AC50" s="293"/>
      <c r="AG50" s="259" t="s">
        <v>105</v>
      </c>
      <c r="AH50" s="250">
        <f>VLOOKUP($AG50,主要!C:J,7,FALSE)</f>
        <v>0</v>
      </c>
      <c r="AK50" s="250" t="s">
        <v>494</v>
      </c>
      <c r="AL50" s="250" t="s">
        <v>565</v>
      </c>
      <c r="AM50" s="281"/>
      <c r="AN50" s="281"/>
      <c r="AO50" s="281"/>
      <c r="AP50" s="281"/>
      <c r="AQ50" s="281"/>
      <c r="AR50" s="281"/>
      <c r="AS50" s="281"/>
      <c r="AT50" s="281"/>
      <c r="AU50" s="281"/>
      <c r="AV50" s="281"/>
      <c r="AW50" s="281"/>
      <c r="AX50" s="282"/>
      <c r="AY50" s="282"/>
      <c r="AZ50" s="282"/>
    </row>
    <row r="51" customHeight="1" spans="1:52">
      <c r="A51" s="250">
        <v>51</v>
      </c>
      <c r="B51" s="251" t="str">
        <f>IF(法术书I!AA13="","",法术书I!AA13)</f>
        <v/>
      </c>
      <c r="C51" s="250" t="str">
        <f>IFERROR(VLOOKUP(B51,列表!$B:$B,1,FALSE),"QuQ")</f>
        <v>QuQ</v>
      </c>
      <c r="D51" s="252" t="str">
        <f>IFERROR(VLOOKUP(C51,列表!$B:$T,17,FALSE),"")</f>
        <v/>
      </c>
      <c r="E51" s="250">
        <v>51</v>
      </c>
      <c r="F51" s="251" t="str">
        <f>IF(法术书II!AA13="","",法术书II!AA13)</f>
        <v/>
      </c>
      <c r="G51" s="250" t="str">
        <f>IFERROR(VLOOKUP(F51,列表!$B:$B,1,FALSE),"QuQ")</f>
        <v>QuQ</v>
      </c>
      <c r="H51" s="252" t="str">
        <f>IFERROR(VLOOKUP(G51,列表!$B:$T,17,FALSE),"")</f>
        <v/>
      </c>
      <c r="I51" s="250">
        <v>51</v>
      </c>
      <c r="J51" s="251" t="str">
        <f>IF(法术书III!AA13="","",法术书III!AA13)</f>
        <v/>
      </c>
      <c r="K51" s="250" t="str">
        <f>IFERROR(VLOOKUP(J51,列表!$B:$B,1,FALSE),"QuQ")</f>
        <v>QuQ</v>
      </c>
      <c r="L51" s="252" t="str">
        <f>IFERROR(VLOOKUP(K51,列表!$B:$T,17,FALSE),"")</f>
        <v/>
      </c>
      <c r="W51" s="294" t="s">
        <v>57</v>
      </c>
      <c r="X51" s="253">
        <f>主要!I21</f>
        <v>0</v>
      </c>
      <c r="Y51" s="253" t="str">
        <f>IF(X51&lt;0,"D20","D20+")</f>
        <v>D20+</v>
      </c>
      <c r="AC51" s="293"/>
      <c r="AG51" s="259" t="s">
        <v>106</v>
      </c>
      <c r="AH51" s="250">
        <f>VLOOKUP($AG51,主要!C:J,7,FALSE)</f>
        <v>0</v>
      </c>
      <c r="AK51" s="250" t="s">
        <v>494</v>
      </c>
      <c r="AL51" s="250" t="s">
        <v>566</v>
      </c>
      <c r="AM51" s="281" t="s">
        <v>567</v>
      </c>
      <c r="AN51" s="281" t="s">
        <v>568</v>
      </c>
      <c r="AO51" s="281" t="s">
        <v>569</v>
      </c>
      <c r="AP51" s="281" t="s">
        <v>570</v>
      </c>
      <c r="AQ51" s="281" t="s">
        <v>571</v>
      </c>
      <c r="AR51" s="281" t="s">
        <v>572</v>
      </c>
      <c r="AS51" s="281" t="s">
        <v>573</v>
      </c>
      <c r="AT51" s="281" t="s">
        <v>574</v>
      </c>
      <c r="AU51" s="281" t="s">
        <v>575</v>
      </c>
      <c r="AV51" s="281" t="s">
        <v>576</v>
      </c>
      <c r="AW51" s="281" t="s">
        <v>577</v>
      </c>
      <c r="AX51" s="281"/>
      <c r="AY51" s="281"/>
      <c r="AZ51" s="281"/>
    </row>
    <row r="52" customHeight="1" spans="1:52">
      <c r="A52" s="250">
        <v>52</v>
      </c>
      <c r="B52" s="251" t="str">
        <f>IF(法术书I!AA14="","",法术书I!AA14)</f>
        <v/>
      </c>
      <c r="C52" s="250" t="str">
        <f>IFERROR(VLOOKUP(B52,列表!$B:$B,1,FALSE),"QuQ")</f>
        <v>QuQ</v>
      </c>
      <c r="D52" s="252" t="str">
        <f>IFERROR(VLOOKUP(C52,列表!$B:$T,17,FALSE),"")</f>
        <v/>
      </c>
      <c r="E52" s="250">
        <v>52</v>
      </c>
      <c r="F52" s="251" t="str">
        <f>IF(法术书II!AA14="","",法术书II!AA14)</f>
        <v/>
      </c>
      <c r="G52" s="250" t="str">
        <f>IFERROR(VLOOKUP(F52,列表!$B:$B,1,FALSE),"QuQ")</f>
        <v>QuQ</v>
      </c>
      <c r="H52" s="252" t="str">
        <f>IFERROR(VLOOKUP(G52,列表!$B:$T,17,FALSE),"")</f>
        <v/>
      </c>
      <c r="I52" s="250">
        <v>52</v>
      </c>
      <c r="J52" s="251" t="str">
        <f>IF(法术书III!AA14="","",法术书III!AA14)</f>
        <v/>
      </c>
      <c r="K52" s="250" t="str">
        <f>IFERROR(VLOOKUP(J52,列表!$B:$B,1,FALSE),"QuQ")</f>
        <v>QuQ</v>
      </c>
      <c r="L52" s="252" t="str">
        <f>IFERROR(VLOOKUP(K52,列表!$B:$T,17,FALSE),"")</f>
        <v/>
      </c>
      <c r="AG52" s="259" t="s">
        <v>108</v>
      </c>
      <c r="AH52" s="250">
        <f>VLOOKUP($AG52,主要!C:J,7,FALSE)</f>
        <v>0</v>
      </c>
      <c r="AK52" s="250" t="s">
        <v>578</v>
      </c>
      <c r="AL52" s="250" t="s">
        <v>579</v>
      </c>
      <c r="AM52" s="281"/>
      <c r="AN52" s="281"/>
      <c r="AO52" s="281"/>
      <c r="AP52" s="281"/>
      <c r="AQ52" s="281"/>
      <c r="AR52" s="281"/>
      <c r="AS52" s="281"/>
      <c r="AT52" s="281"/>
      <c r="AU52" s="281"/>
      <c r="AV52" s="281"/>
      <c r="AW52" s="281"/>
      <c r="AX52" s="282"/>
      <c r="AY52" s="282"/>
      <c r="AZ52" s="282"/>
    </row>
    <row r="53" customHeight="1" spans="1:52">
      <c r="A53" s="250">
        <v>53</v>
      </c>
      <c r="B53" s="251" t="str">
        <f>IF(法术书I!AA15="","",法术书I!AA15)</f>
        <v/>
      </c>
      <c r="C53" s="250" t="str">
        <f>IFERROR(VLOOKUP(B53,列表!$B:$B,1,FALSE),"QuQ")</f>
        <v>QuQ</v>
      </c>
      <c r="D53" s="252" t="str">
        <f>IFERROR(VLOOKUP(C53,列表!$B:$T,17,FALSE),"")</f>
        <v/>
      </c>
      <c r="E53" s="250">
        <v>53</v>
      </c>
      <c r="F53" s="251" t="str">
        <f>IF(法术书II!AA15="","",法术书II!AA15)</f>
        <v/>
      </c>
      <c r="G53" s="250" t="str">
        <f>IFERROR(VLOOKUP(F53,列表!$B:$B,1,FALSE),"QuQ")</f>
        <v>QuQ</v>
      </c>
      <c r="H53" s="252" t="str">
        <f>IFERROR(VLOOKUP(G53,列表!$B:$T,17,FALSE),"")</f>
        <v/>
      </c>
      <c r="I53" s="250">
        <v>53</v>
      </c>
      <c r="J53" s="251" t="str">
        <f>IF(法术书III!AA15="","",法术书III!AA15)</f>
        <v/>
      </c>
      <c r="K53" s="250" t="str">
        <f>IFERROR(VLOOKUP(J53,列表!$B:$B,1,FALSE),"QuQ")</f>
        <v>QuQ</v>
      </c>
      <c r="L53" s="252" t="str">
        <f>IFERROR(VLOOKUP(K53,列表!$B:$T,17,FALSE),"")</f>
        <v/>
      </c>
      <c r="AG53" s="259" t="s">
        <v>109</v>
      </c>
      <c r="AH53" s="250">
        <f>VLOOKUP($AG53,主要!C:J,7,FALSE)</f>
        <v>0</v>
      </c>
      <c r="AK53" s="250" t="s">
        <v>578</v>
      </c>
      <c r="AL53" s="250" t="s">
        <v>580</v>
      </c>
      <c r="AM53" s="281" t="s">
        <v>581</v>
      </c>
      <c r="AN53" s="281" t="s">
        <v>582</v>
      </c>
      <c r="AO53" s="281" t="s">
        <v>583</v>
      </c>
      <c r="AP53" s="281" t="s">
        <v>584</v>
      </c>
      <c r="AQ53" s="281"/>
      <c r="AR53" s="281"/>
      <c r="AS53" s="281"/>
      <c r="AT53" s="281"/>
      <c r="AU53" s="281"/>
      <c r="AV53" s="281"/>
      <c r="AW53" s="281"/>
      <c r="AX53" s="282"/>
      <c r="AY53" s="282"/>
      <c r="AZ53" s="282"/>
    </row>
    <row r="54" customHeight="1" spans="1:52">
      <c r="A54" s="250">
        <v>54</v>
      </c>
      <c r="B54" s="251" t="str">
        <f>IF(法术书I!AA16="","",法术书I!AA16)</f>
        <v/>
      </c>
      <c r="C54" s="250" t="str">
        <f>IFERROR(VLOOKUP(B54,列表!$B:$B,1,FALSE),"QuQ")</f>
        <v>QuQ</v>
      </c>
      <c r="D54" s="252" t="str">
        <f>IFERROR(VLOOKUP(C54,列表!$B:$T,17,FALSE),"")</f>
        <v/>
      </c>
      <c r="E54" s="250">
        <v>54</v>
      </c>
      <c r="F54" s="251" t="str">
        <f>IF(法术书II!AA16="","",法术书II!AA16)</f>
        <v/>
      </c>
      <c r="G54" s="250" t="str">
        <f>IFERROR(VLOOKUP(F54,列表!$B:$B,1,FALSE),"QuQ")</f>
        <v>QuQ</v>
      </c>
      <c r="H54" s="252" t="str">
        <f>IFERROR(VLOOKUP(G54,列表!$B:$T,17,FALSE),"")</f>
        <v/>
      </c>
      <c r="I54" s="250">
        <v>54</v>
      </c>
      <c r="J54" s="251" t="str">
        <f>IF(法术书III!AA16="","",法术书III!AA16)</f>
        <v/>
      </c>
      <c r="K54" s="250" t="str">
        <f>IFERROR(VLOOKUP(J54,列表!$B:$B,1,FALSE),"QuQ")</f>
        <v>QuQ</v>
      </c>
      <c r="L54" s="252" t="str">
        <f>IFERROR(VLOOKUP(K54,列表!$B:$T,17,FALSE),"")</f>
        <v/>
      </c>
      <c r="AG54" s="259" t="s">
        <v>115</v>
      </c>
      <c r="AH54" s="250">
        <f>VLOOKUP($AG54,主要!C:J,7,FALSE)</f>
        <v>0</v>
      </c>
      <c r="AK54" s="250" t="s">
        <v>501</v>
      </c>
      <c r="AL54" s="250" t="s">
        <v>585</v>
      </c>
      <c r="AM54" s="281"/>
      <c r="AN54" s="281"/>
      <c r="AO54" s="281"/>
      <c r="AP54" s="281"/>
      <c r="AQ54" s="281"/>
      <c r="AR54" s="281"/>
      <c r="AS54" s="281"/>
      <c r="AT54" s="281"/>
      <c r="AU54" s="281"/>
      <c r="AV54" s="281"/>
      <c r="AW54" s="281"/>
      <c r="AX54" s="282"/>
      <c r="AY54" s="282"/>
      <c r="AZ54" s="282"/>
    </row>
    <row r="55" customHeight="1" spans="1:52">
      <c r="A55" s="250">
        <v>55</v>
      </c>
      <c r="B55" s="251" t="str">
        <f>IF(法术书I!AA17="","",法术书I!AA17)</f>
        <v/>
      </c>
      <c r="C55" s="250" t="str">
        <f>IFERROR(VLOOKUP(B55,列表!$B:$B,1,FALSE),"QuQ")</f>
        <v>QuQ</v>
      </c>
      <c r="D55" s="252" t="str">
        <f>IFERROR(VLOOKUP(C55,列表!$B:$T,17,FALSE),"")</f>
        <v/>
      </c>
      <c r="E55" s="250">
        <v>55</v>
      </c>
      <c r="F55" s="251" t="str">
        <f>IF(法术书II!AA17="","",法术书II!AA17)</f>
        <v/>
      </c>
      <c r="G55" s="250" t="str">
        <f>IFERROR(VLOOKUP(F55,列表!$B:$B,1,FALSE),"QuQ")</f>
        <v>QuQ</v>
      </c>
      <c r="H55" s="252" t="str">
        <f>IFERROR(VLOOKUP(G55,列表!$B:$T,17,FALSE),"")</f>
        <v/>
      </c>
      <c r="I55" s="250">
        <v>55</v>
      </c>
      <c r="J55" s="251" t="str">
        <f>IF(法术书III!AA17="","",法术书III!AA17)</f>
        <v/>
      </c>
      <c r="K55" s="250" t="str">
        <f>IFERROR(VLOOKUP(J55,列表!$B:$B,1,FALSE),"QuQ")</f>
        <v>QuQ</v>
      </c>
      <c r="L55" s="252" t="str">
        <f>IFERROR(VLOOKUP(K55,列表!$B:$T,17,FALSE),"")</f>
        <v/>
      </c>
      <c r="AG55" s="259" t="s">
        <v>121</v>
      </c>
      <c r="AH55" s="250">
        <f>VLOOKUP($AG55,主要!C:J,7,FALSE)</f>
        <v>0</v>
      </c>
      <c r="AK55" s="250" t="s">
        <v>501</v>
      </c>
      <c r="AL55" s="250" t="s">
        <v>586</v>
      </c>
      <c r="AM55" s="281"/>
      <c r="AN55" s="281"/>
      <c r="AO55" s="281"/>
      <c r="AP55" s="281"/>
      <c r="AQ55" s="281"/>
      <c r="AR55" s="281"/>
      <c r="AS55" s="281"/>
      <c r="AT55" s="281"/>
      <c r="AU55" s="281"/>
      <c r="AV55" s="281"/>
      <c r="AW55" s="281"/>
      <c r="AX55" s="282"/>
      <c r="AY55" s="282"/>
      <c r="AZ55" s="282"/>
    </row>
    <row r="56" customHeight="1" spans="1:52">
      <c r="A56" s="250">
        <v>56</v>
      </c>
      <c r="B56" s="251" t="str">
        <f>IF(法术书I!AA18="","",法术书I!AA18)</f>
        <v/>
      </c>
      <c r="C56" s="250" t="str">
        <f>IFERROR(VLOOKUP(B56,列表!$B:$B,1,FALSE),"QuQ")</f>
        <v>QuQ</v>
      </c>
      <c r="D56" s="252" t="str">
        <f>IFERROR(VLOOKUP(C56,列表!$B:$T,17,FALSE),"")</f>
        <v/>
      </c>
      <c r="E56" s="250">
        <v>56</v>
      </c>
      <c r="F56" s="251" t="str">
        <f>IF(法术书II!AA18="","",法术书II!AA18)</f>
        <v/>
      </c>
      <c r="G56" s="250" t="str">
        <f>IFERROR(VLOOKUP(F56,列表!$B:$B,1,FALSE),"QuQ")</f>
        <v>QuQ</v>
      </c>
      <c r="H56" s="252" t="str">
        <f>IFERROR(VLOOKUP(G56,列表!$B:$T,17,FALSE),"")</f>
        <v/>
      </c>
      <c r="I56" s="250">
        <v>56</v>
      </c>
      <c r="J56" s="251" t="str">
        <f>IF(法术书III!AA18="","",法术书III!AA18)</f>
        <v/>
      </c>
      <c r="K56" s="250" t="str">
        <f>IFERROR(VLOOKUP(J56,列表!$B:$B,1,FALSE),"QuQ")</f>
        <v>QuQ</v>
      </c>
      <c r="L56" s="252" t="str">
        <f>IFERROR(VLOOKUP(K56,列表!$B:$T,17,FALSE),"")</f>
        <v/>
      </c>
      <c r="AG56" s="259" t="s">
        <v>123</v>
      </c>
      <c r="AH56" s="250">
        <f>VLOOKUP($AG56,主要!C:J,7,FALSE)</f>
        <v>0</v>
      </c>
      <c r="AK56" s="250" t="s">
        <v>501</v>
      </c>
      <c r="AL56" s="250" t="s">
        <v>587</v>
      </c>
      <c r="AM56" s="281"/>
      <c r="AN56" s="281"/>
      <c r="AO56" s="281"/>
      <c r="AP56" s="281"/>
      <c r="AQ56" s="281"/>
      <c r="AR56" s="281"/>
      <c r="AS56" s="281"/>
      <c r="AT56" s="281"/>
      <c r="AU56" s="281"/>
      <c r="AV56" s="281"/>
      <c r="AW56" s="281"/>
      <c r="AX56" s="282"/>
      <c r="AY56" s="282"/>
      <c r="AZ56" s="282"/>
    </row>
    <row r="57" customHeight="1" spans="1:52">
      <c r="A57" s="250">
        <v>57</v>
      </c>
      <c r="B57" s="251" t="str">
        <f>IF(法术书I!AA19="","",法术书I!AA19)</f>
        <v/>
      </c>
      <c r="C57" s="250" t="str">
        <f>IFERROR(VLOOKUP(B57,列表!$B:$B,1,FALSE),"QuQ")</f>
        <v>QuQ</v>
      </c>
      <c r="D57" s="252" t="str">
        <f>IFERROR(VLOOKUP(C57,列表!$B:$T,17,FALSE),"")</f>
        <v/>
      </c>
      <c r="E57" s="250">
        <v>57</v>
      </c>
      <c r="F57" s="251" t="str">
        <f>IF(法术书II!AA19="","",法术书II!AA19)</f>
        <v/>
      </c>
      <c r="G57" s="250" t="str">
        <f>IFERROR(VLOOKUP(F57,列表!$B:$B,1,FALSE),"QuQ")</f>
        <v>QuQ</v>
      </c>
      <c r="H57" s="252" t="str">
        <f>IFERROR(VLOOKUP(G57,列表!$B:$T,17,FALSE),"")</f>
        <v/>
      </c>
      <c r="I57" s="250">
        <v>57</v>
      </c>
      <c r="J57" s="251" t="str">
        <f>IF(法术书III!AA19="","",法术书III!AA19)</f>
        <v/>
      </c>
      <c r="K57" s="250" t="str">
        <f>IFERROR(VLOOKUP(J57,列表!$B:$B,1,FALSE),"QuQ")</f>
        <v>QuQ</v>
      </c>
      <c r="L57" s="252" t="str">
        <f>IFERROR(VLOOKUP(K57,列表!$B:$T,17,FALSE),"")</f>
        <v/>
      </c>
      <c r="AG57" s="259" t="s">
        <v>130</v>
      </c>
      <c r="AH57" s="250">
        <f>VLOOKUP($AG57,主要!C:J,7,FALSE)</f>
        <v>0</v>
      </c>
      <c r="AK57" s="250" t="s">
        <v>501</v>
      </c>
      <c r="AL57" s="250" t="s">
        <v>588</v>
      </c>
      <c r="AM57" s="281"/>
      <c r="AN57" s="281"/>
      <c r="AO57" s="281"/>
      <c r="AP57" s="281"/>
      <c r="AQ57" s="281"/>
      <c r="AR57" s="281"/>
      <c r="AS57" s="281"/>
      <c r="AT57" s="281"/>
      <c r="AU57" s="281"/>
      <c r="AV57" s="281"/>
      <c r="AW57" s="281"/>
      <c r="AX57" s="282"/>
      <c r="AY57" s="282"/>
      <c r="AZ57" s="282"/>
    </row>
    <row r="58" customHeight="1" spans="1:52">
      <c r="A58" s="250">
        <v>58</v>
      </c>
      <c r="B58" s="251" t="str">
        <f>IF(法术书I!AA20="","",法术书I!AA20)</f>
        <v/>
      </c>
      <c r="C58" s="250" t="str">
        <f>IFERROR(VLOOKUP(B58,列表!$B:$B,1,FALSE),"QuQ")</f>
        <v>QuQ</v>
      </c>
      <c r="D58" s="252" t="str">
        <f>IFERROR(VLOOKUP(C58,列表!$B:$T,17,FALSE),"")</f>
        <v/>
      </c>
      <c r="E58" s="250">
        <v>58</v>
      </c>
      <c r="F58" s="251" t="str">
        <f>IF(法术书II!AA20="","",法术书II!AA20)</f>
        <v/>
      </c>
      <c r="G58" s="250" t="str">
        <f>IFERROR(VLOOKUP(F58,列表!$B:$B,1,FALSE),"QuQ")</f>
        <v>QuQ</v>
      </c>
      <c r="H58" s="252" t="str">
        <f>IFERROR(VLOOKUP(G58,列表!$B:$T,17,FALSE),"")</f>
        <v/>
      </c>
      <c r="I58" s="250">
        <v>58</v>
      </c>
      <c r="J58" s="251" t="str">
        <f>IF(法术书III!AA20="","",法术书III!AA20)</f>
        <v/>
      </c>
      <c r="K58" s="250" t="str">
        <f>IFERROR(VLOOKUP(J58,列表!$B:$B,1,FALSE),"QuQ")</f>
        <v>QuQ</v>
      </c>
      <c r="L58" s="252" t="str">
        <f>IFERROR(VLOOKUP(K58,列表!$B:$T,17,FALSE),"")</f>
        <v/>
      </c>
      <c r="AK58" s="250" t="s">
        <v>501</v>
      </c>
      <c r="AL58" s="250" t="s">
        <v>589</v>
      </c>
      <c r="AM58" s="281"/>
      <c r="AN58" s="281"/>
      <c r="AO58" s="281"/>
      <c r="AP58" s="281"/>
      <c r="AQ58" s="281"/>
      <c r="AR58" s="281"/>
      <c r="AS58" s="281"/>
      <c r="AT58" s="281"/>
      <c r="AU58" s="281"/>
      <c r="AV58" s="281"/>
      <c r="AW58" s="281"/>
      <c r="AX58" s="282"/>
      <c r="AY58" s="282"/>
      <c r="AZ58" s="282"/>
    </row>
    <row r="59" customHeight="1" spans="1:52">
      <c r="A59" s="250">
        <v>59</v>
      </c>
      <c r="B59" s="251" t="str">
        <f>IF(法术书I!AA21="","",法术书I!AA21)</f>
        <v/>
      </c>
      <c r="C59" s="250" t="str">
        <f>IFERROR(VLOOKUP(B59,列表!$B:$B,1,FALSE),"QuQ")</f>
        <v>QuQ</v>
      </c>
      <c r="D59" s="252" t="str">
        <f>IFERROR(VLOOKUP(C59,列表!$B:$T,17,FALSE),"")</f>
        <v/>
      </c>
      <c r="E59" s="250">
        <v>59</v>
      </c>
      <c r="F59" s="251" t="str">
        <f>IF(法术书II!AA21="","",法术书II!AA21)</f>
        <v/>
      </c>
      <c r="G59" s="250" t="str">
        <f>IFERROR(VLOOKUP(F59,列表!$B:$B,1,FALSE),"QuQ")</f>
        <v>QuQ</v>
      </c>
      <c r="H59" s="252" t="str">
        <f>IFERROR(VLOOKUP(G59,列表!$B:$T,17,FALSE),"")</f>
        <v/>
      </c>
      <c r="I59" s="250">
        <v>59</v>
      </c>
      <c r="J59" s="251" t="str">
        <f>IF(法术书III!AA21="","",法术书III!AA21)</f>
        <v/>
      </c>
      <c r="K59" s="250" t="str">
        <f>IFERROR(VLOOKUP(J59,列表!$B:$B,1,FALSE),"QuQ")</f>
        <v>QuQ</v>
      </c>
      <c r="L59" s="252" t="str">
        <f>IFERROR(VLOOKUP(K59,列表!$B:$T,17,FALSE),"")</f>
        <v/>
      </c>
      <c r="AK59" s="250" t="s">
        <v>501</v>
      </c>
      <c r="AL59" s="250" t="s">
        <v>590</v>
      </c>
      <c r="AM59" s="281"/>
      <c r="AN59" s="281"/>
      <c r="AO59" s="281"/>
      <c r="AP59" s="281"/>
      <c r="AQ59" s="281"/>
      <c r="AR59" s="281"/>
      <c r="AS59" s="281"/>
      <c r="AT59" s="281"/>
      <c r="AU59" s="281"/>
      <c r="AV59" s="281"/>
      <c r="AW59" s="281"/>
      <c r="AX59" s="282"/>
      <c r="AY59" s="282"/>
      <c r="AZ59" s="282"/>
    </row>
    <row r="60" customHeight="1" spans="1:52">
      <c r="A60" s="250">
        <v>60</v>
      </c>
      <c r="B60" s="251" t="str">
        <f>IF(法术书I!AA22="","",法术书I!AA22)</f>
        <v/>
      </c>
      <c r="C60" s="250" t="str">
        <f>IFERROR(VLOOKUP(B60,列表!$B:$B,1,FALSE),"QuQ")</f>
        <v>QuQ</v>
      </c>
      <c r="D60" s="252" t="str">
        <f>IFERROR(VLOOKUP(C60,列表!$B:$T,17,FALSE),"")</f>
        <v/>
      </c>
      <c r="E60" s="250">
        <v>60</v>
      </c>
      <c r="F60" s="251" t="str">
        <f>IF(法术书II!AA22="","",法术书II!AA22)</f>
        <v/>
      </c>
      <c r="G60" s="250" t="str">
        <f>IFERROR(VLOOKUP(F60,列表!$B:$B,1,FALSE),"QuQ")</f>
        <v>QuQ</v>
      </c>
      <c r="H60" s="252" t="str">
        <f>IFERROR(VLOOKUP(G60,列表!$B:$T,17,FALSE),"")</f>
        <v/>
      </c>
      <c r="I60" s="250">
        <v>60</v>
      </c>
      <c r="J60" s="251" t="str">
        <f>IF(法术书III!AA22="","",法术书III!AA22)</f>
        <v/>
      </c>
      <c r="K60" s="250" t="str">
        <f>IFERROR(VLOOKUP(J60,列表!$B:$B,1,FALSE),"QuQ")</f>
        <v>QuQ</v>
      </c>
      <c r="L60" s="252" t="str">
        <f>IFERROR(VLOOKUP(K60,列表!$B:$T,17,FALSE),"")</f>
        <v/>
      </c>
      <c r="AK60" s="250" t="s">
        <v>501</v>
      </c>
      <c r="AL60" s="250" t="s">
        <v>591</v>
      </c>
      <c r="AM60" s="281" t="s">
        <v>592</v>
      </c>
      <c r="AN60" s="281" t="s">
        <v>593</v>
      </c>
      <c r="AO60" s="281"/>
      <c r="AP60" s="281"/>
      <c r="AQ60" s="281"/>
      <c r="AR60" s="281"/>
      <c r="AS60" s="281"/>
      <c r="AT60" s="281"/>
      <c r="AU60" s="281"/>
      <c r="AV60" s="281"/>
      <c r="AW60" s="281"/>
      <c r="AX60" s="282"/>
      <c r="AY60" s="282"/>
      <c r="AZ60" s="282"/>
    </row>
    <row r="61" customHeight="1" spans="1:52">
      <c r="A61" s="250">
        <v>61</v>
      </c>
      <c r="B61" s="251" t="str">
        <f>IF(法术书I!AA23="","",法术书I!AA23)</f>
        <v/>
      </c>
      <c r="C61" s="250" t="str">
        <f>IFERROR(VLOOKUP(B61,列表!$B:$B,1,FALSE),"QuQ")</f>
        <v>QuQ</v>
      </c>
      <c r="D61" s="252" t="str">
        <f>IFERROR(VLOOKUP(C61,列表!$B:$T,17,FALSE),"")</f>
        <v/>
      </c>
      <c r="E61" s="250">
        <v>61</v>
      </c>
      <c r="F61" s="251" t="str">
        <f>IF(法术书II!AA23="","",法术书II!AA23)</f>
        <v/>
      </c>
      <c r="G61" s="250" t="str">
        <f>IFERROR(VLOOKUP(F61,列表!$B:$B,1,FALSE),"QuQ")</f>
        <v>QuQ</v>
      </c>
      <c r="H61" s="252" t="str">
        <f>IFERROR(VLOOKUP(G61,列表!$B:$T,17,FALSE),"")</f>
        <v/>
      </c>
      <c r="I61" s="250">
        <v>61</v>
      </c>
      <c r="J61" s="251" t="str">
        <f>IF(法术书III!AA23="","",法术书III!AA23)</f>
        <v/>
      </c>
      <c r="K61" s="250" t="str">
        <f>IFERROR(VLOOKUP(J61,列表!$B:$B,1,FALSE),"QuQ")</f>
        <v>QuQ</v>
      </c>
      <c r="L61" s="252" t="str">
        <f>IFERROR(VLOOKUP(K61,列表!$B:$T,17,FALSE),"")</f>
        <v/>
      </c>
      <c r="AK61" s="250" t="s">
        <v>501</v>
      </c>
      <c r="AL61" s="250" t="s">
        <v>594</v>
      </c>
      <c r="AM61" s="281"/>
      <c r="AN61" s="281"/>
      <c r="AO61" s="281"/>
      <c r="AP61" s="281"/>
      <c r="AQ61" s="281"/>
      <c r="AR61" s="281"/>
      <c r="AS61" s="281"/>
      <c r="AT61" s="281"/>
      <c r="AU61" s="281"/>
      <c r="AV61" s="281"/>
      <c r="AW61" s="281"/>
      <c r="AX61" s="282"/>
      <c r="AY61" s="282"/>
      <c r="AZ61" s="282"/>
    </row>
    <row r="62" customHeight="1" spans="1:52">
      <c r="A62" s="250">
        <v>62</v>
      </c>
      <c r="B62" s="251" t="str">
        <f>IF(法术书I!AA24="","",法术书I!AA24)</f>
        <v/>
      </c>
      <c r="C62" s="250" t="str">
        <f>IFERROR(VLOOKUP(B62,列表!$B:$B,1,FALSE),"QuQ")</f>
        <v>QuQ</v>
      </c>
      <c r="D62" s="252" t="str">
        <f>IFERROR(VLOOKUP(C62,列表!$B:$T,17,FALSE),"")</f>
        <v/>
      </c>
      <c r="E62" s="250">
        <v>62</v>
      </c>
      <c r="F62" s="251" t="str">
        <f>IF(法术书II!AA24="","",法术书II!AA24)</f>
        <v/>
      </c>
      <c r="G62" s="250" t="str">
        <f>IFERROR(VLOOKUP(F62,列表!$B:$B,1,FALSE),"QuQ")</f>
        <v>QuQ</v>
      </c>
      <c r="H62" s="252" t="str">
        <f>IFERROR(VLOOKUP(G62,列表!$B:$T,17,FALSE),"")</f>
        <v/>
      </c>
      <c r="I62" s="250">
        <v>62</v>
      </c>
      <c r="J62" s="251" t="str">
        <f>IF(法术书III!AA24="","",法术书III!AA24)</f>
        <v/>
      </c>
      <c r="K62" s="250" t="str">
        <f>IFERROR(VLOOKUP(J62,列表!$B:$B,1,FALSE),"QuQ")</f>
        <v>QuQ</v>
      </c>
      <c r="L62" s="252" t="str">
        <f>IFERROR(VLOOKUP(K62,列表!$B:$T,17,FALSE),"")</f>
        <v/>
      </c>
      <c r="AK62" s="250" t="s">
        <v>501</v>
      </c>
      <c r="AL62" s="250" t="s">
        <v>595</v>
      </c>
      <c r="AM62" s="281"/>
      <c r="AN62" s="281"/>
      <c r="AO62" s="281"/>
      <c r="AP62" s="281"/>
      <c r="AQ62" s="281"/>
      <c r="AR62" s="281"/>
      <c r="AS62" s="281"/>
      <c r="AT62" s="281"/>
      <c r="AU62" s="281"/>
      <c r="AV62" s="281"/>
      <c r="AW62" s="281"/>
      <c r="AX62" s="282"/>
      <c r="AY62" s="282"/>
      <c r="AZ62" s="282"/>
    </row>
    <row r="63" customHeight="1" spans="1:52">
      <c r="A63" s="250">
        <v>63</v>
      </c>
      <c r="B63" s="251" t="str">
        <f>IF(法术书I!AA25="","",法术书I!AA25)</f>
        <v/>
      </c>
      <c r="C63" s="250" t="str">
        <f>IFERROR(VLOOKUP(B63,列表!$B:$B,1,FALSE),"QuQ")</f>
        <v>QuQ</v>
      </c>
      <c r="D63" s="252" t="str">
        <f>IFERROR(VLOOKUP(C63,列表!$B:$T,17,FALSE),"")</f>
        <v/>
      </c>
      <c r="E63" s="250">
        <v>63</v>
      </c>
      <c r="F63" s="251" t="str">
        <f>IF(法术书II!AA25="","",法术书II!AA25)</f>
        <v/>
      </c>
      <c r="G63" s="250" t="str">
        <f>IFERROR(VLOOKUP(F63,列表!$B:$B,1,FALSE),"QuQ")</f>
        <v>QuQ</v>
      </c>
      <c r="H63" s="252" t="str">
        <f>IFERROR(VLOOKUP(G63,列表!$B:$T,17,FALSE),"")</f>
        <v/>
      </c>
      <c r="I63" s="250">
        <v>63</v>
      </c>
      <c r="J63" s="251" t="str">
        <f>IF(法术书III!AA25="","",法术书III!AA25)</f>
        <v/>
      </c>
      <c r="K63" s="250" t="str">
        <f>IFERROR(VLOOKUP(J63,列表!$B:$B,1,FALSE),"QuQ")</f>
        <v>QuQ</v>
      </c>
      <c r="L63" s="252" t="str">
        <f>IFERROR(VLOOKUP(K63,列表!$B:$T,17,FALSE),"")</f>
        <v/>
      </c>
      <c r="AK63" s="250" t="s">
        <v>501</v>
      </c>
      <c r="AL63" s="250" t="s">
        <v>596</v>
      </c>
      <c r="AM63" s="281"/>
      <c r="AN63" s="281"/>
      <c r="AO63" s="281"/>
      <c r="AP63" s="281"/>
      <c r="AQ63" s="281"/>
      <c r="AR63" s="281"/>
      <c r="AS63" s="281"/>
      <c r="AT63" s="281"/>
      <c r="AU63" s="281"/>
      <c r="AV63" s="281"/>
      <c r="AW63" s="281"/>
      <c r="AX63" s="282"/>
      <c r="AY63" s="282"/>
      <c r="AZ63" s="282"/>
    </row>
    <row r="64" customHeight="1" spans="1:52">
      <c r="A64" s="250">
        <v>64</v>
      </c>
      <c r="B64" s="251" t="str">
        <f>IF(法术书I!AA26="","",法术书I!AA26)</f>
        <v/>
      </c>
      <c r="C64" s="250" t="str">
        <f>IFERROR(VLOOKUP(B64,列表!$B:$B,1,FALSE),"QuQ")</f>
        <v>QuQ</v>
      </c>
      <c r="D64" s="252" t="str">
        <f>IFERROR(VLOOKUP(C64,列表!$B:$T,17,FALSE),"")</f>
        <v/>
      </c>
      <c r="E64" s="250">
        <v>64</v>
      </c>
      <c r="F64" s="251" t="str">
        <f>IF(法术书II!AA26="","",法术书II!AA26)</f>
        <v/>
      </c>
      <c r="G64" s="250" t="str">
        <f>IFERROR(VLOOKUP(F64,列表!$B:$B,1,FALSE),"QuQ")</f>
        <v>QuQ</v>
      </c>
      <c r="H64" s="252" t="str">
        <f>IFERROR(VLOOKUP(G64,列表!$B:$T,17,FALSE),"")</f>
        <v/>
      </c>
      <c r="I64" s="250">
        <v>64</v>
      </c>
      <c r="J64" s="251" t="str">
        <f>IF(法术书III!AA26="","",法术书III!AA26)</f>
        <v/>
      </c>
      <c r="K64" s="250" t="str">
        <f>IFERROR(VLOOKUP(J64,列表!$B:$B,1,FALSE),"QuQ")</f>
        <v>QuQ</v>
      </c>
      <c r="L64" s="252" t="str">
        <f>IFERROR(VLOOKUP(K64,列表!$B:$T,17,FALSE),"")</f>
        <v/>
      </c>
      <c r="AK64" s="250" t="s">
        <v>597</v>
      </c>
      <c r="AL64" s="250" t="s">
        <v>598</v>
      </c>
      <c r="AM64" s="281" t="s">
        <v>599</v>
      </c>
      <c r="AN64" s="281" t="s">
        <v>600</v>
      </c>
      <c r="AO64" s="281"/>
      <c r="AP64" s="281"/>
      <c r="AQ64" s="281"/>
      <c r="AR64" s="281"/>
      <c r="AS64" s="281"/>
      <c r="AT64" s="281"/>
      <c r="AU64" s="281"/>
      <c r="AV64" s="281"/>
      <c r="AW64" s="281"/>
      <c r="AX64" s="282"/>
      <c r="AY64" s="282"/>
      <c r="AZ64" s="282"/>
    </row>
    <row r="65" customHeight="1" spans="1:68">
      <c r="A65" s="250">
        <v>65</v>
      </c>
      <c r="B65" s="251" t="str">
        <f>IF(法术书I!AA27="","",法术书I!AA27)</f>
        <v/>
      </c>
      <c r="C65" s="250" t="str">
        <f>IFERROR(VLOOKUP(B65,列表!$B:$B,1,FALSE),"QuQ")</f>
        <v>QuQ</v>
      </c>
      <c r="D65" s="252" t="str">
        <f>IFERROR(VLOOKUP(C65,列表!$B:$T,17,FALSE),"")</f>
        <v/>
      </c>
      <c r="E65" s="250">
        <v>65</v>
      </c>
      <c r="F65" s="251" t="str">
        <f>IF(法术书II!AA27="","",法术书II!AA27)</f>
        <v/>
      </c>
      <c r="G65" s="250" t="str">
        <f>IFERROR(VLOOKUP(F65,列表!$B:$B,1,FALSE),"QuQ")</f>
        <v>QuQ</v>
      </c>
      <c r="H65" s="252" t="str">
        <f>IFERROR(VLOOKUP(G65,列表!$B:$T,17,FALSE),"")</f>
        <v/>
      </c>
      <c r="I65" s="250">
        <v>65</v>
      </c>
      <c r="J65" s="251" t="str">
        <f>IF(法术书III!AA27="","",法术书III!AA27)</f>
        <v/>
      </c>
      <c r="K65" s="250" t="str">
        <f>IFERROR(VLOOKUP(J65,列表!$B:$B,1,FALSE),"QuQ")</f>
        <v>QuQ</v>
      </c>
      <c r="L65" s="252" t="str">
        <f>IFERROR(VLOOKUP(K65,列表!$B:$T,17,FALSE),"")</f>
        <v/>
      </c>
      <c r="AK65" s="250" t="s">
        <v>601</v>
      </c>
      <c r="AL65" s="250" t="s">
        <v>602</v>
      </c>
      <c r="AM65" s="281"/>
      <c r="AN65" s="281"/>
      <c r="AO65" s="281"/>
      <c r="AP65" s="281"/>
      <c r="AQ65" s="281"/>
      <c r="AR65" s="281"/>
      <c r="AS65" s="281"/>
      <c r="AT65" s="281"/>
      <c r="AU65" s="281"/>
      <c r="AV65" s="281"/>
      <c r="AW65" s="281"/>
      <c r="AX65" s="282"/>
      <c r="AY65" s="282"/>
      <c r="AZ65" s="282"/>
    </row>
    <row r="66" customHeight="1" spans="1:68">
      <c r="A66" s="250">
        <v>66</v>
      </c>
      <c r="B66" s="251" t="str">
        <f>IF(法术书I!AA28="","",法术书I!AA28)</f>
        <v/>
      </c>
      <c r="C66" s="250" t="str">
        <f>IFERROR(VLOOKUP(B66,列表!$B:$B,1,FALSE),"QuQ")</f>
        <v>QuQ</v>
      </c>
      <c r="D66" s="252" t="str">
        <f>IFERROR(VLOOKUP(C66,列表!$B:$T,17,FALSE),"")</f>
        <v/>
      </c>
      <c r="E66" s="250">
        <v>66</v>
      </c>
      <c r="F66" s="251" t="str">
        <f>IF(法术书II!AA28="","",法术书II!AA28)</f>
        <v/>
      </c>
      <c r="G66" s="250" t="str">
        <f>IFERROR(VLOOKUP(F66,列表!$B:$B,1,FALSE),"QuQ")</f>
        <v>QuQ</v>
      </c>
      <c r="H66" s="252" t="str">
        <f>IFERROR(VLOOKUP(G66,列表!$B:$T,17,FALSE),"")</f>
        <v/>
      </c>
      <c r="I66" s="250">
        <v>66</v>
      </c>
      <c r="J66" s="251" t="str">
        <f>IF(法术书III!AA28="","",法术书III!AA28)</f>
        <v/>
      </c>
      <c r="K66" s="250" t="str">
        <f>IFERROR(VLOOKUP(J66,列表!$B:$B,1,FALSE),"QuQ")</f>
        <v>QuQ</v>
      </c>
      <c r="L66" s="252" t="str">
        <f>IFERROR(VLOOKUP(K66,列表!$B:$T,17,FALSE),"")</f>
        <v/>
      </c>
      <c r="AK66" s="250" t="s">
        <v>601</v>
      </c>
      <c r="AL66" s="250" t="s">
        <v>603</v>
      </c>
      <c r="AM66" s="281"/>
      <c r="AN66" s="281"/>
      <c r="AO66" s="281"/>
      <c r="AP66" s="281"/>
      <c r="AQ66" s="281"/>
      <c r="AR66" s="281"/>
      <c r="AS66" s="281"/>
      <c r="AT66" s="281"/>
      <c r="AU66" s="281"/>
      <c r="AV66" s="281"/>
      <c r="AW66" s="281"/>
      <c r="AX66" s="282"/>
      <c r="AY66" s="282"/>
      <c r="AZ66" s="282"/>
    </row>
    <row r="67" customHeight="1" spans="1:68">
      <c r="A67" s="250">
        <v>67</v>
      </c>
      <c r="B67" s="251" t="str">
        <f>IF(法术书I!AA29="","",法术书I!AA29)</f>
        <v/>
      </c>
      <c r="C67" s="250" t="str">
        <f>IFERROR(VLOOKUP(B67,列表!$B:$B,1,FALSE),"QuQ")</f>
        <v>QuQ</v>
      </c>
      <c r="D67" s="252" t="str">
        <f>IFERROR(VLOOKUP(C67,列表!$B:$T,17,FALSE),"")</f>
        <v/>
      </c>
      <c r="E67" s="250">
        <v>67</v>
      </c>
      <c r="F67" s="251" t="str">
        <f>IF(法术书II!AA29="","",法术书II!AA29)</f>
        <v/>
      </c>
      <c r="G67" s="250" t="str">
        <f>IFERROR(VLOOKUP(F67,列表!$B:$B,1,FALSE),"QuQ")</f>
        <v>QuQ</v>
      </c>
      <c r="H67" s="252" t="str">
        <f>IFERROR(VLOOKUP(G67,列表!$B:$T,17,FALSE),"")</f>
        <v/>
      </c>
      <c r="I67" s="250">
        <v>67</v>
      </c>
      <c r="J67" s="251" t="str">
        <f>IF(法术书III!AA29="","",法术书III!AA29)</f>
        <v/>
      </c>
      <c r="K67" s="250" t="str">
        <f>IFERROR(VLOOKUP(J67,列表!$B:$B,1,FALSE),"QuQ")</f>
        <v>QuQ</v>
      </c>
      <c r="L67" s="252" t="str">
        <f>IFERROR(VLOOKUP(K67,列表!$B:$T,17,FALSE),"")</f>
        <v/>
      </c>
      <c r="AK67" s="250" t="s">
        <v>601</v>
      </c>
      <c r="AL67" s="250" t="s">
        <v>604</v>
      </c>
      <c r="AM67" s="281"/>
      <c r="AN67" s="281"/>
      <c r="AO67" s="281"/>
      <c r="AP67" s="281"/>
      <c r="AQ67" s="281"/>
      <c r="AR67" s="281"/>
      <c r="AS67" s="281"/>
      <c r="AT67" s="281"/>
      <c r="AU67" s="281"/>
      <c r="AV67" s="281"/>
      <c r="AW67" s="281"/>
      <c r="AX67" s="282"/>
      <c r="AY67" s="282"/>
      <c r="AZ67" s="282"/>
    </row>
    <row r="68" customHeight="1" spans="1:68">
      <c r="A68" s="250">
        <v>68</v>
      </c>
      <c r="B68" s="251" t="str">
        <f>IF(法术书I!AA30="","",法术书I!AA30)</f>
        <v/>
      </c>
      <c r="C68" s="250" t="str">
        <f>IFERROR(VLOOKUP(B68,列表!$B:$B,1,FALSE),"QuQ")</f>
        <v>QuQ</v>
      </c>
      <c r="D68" s="252" t="str">
        <f>IFERROR(VLOOKUP(C68,列表!$B:$T,17,FALSE),"")</f>
        <v/>
      </c>
      <c r="E68" s="250">
        <v>68</v>
      </c>
      <c r="F68" s="251" t="str">
        <f>IF(法术书II!AA30="","",法术书II!AA30)</f>
        <v/>
      </c>
      <c r="G68" s="250" t="str">
        <f>IFERROR(VLOOKUP(F68,列表!$B:$B,1,FALSE),"QuQ")</f>
        <v>QuQ</v>
      </c>
      <c r="H68" s="252" t="str">
        <f>IFERROR(VLOOKUP(G68,列表!$B:$T,17,FALSE),"")</f>
        <v/>
      </c>
      <c r="I68" s="250">
        <v>68</v>
      </c>
      <c r="J68" s="251" t="str">
        <f>IF(法术书III!AA30="","",法术书III!AA30)</f>
        <v/>
      </c>
      <c r="K68" s="250" t="str">
        <f>IFERROR(VLOOKUP(J68,列表!$B:$B,1,FALSE),"QuQ")</f>
        <v>QuQ</v>
      </c>
      <c r="L68" s="252" t="str">
        <f>IFERROR(VLOOKUP(K68,列表!$B:$T,17,FALSE),"")</f>
        <v/>
      </c>
      <c r="AK68" s="250" t="s">
        <v>601</v>
      </c>
      <c r="AL68" s="250" t="s">
        <v>605</v>
      </c>
      <c r="AM68" s="281" t="s">
        <v>606</v>
      </c>
      <c r="AN68" s="281" t="s">
        <v>607</v>
      </c>
      <c r="AO68" s="281" t="s">
        <v>608</v>
      </c>
      <c r="AP68" s="281" t="s">
        <v>609</v>
      </c>
      <c r="AQ68" s="281" t="s">
        <v>610</v>
      </c>
      <c r="AR68" s="281" t="s">
        <v>611</v>
      </c>
      <c r="AS68" s="281"/>
      <c r="AT68" s="281"/>
      <c r="AU68" s="281"/>
      <c r="AV68" s="281"/>
      <c r="AW68" s="281"/>
      <c r="AX68" s="282"/>
      <c r="AY68" s="282"/>
      <c r="AZ68" s="282"/>
    </row>
    <row r="69" customHeight="1" spans="1:68">
      <c r="A69" s="250">
        <v>69</v>
      </c>
      <c r="B69" s="251" t="str">
        <f>IF(法术书I!AA31="","",法术书I!AA31)</f>
        <v/>
      </c>
      <c r="C69" s="250" t="str">
        <f>IFERROR(VLOOKUP(B69,列表!$B:$B,1,FALSE),"QuQ")</f>
        <v>QuQ</v>
      </c>
      <c r="D69" s="252" t="str">
        <f>IFERROR(VLOOKUP(C69,列表!$B:$T,17,FALSE),"")</f>
        <v/>
      </c>
      <c r="E69" s="250">
        <v>69</v>
      </c>
      <c r="F69" s="251" t="str">
        <f>IF(法术书II!AA31="","",法术书II!AA31)</f>
        <v/>
      </c>
      <c r="G69" s="250" t="str">
        <f>IFERROR(VLOOKUP(F69,列表!$B:$B,1,FALSE),"QuQ")</f>
        <v>QuQ</v>
      </c>
      <c r="H69" s="252" t="str">
        <f>IFERROR(VLOOKUP(G69,列表!$B:$T,17,FALSE),"")</f>
        <v/>
      </c>
      <c r="I69" s="250">
        <v>69</v>
      </c>
      <c r="J69" s="251" t="str">
        <f>IF(法术书III!AA31="","",法术书III!AA31)</f>
        <v/>
      </c>
      <c r="K69" s="250" t="str">
        <f>IFERROR(VLOOKUP(J69,列表!$B:$B,1,FALSE),"QuQ")</f>
        <v>QuQ</v>
      </c>
      <c r="L69" s="252" t="str">
        <f>IFERROR(VLOOKUP(K69,列表!$B:$T,17,FALSE),"")</f>
        <v/>
      </c>
      <c r="AK69" s="250" t="s">
        <v>601</v>
      </c>
      <c r="AL69" s="250" t="s">
        <v>612</v>
      </c>
      <c r="AM69" s="281"/>
      <c r="AN69" s="281"/>
      <c r="AO69" s="281"/>
      <c r="AP69" s="281"/>
      <c r="AQ69" s="281"/>
      <c r="AR69" s="281"/>
      <c r="AS69" s="281"/>
      <c r="AT69" s="281"/>
      <c r="AU69" s="281"/>
      <c r="AV69" s="281"/>
      <c r="AW69" s="281"/>
      <c r="AX69" s="282"/>
      <c r="AY69" s="282"/>
      <c r="AZ69" s="282"/>
    </row>
    <row r="70" customHeight="1" spans="1:68">
      <c r="A70" s="250">
        <v>70</v>
      </c>
      <c r="B70" s="251" t="str">
        <f>IF(法术书I!AA32="","",法术书I!AA32)</f>
        <v/>
      </c>
      <c r="C70" s="250" t="str">
        <f>IFERROR(VLOOKUP(B70,列表!$B:$B,1,FALSE),"QuQ")</f>
        <v>QuQ</v>
      </c>
      <c r="D70" s="252" t="str">
        <f>IFERROR(VLOOKUP(C70,列表!$B:$T,17,FALSE),"")</f>
        <v/>
      </c>
      <c r="E70" s="250">
        <v>70</v>
      </c>
      <c r="F70" s="251" t="str">
        <f>IF(法术书II!AA32="","",法术书II!AA32)</f>
        <v/>
      </c>
      <c r="G70" s="250" t="str">
        <f>IFERROR(VLOOKUP(F70,列表!$B:$B,1,FALSE),"QuQ")</f>
        <v>QuQ</v>
      </c>
      <c r="H70" s="252" t="str">
        <f>IFERROR(VLOOKUP(G70,列表!$B:$T,17,FALSE),"")</f>
        <v/>
      </c>
      <c r="I70" s="250">
        <v>70</v>
      </c>
      <c r="J70" s="251" t="str">
        <f>IF(法术书III!AA32="","",法术书III!AA32)</f>
        <v/>
      </c>
      <c r="K70" s="250" t="str">
        <f>IFERROR(VLOOKUP(J70,列表!$B:$B,1,FALSE),"QuQ")</f>
        <v>QuQ</v>
      </c>
      <c r="L70" s="252" t="str">
        <f>IFERROR(VLOOKUP(K70,列表!$B:$T,17,FALSE),"")</f>
        <v/>
      </c>
      <c r="AK70" s="250" t="s">
        <v>613</v>
      </c>
      <c r="AL70" s="250" t="s">
        <v>614</v>
      </c>
      <c r="AM70" s="281" t="s">
        <v>615</v>
      </c>
      <c r="AN70" s="281"/>
      <c r="AO70" s="281"/>
      <c r="AP70" s="281"/>
      <c r="AQ70" s="281"/>
      <c r="AR70" s="281"/>
      <c r="AS70" s="281"/>
      <c r="AT70" s="281"/>
      <c r="AU70" s="281"/>
      <c r="AV70" s="281"/>
      <c r="AW70" s="281"/>
      <c r="AX70" s="282"/>
      <c r="AY70" s="282"/>
      <c r="AZ70" s="282"/>
    </row>
    <row r="71" customHeight="1" spans="1:68">
      <c r="A71" s="250">
        <v>71</v>
      </c>
      <c r="B71" s="251" t="str">
        <f>IF(法术书I!AA33="","",法术书I!AA33)</f>
        <v/>
      </c>
      <c r="C71" s="250" t="str">
        <f>IFERROR(VLOOKUP(B71,列表!$B:$B,1,FALSE),"QuQ")</f>
        <v>QuQ</v>
      </c>
      <c r="D71" s="252" t="str">
        <f>IFERROR(VLOOKUP(C71,列表!$B:$T,17,FALSE),"")</f>
        <v/>
      </c>
      <c r="E71" s="250">
        <v>71</v>
      </c>
      <c r="F71" s="251" t="str">
        <f>IF(法术书II!AA33="","",法术书II!AA33)</f>
        <v/>
      </c>
      <c r="G71" s="250" t="str">
        <f>IFERROR(VLOOKUP(F71,列表!$B:$B,1,FALSE),"QuQ")</f>
        <v>QuQ</v>
      </c>
      <c r="H71" s="252" t="str">
        <f>IFERROR(VLOOKUP(G71,列表!$B:$T,17,FALSE),"")</f>
        <v/>
      </c>
      <c r="I71" s="250">
        <v>71</v>
      </c>
      <c r="J71" s="251" t="str">
        <f>IF(法术书III!AA33="","",法术书III!AA33)</f>
        <v/>
      </c>
      <c r="K71" s="250" t="str">
        <f>IFERROR(VLOOKUP(J71,列表!$B:$B,1,FALSE),"QuQ")</f>
        <v>QuQ</v>
      </c>
      <c r="L71" s="252" t="str">
        <f>IFERROR(VLOOKUP(K71,列表!$B:$T,17,FALSE),"")</f>
        <v/>
      </c>
      <c r="AK71" s="250" t="s">
        <v>613</v>
      </c>
      <c r="AL71" s="250" t="s">
        <v>616</v>
      </c>
      <c r="AM71" s="281"/>
      <c r="AN71" s="281"/>
      <c r="AO71" s="281"/>
      <c r="AP71" s="281"/>
      <c r="AQ71" s="281"/>
      <c r="AR71" s="281"/>
      <c r="AS71" s="281"/>
      <c r="AT71" s="281"/>
      <c r="AU71" s="281"/>
      <c r="AV71" s="281"/>
      <c r="AW71" s="281"/>
      <c r="AX71" s="282"/>
      <c r="AY71" s="282"/>
      <c r="AZ71" s="282"/>
    </row>
    <row r="72" customHeight="1" spans="1:68">
      <c r="A72" s="250">
        <v>72</v>
      </c>
      <c r="B72" s="251" t="str">
        <f>IF(法术书I!AA34="","",法术书I!AA34)</f>
        <v/>
      </c>
      <c r="C72" s="250" t="str">
        <f>IFERROR(VLOOKUP(B72,列表!$B:$B,1,FALSE),"QuQ")</f>
        <v>QuQ</v>
      </c>
      <c r="D72" s="252" t="str">
        <f>IFERROR(VLOOKUP(C72,列表!$B:$T,17,FALSE),"")</f>
        <v/>
      </c>
      <c r="E72" s="250">
        <v>72</v>
      </c>
      <c r="F72" s="251" t="str">
        <f>IF(法术书II!AA34="","",法术书II!AA34)</f>
        <v/>
      </c>
      <c r="G72" s="250" t="str">
        <f>IFERROR(VLOOKUP(F72,列表!$B:$B,1,FALSE),"QuQ")</f>
        <v>QuQ</v>
      </c>
      <c r="H72" s="252" t="str">
        <f>IFERROR(VLOOKUP(G72,列表!$B:$T,17,FALSE),"")</f>
        <v/>
      </c>
      <c r="I72" s="250">
        <v>72</v>
      </c>
      <c r="J72" s="251" t="str">
        <f>IF(法术书III!AA34="","",法术书III!AA34)</f>
        <v/>
      </c>
      <c r="K72" s="250" t="str">
        <f>IFERROR(VLOOKUP(J72,列表!$B:$B,1,FALSE),"QuQ")</f>
        <v>QuQ</v>
      </c>
      <c r="L72" s="252" t="str">
        <f>IFERROR(VLOOKUP(K72,列表!$B:$T,17,FALSE),"")</f>
        <v/>
      </c>
      <c r="AK72" s="250" t="s">
        <v>613</v>
      </c>
      <c r="AL72" s="250" t="s">
        <v>617</v>
      </c>
      <c r="AM72" s="281" t="s">
        <v>618</v>
      </c>
      <c r="AN72" s="281" t="s">
        <v>619</v>
      </c>
      <c r="AO72" s="281" t="s">
        <v>620</v>
      </c>
      <c r="AP72" s="281" t="s">
        <v>621</v>
      </c>
      <c r="AQ72" s="281"/>
      <c r="AR72" s="281"/>
      <c r="AS72" s="281"/>
      <c r="AT72" s="281"/>
      <c r="AU72" s="281"/>
      <c r="AV72" s="281"/>
      <c r="AW72" s="281"/>
      <c r="AX72" s="282"/>
      <c r="AY72" s="282"/>
      <c r="AZ72" s="282"/>
    </row>
    <row r="73" customHeight="1" spans="1:68">
      <c r="A73" s="250">
        <v>73</v>
      </c>
      <c r="B73" s="251" t="str">
        <f>IF(法术书I!AA35="","",法术书I!AA35)</f>
        <v/>
      </c>
      <c r="C73" s="250" t="str">
        <f>IFERROR(VLOOKUP(B73,列表!$B:$B,1,FALSE),"QuQ")</f>
        <v>QuQ</v>
      </c>
      <c r="D73" s="252" t="str">
        <f>IFERROR(VLOOKUP(C73,列表!$B:$T,17,FALSE),"")</f>
        <v/>
      </c>
      <c r="E73" s="250">
        <v>73</v>
      </c>
      <c r="F73" s="251" t="str">
        <f>IF(法术书II!AA35="","",法术书II!AA35)</f>
        <v/>
      </c>
      <c r="G73" s="250" t="str">
        <f>IFERROR(VLOOKUP(F73,列表!$B:$B,1,FALSE),"QuQ")</f>
        <v>QuQ</v>
      </c>
      <c r="H73" s="252" t="str">
        <f>IFERROR(VLOOKUP(G73,列表!$B:$T,17,FALSE),"")</f>
        <v/>
      </c>
      <c r="I73" s="250">
        <v>73</v>
      </c>
      <c r="J73" s="251" t="str">
        <f>IF(法术书III!AA35="","",法术书III!AA35)</f>
        <v/>
      </c>
      <c r="K73" s="250" t="str">
        <f>IFERROR(VLOOKUP(J73,列表!$B:$B,1,FALSE),"QuQ")</f>
        <v>QuQ</v>
      </c>
      <c r="L73" s="252" t="str">
        <f>IFERROR(VLOOKUP(K73,列表!$B:$T,17,FALSE),"")</f>
        <v/>
      </c>
      <c r="AK73" s="250" t="s">
        <v>613</v>
      </c>
      <c r="AL73" s="250" t="s">
        <v>622</v>
      </c>
      <c r="AM73" s="281" t="s">
        <v>623</v>
      </c>
      <c r="AN73" s="281" t="s">
        <v>624</v>
      </c>
      <c r="AO73" s="281" t="s">
        <v>625</v>
      </c>
      <c r="AP73" s="281"/>
      <c r="AQ73" s="281"/>
      <c r="AR73" s="281"/>
      <c r="AS73" s="281"/>
      <c r="AT73" s="281"/>
      <c r="AU73" s="281"/>
      <c r="AV73" s="281"/>
      <c r="AW73" s="281"/>
      <c r="AX73" s="282"/>
      <c r="AY73" s="282"/>
      <c r="AZ73" s="282"/>
    </row>
    <row r="74" customHeight="1" spans="1:68">
      <c r="A74" s="250">
        <v>74</v>
      </c>
      <c r="B74" s="251" t="str">
        <f>IF(法术书I!AA36="","",法术书I!AA36)</f>
        <v/>
      </c>
      <c r="C74" s="250" t="str">
        <f>IFERROR(VLOOKUP(B74,列表!$B:$B,1,FALSE),"QuQ")</f>
        <v>QuQ</v>
      </c>
      <c r="D74" s="252" t="str">
        <f>IFERROR(VLOOKUP(C74,列表!$B:$T,17,FALSE),"")</f>
        <v/>
      </c>
      <c r="E74" s="250">
        <v>74</v>
      </c>
      <c r="F74" s="251" t="str">
        <f>IF(法术书II!AA36="","",法术书II!AA36)</f>
        <v/>
      </c>
      <c r="G74" s="250" t="str">
        <f>IFERROR(VLOOKUP(F74,列表!$B:$B,1,FALSE),"QuQ")</f>
        <v>QuQ</v>
      </c>
      <c r="H74" s="252" t="str">
        <f>IFERROR(VLOOKUP(G74,列表!$B:$T,17,FALSE),"")</f>
        <v/>
      </c>
      <c r="I74" s="250">
        <v>74</v>
      </c>
      <c r="J74" s="251" t="str">
        <f>IF(法术书III!AA36="","",法术书III!AA36)</f>
        <v/>
      </c>
      <c r="K74" s="250" t="str">
        <f>IFERROR(VLOOKUP(J74,列表!$B:$B,1,FALSE),"QuQ")</f>
        <v>QuQ</v>
      </c>
      <c r="L74" s="252" t="str">
        <f>IFERROR(VLOOKUP(K74,列表!$B:$T,17,FALSE),"")</f>
        <v/>
      </c>
      <c r="AK74" s="295">
        <v>1</v>
      </c>
      <c r="AL74" s="295">
        <v>2</v>
      </c>
      <c r="AM74" s="295">
        <v>3</v>
      </c>
      <c r="AN74" s="295">
        <v>4</v>
      </c>
      <c r="AO74" s="295">
        <v>5</v>
      </c>
      <c r="AP74" s="295">
        <v>6</v>
      </c>
      <c r="AQ74" s="295">
        <v>7</v>
      </c>
      <c r="AR74" s="295">
        <v>8</v>
      </c>
      <c r="AS74" s="295">
        <v>9</v>
      </c>
      <c r="AT74" s="295">
        <v>10</v>
      </c>
      <c r="AU74" s="295">
        <v>11</v>
      </c>
      <c r="AV74" s="295">
        <v>12</v>
      </c>
      <c r="AW74" s="295">
        <v>13</v>
      </c>
      <c r="AX74" s="295">
        <v>14</v>
      </c>
      <c r="AY74" s="295">
        <v>15</v>
      </c>
      <c r="AZ74" s="295">
        <v>16</v>
      </c>
      <c r="BA74" s="295">
        <v>17</v>
      </c>
      <c r="BB74" s="295">
        <v>18</v>
      </c>
      <c r="BC74" s="295">
        <v>19</v>
      </c>
      <c r="BD74" s="295">
        <v>20</v>
      </c>
      <c r="BE74" s="295">
        <v>21</v>
      </c>
      <c r="BF74" s="295">
        <v>22</v>
      </c>
      <c r="BG74" s="295">
        <v>23</v>
      </c>
      <c r="BH74" s="295">
        <v>24</v>
      </c>
      <c r="BI74" s="295">
        <v>25</v>
      </c>
      <c r="BJ74" s="295">
        <v>26</v>
      </c>
      <c r="BK74" s="295">
        <v>27</v>
      </c>
      <c r="BL74" s="295">
        <v>28</v>
      </c>
      <c r="BM74" s="295">
        <v>29</v>
      </c>
      <c r="BN74" s="295">
        <v>30</v>
      </c>
      <c r="BO74" s="295">
        <v>31</v>
      </c>
      <c r="BP74" s="295">
        <v>32</v>
      </c>
    </row>
    <row r="75" customHeight="1" spans="1:68">
      <c r="A75" s="250">
        <v>75</v>
      </c>
      <c r="B75" s="251" t="str">
        <f>IF(法术书I!AA37="","",法术书I!AA37)</f>
        <v/>
      </c>
      <c r="C75" s="250" t="str">
        <f>IFERROR(VLOOKUP(B75,列表!$B:$B,1,FALSE),"QuQ")</f>
        <v>QuQ</v>
      </c>
      <c r="D75" s="252" t="str">
        <f>IFERROR(VLOOKUP(C75,列表!$B:$T,17,FALSE),"")</f>
        <v/>
      </c>
      <c r="E75" s="250">
        <v>75</v>
      </c>
      <c r="F75" s="251" t="str">
        <f>IF(法术书II!AA37="","",法术书II!AA37)</f>
        <v/>
      </c>
      <c r="G75" s="250" t="str">
        <f>IFERROR(VLOOKUP(F75,列表!$B:$B,1,FALSE),"QuQ")</f>
        <v>QuQ</v>
      </c>
      <c r="H75" s="252" t="str">
        <f>IFERROR(VLOOKUP(G75,列表!$B:$T,17,FALSE),"")</f>
        <v/>
      </c>
      <c r="I75" s="250">
        <v>75</v>
      </c>
      <c r="J75" s="251" t="str">
        <f>IF(法术书III!AA37="","",法术书III!AA37)</f>
        <v/>
      </c>
      <c r="K75" s="250" t="str">
        <f>IFERROR(VLOOKUP(J75,列表!$B:$B,1,FALSE),"QuQ")</f>
        <v>QuQ</v>
      </c>
      <c r="L75" s="252" t="str">
        <f>IFERROR(VLOOKUP(K75,列表!$B:$T,17,FALSE),"")</f>
        <v/>
      </c>
      <c r="AK75" s="296"/>
      <c r="AL75" s="296" t="s">
        <v>38</v>
      </c>
      <c r="AM75" s="296" t="s">
        <v>43</v>
      </c>
      <c r="AN75" s="296" t="s">
        <v>46</v>
      </c>
      <c r="AO75" s="296" t="s">
        <v>52</v>
      </c>
      <c r="AP75" s="296" t="s">
        <v>53</v>
      </c>
      <c r="AQ75" s="296" t="s">
        <v>57</v>
      </c>
      <c r="AR75" s="296" t="s">
        <v>626</v>
      </c>
      <c r="AS75" s="296" t="s">
        <v>627</v>
      </c>
      <c r="AT75" s="296" t="s">
        <v>27</v>
      </c>
      <c r="AU75" s="296" t="s">
        <v>25</v>
      </c>
      <c r="AV75" s="296" t="s">
        <v>55</v>
      </c>
      <c r="AW75" s="296" t="s">
        <v>56</v>
      </c>
      <c r="AX75" s="296" t="s">
        <v>11</v>
      </c>
      <c r="AY75" s="296" t="s">
        <v>61</v>
      </c>
      <c r="AZ75" s="296" t="s">
        <v>154</v>
      </c>
      <c r="BA75" s="296" t="s">
        <v>70</v>
      </c>
      <c r="BB75" s="296"/>
      <c r="BC75" s="296"/>
      <c r="BD75" s="296"/>
      <c r="BE75" s="296"/>
      <c r="BF75" s="296"/>
      <c r="BG75" s="296"/>
      <c r="BH75" s="296"/>
      <c r="BI75" s="296"/>
      <c r="BJ75" s="296"/>
      <c r="BK75" s="296"/>
      <c r="BL75" s="296"/>
      <c r="BM75" s="296"/>
      <c r="BN75" s="296"/>
      <c r="BO75" s="296"/>
      <c r="BP75" s="296"/>
    </row>
    <row r="76" customHeight="1" spans="1:68">
      <c r="A76" s="250">
        <v>76</v>
      </c>
      <c r="B76" s="251" t="str">
        <f>IF(法术书I!AA38="","",法术书I!AA38)</f>
        <v/>
      </c>
      <c r="C76" s="250" t="str">
        <f>IFERROR(VLOOKUP(B76,列表!$B:$B,1,FALSE),"QuQ")</f>
        <v>QuQ</v>
      </c>
      <c r="D76" s="252" t="str">
        <f>IFERROR(VLOOKUP(C76,列表!$B:$T,17,FALSE),"")</f>
        <v/>
      </c>
      <c r="E76" s="250">
        <v>76</v>
      </c>
      <c r="F76" s="251" t="str">
        <f>IF(法术书II!AA38="","",法术书II!AA38)</f>
        <v/>
      </c>
      <c r="G76" s="250" t="str">
        <f>IFERROR(VLOOKUP(F76,列表!$B:$B,1,FALSE),"QuQ")</f>
        <v>QuQ</v>
      </c>
      <c r="H76" s="252" t="str">
        <f>IFERROR(VLOOKUP(G76,列表!$B:$T,17,FALSE),"")</f>
        <v/>
      </c>
      <c r="I76" s="250">
        <v>76</v>
      </c>
      <c r="J76" s="251" t="str">
        <f>IF(法术书III!AA38="","",法术书III!AA38)</f>
        <v/>
      </c>
      <c r="K76" s="250" t="str">
        <f>IFERROR(VLOOKUP(J76,列表!$B:$B,1,FALSE),"QuQ")</f>
        <v>QuQ</v>
      </c>
      <c r="L76" s="252" t="str">
        <f>IFERROR(VLOOKUP(K76,列表!$B:$T,17,FALSE),"")</f>
        <v/>
      </c>
      <c r="AK76" s="296"/>
      <c r="AL76" s="296"/>
      <c r="AM76" s="296"/>
      <c r="AN76" s="296"/>
      <c r="AO76" s="296"/>
      <c r="AP76" s="296"/>
      <c r="AQ76" s="296"/>
      <c r="AR76" s="296"/>
      <c r="AS76" s="296"/>
      <c r="AT76" s="296"/>
      <c r="AU76" s="296"/>
      <c r="AV76" s="296"/>
      <c r="AW76" s="296"/>
      <c r="AX76" s="296"/>
      <c r="AY76" s="296"/>
      <c r="AZ76" s="296"/>
      <c r="BA76" s="296">
        <v>1</v>
      </c>
      <c r="BB76" s="296">
        <v>2</v>
      </c>
      <c r="BC76" s="296">
        <v>3</v>
      </c>
      <c r="BD76" s="296">
        <v>4</v>
      </c>
      <c r="BE76" s="296">
        <v>5</v>
      </c>
      <c r="BF76" s="296">
        <v>6</v>
      </c>
      <c r="BG76" s="296">
        <v>7</v>
      </c>
      <c r="BH76" s="296">
        <v>8</v>
      </c>
      <c r="BI76" s="296">
        <v>9</v>
      </c>
      <c r="BJ76" s="296">
        <v>10</v>
      </c>
      <c r="BK76" s="296">
        <v>11</v>
      </c>
      <c r="BL76" s="296">
        <v>12</v>
      </c>
      <c r="BM76" s="296">
        <v>13</v>
      </c>
      <c r="BN76" s="296">
        <v>14</v>
      </c>
      <c r="BO76" s="296">
        <v>15</v>
      </c>
      <c r="BP76" s="296">
        <v>16</v>
      </c>
    </row>
    <row r="77" customHeight="1" spans="1:68">
      <c r="A77" s="250">
        <v>77</v>
      </c>
      <c r="B77" s="251" t="str">
        <f>IF(法术书I!AA39="","",法术书I!AA39)</f>
        <v/>
      </c>
      <c r="C77" s="250" t="str">
        <f>IFERROR(VLOOKUP(B77,列表!$B:$B,1,FALSE),"QuQ")</f>
        <v>QuQ</v>
      </c>
      <c r="D77" s="252" t="str">
        <f>IFERROR(VLOOKUP(C77,列表!$B:$T,17,FALSE),"")</f>
        <v/>
      </c>
      <c r="E77" s="250">
        <v>77</v>
      </c>
      <c r="F77" s="251" t="str">
        <f>IF(法术书II!AA39="","",法术书II!AA39)</f>
        <v/>
      </c>
      <c r="G77" s="250" t="str">
        <f>IFERROR(VLOOKUP(F77,列表!$B:$B,1,FALSE),"QuQ")</f>
        <v>QuQ</v>
      </c>
      <c r="H77" s="252" t="str">
        <f>IFERROR(VLOOKUP(G77,列表!$B:$T,17,FALSE),"")</f>
        <v/>
      </c>
      <c r="I77" s="250">
        <v>77</v>
      </c>
      <c r="J77" s="251" t="str">
        <f>IF(法术书III!AA39="","",法术书III!AA39)</f>
        <v/>
      </c>
      <c r="K77" s="250" t="str">
        <f>IFERROR(VLOOKUP(J77,列表!$B:$B,1,FALSE),"QuQ")</f>
        <v>QuQ</v>
      </c>
      <c r="L77" s="252" t="str">
        <f>IFERROR(VLOOKUP(K77,列表!$B:$T,17,FALSE),"")</f>
        <v/>
      </c>
      <c r="AK77" s="296" t="s">
        <v>495</v>
      </c>
      <c r="AL77" s="296">
        <v>1</v>
      </c>
      <c r="AM77" s="296">
        <v>1</v>
      </c>
      <c r="AN77" s="296">
        <v>1</v>
      </c>
      <c r="AO77" s="296">
        <v>1</v>
      </c>
      <c r="AP77" s="296">
        <v>1</v>
      </c>
      <c r="AQ77" s="296">
        <v>1</v>
      </c>
      <c r="AR77" s="296"/>
      <c r="AS77" s="296"/>
      <c r="AT77" s="296" t="s">
        <v>628</v>
      </c>
      <c r="AU77" s="296" t="s">
        <v>629</v>
      </c>
      <c r="AV77" s="296" t="s">
        <v>630</v>
      </c>
      <c r="AW77" s="296" t="s">
        <v>631</v>
      </c>
      <c r="AX77" s="296" t="s">
        <v>632</v>
      </c>
      <c r="AY77" s="296"/>
      <c r="AZ77" s="296"/>
      <c r="BA77" s="296"/>
      <c r="BB77" s="296"/>
      <c r="BC77" s="296"/>
      <c r="BD77" s="296"/>
      <c r="BE77" s="296"/>
      <c r="BF77" s="296"/>
      <c r="BG77" s="296"/>
      <c r="BH77" s="296"/>
      <c r="BI77" s="296"/>
      <c r="BJ77" s="296"/>
      <c r="BK77" s="296"/>
      <c r="BL77" s="296"/>
      <c r="BM77" s="296"/>
      <c r="BN77" s="296"/>
      <c r="BO77" s="296"/>
      <c r="BP77" s="296"/>
    </row>
    <row r="78" customHeight="1" spans="1:68">
      <c r="A78" s="250">
        <v>78</v>
      </c>
      <c r="B78" s="251" t="str">
        <f>IF(法术书I!AA40="","",法术书I!AA40)</f>
        <v/>
      </c>
      <c r="C78" s="250" t="str">
        <f>IFERROR(VLOOKUP(B78,列表!$B:$B,1,FALSE),"QuQ")</f>
        <v>QuQ</v>
      </c>
      <c r="D78" s="252" t="str">
        <f>IFERROR(VLOOKUP(C78,列表!$B:$T,17,FALSE),"")</f>
        <v/>
      </c>
      <c r="E78" s="250">
        <v>78</v>
      </c>
      <c r="F78" s="251" t="str">
        <f>IF(法术书II!AA40="","",法术书II!AA40)</f>
        <v/>
      </c>
      <c r="G78" s="250" t="str">
        <f>IFERROR(VLOOKUP(F78,列表!$B:$B,1,FALSE),"QuQ")</f>
        <v>QuQ</v>
      </c>
      <c r="H78" s="252" t="str">
        <f>IFERROR(VLOOKUP(G78,列表!$B:$T,17,FALSE),"")</f>
        <v/>
      </c>
      <c r="I78" s="250">
        <v>78</v>
      </c>
      <c r="J78" s="251" t="str">
        <f>IF(法术书III!AA40="","",法术书III!AA40)</f>
        <v/>
      </c>
      <c r="K78" s="250" t="str">
        <f>IFERROR(VLOOKUP(J78,列表!$B:$B,1,FALSE),"QuQ")</f>
        <v>QuQ</v>
      </c>
      <c r="L78" s="252" t="str">
        <f>IFERROR(VLOOKUP(K78,列表!$B:$T,17,FALSE),"")</f>
        <v/>
      </c>
      <c r="AK78" s="296" t="s">
        <v>496</v>
      </c>
      <c r="AL78" s="296"/>
      <c r="AM78" s="296"/>
      <c r="AN78" s="296"/>
      <c r="AO78" s="296"/>
      <c r="AP78" s="296"/>
      <c r="AQ78" s="296"/>
      <c r="AR78" s="296">
        <v>2</v>
      </c>
      <c r="AS78" s="296">
        <v>1</v>
      </c>
      <c r="AT78" s="296" t="s">
        <v>633</v>
      </c>
      <c r="AU78" s="296" t="s">
        <v>629</v>
      </c>
      <c r="AV78" s="296" t="s">
        <v>634</v>
      </c>
      <c r="AW78" s="296" t="s">
        <v>635</v>
      </c>
      <c r="AX78" s="296" t="s">
        <v>632</v>
      </c>
      <c r="AY78" s="296"/>
      <c r="AZ78" s="296"/>
      <c r="BA78" s="296"/>
      <c r="BB78" s="296" t="s">
        <v>636</v>
      </c>
      <c r="BC78" s="296"/>
      <c r="BD78" s="296" t="s">
        <v>637</v>
      </c>
      <c r="BE78" s="296"/>
      <c r="BF78" s="296"/>
      <c r="BG78" s="296"/>
      <c r="BH78" s="296"/>
      <c r="BI78" s="296"/>
      <c r="BJ78" s="296"/>
      <c r="BK78" s="296"/>
      <c r="BL78" s="296"/>
      <c r="BM78" s="296"/>
      <c r="BN78" s="296"/>
      <c r="BO78" s="296"/>
      <c r="BP78" s="296"/>
    </row>
    <row r="79" customHeight="1" spans="1:68">
      <c r="A79" s="250">
        <v>79</v>
      </c>
      <c r="B79" s="251" t="str">
        <f>IF(法术书I!AA41="","",法术书I!AA41)</f>
        <v/>
      </c>
      <c r="C79" s="250" t="str">
        <f>IFERROR(VLOOKUP(B79,列表!$B:$B,1,FALSE),"QuQ")</f>
        <v>QuQ</v>
      </c>
      <c r="D79" s="252" t="str">
        <f>IFERROR(VLOOKUP(C79,列表!$B:$T,17,FALSE),"")</f>
        <v/>
      </c>
      <c r="E79" s="250">
        <v>79</v>
      </c>
      <c r="F79" s="251" t="str">
        <f>IF(法术书II!AA41="","",法术书II!AA41)</f>
        <v/>
      </c>
      <c r="G79" s="250" t="str">
        <f>IFERROR(VLOOKUP(F79,列表!$B:$B,1,FALSE),"QuQ")</f>
        <v>QuQ</v>
      </c>
      <c r="H79" s="252" t="str">
        <f>IFERROR(VLOOKUP(G79,列表!$B:$T,17,FALSE),"")</f>
        <v/>
      </c>
      <c r="I79" s="250">
        <v>79</v>
      </c>
      <c r="J79" s="251" t="str">
        <f>IF(法术书III!AA41="","",法术书III!AA41)</f>
        <v/>
      </c>
      <c r="K79" s="250" t="str">
        <f>IFERROR(VLOOKUP(J79,列表!$B:$B,1,FALSE),"QuQ")</f>
        <v>QuQ</v>
      </c>
      <c r="L79" s="252" t="str">
        <f>IFERROR(VLOOKUP(K79,列表!$B:$T,17,FALSE),"")</f>
        <v/>
      </c>
      <c r="AK79" s="296" t="s">
        <v>502</v>
      </c>
      <c r="AL79" s="296"/>
      <c r="AM79" s="296"/>
      <c r="AN79" s="296"/>
      <c r="AO79" s="296"/>
      <c r="AP79" s="296"/>
      <c r="AQ79" s="296">
        <v>2</v>
      </c>
      <c r="AR79" s="296"/>
      <c r="AS79" s="296"/>
      <c r="AT79" s="296" t="s">
        <v>638</v>
      </c>
      <c r="AU79" s="296" t="s">
        <v>639</v>
      </c>
      <c r="AV79" s="296" t="s">
        <v>640</v>
      </c>
      <c r="AW79" s="296" t="s">
        <v>641</v>
      </c>
      <c r="AX79" s="296" t="s">
        <v>642</v>
      </c>
      <c r="AY79" s="296"/>
      <c r="AZ79" s="296"/>
      <c r="BA79" s="296" t="s">
        <v>643</v>
      </c>
      <c r="BB79" s="296" t="s">
        <v>644</v>
      </c>
      <c r="BC79" s="296" t="s">
        <v>645</v>
      </c>
      <c r="BD79" s="296" t="s">
        <v>646</v>
      </c>
      <c r="BE79" s="296" t="s">
        <v>647</v>
      </c>
      <c r="BF79" s="296" t="s">
        <v>648</v>
      </c>
      <c r="BG79" s="296" t="s">
        <v>649</v>
      </c>
      <c r="BH79" s="296" t="s">
        <v>650</v>
      </c>
      <c r="BI79" s="296"/>
      <c r="BJ79" s="296"/>
      <c r="BK79" s="296"/>
      <c r="BL79" s="296"/>
      <c r="BM79" s="296"/>
      <c r="BN79" s="296"/>
      <c r="BO79" s="296"/>
      <c r="BP79" s="296"/>
    </row>
    <row r="80" customHeight="1" spans="1:68">
      <c r="A80" s="250">
        <v>80</v>
      </c>
      <c r="B80" s="251" t="str">
        <f>IF(法术书I!AA42="","",法术书I!AA42)</f>
        <v/>
      </c>
      <c r="C80" s="250" t="str">
        <f>IFERROR(VLOOKUP(B80,列表!$B:$B,1,FALSE),"QuQ")</f>
        <v>QuQ</v>
      </c>
      <c r="D80" s="252" t="str">
        <f>IFERROR(VLOOKUP(C80,列表!$B:$T,17,FALSE),"")</f>
        <v/>
      </c>
      <c r="E80" s="250">
        <v>80</v>
      </c>
      <c r="F80" s="251" t="str">
        <f>IF(法术书II!AA42="","",法术书II!AA42)</f>
        <v/>
      </c>
      <c r="G80" s="250" t="str">
        <f>IFERROR(VLOOKUP(F80,列表!$B:$B,1,FALSE),"QuQ")</f>
        <v>QuQ</v>
      </c>
      <c r="H80" s="252" t="str">
        <f>IFERROR(VLOOKUP(G80,列表!$B:$T,17,FALSE),"")</f>
        <v/>
      </c>
      <c r="I80" s="250">
        <v>80</v>
      </c>
      <c r="J80" s="251" t="str">
        <f>IF(法术书III!AA42="","",法术书III!AA42)</f>
        <v/>
      </c>
      <c r="K80" s="250" t="str">
        <f>IFERROR(VLOOKUP(J80,列表!$B:$B,1,FALSE),"QuQ")</f>
        <v>QuQ</v>
      </c>
      <c r="L80" s="252" t="str">
        <f>IFERROR(VLOOKUP(K80,列表!$B:$T,17,FALSE),"")</f>
        <v/>
      </c>
      <c r="AK80" s="296" t="s">
        <v>503</v>
      </c>
      <c r="AL80" s="296"/>
      <c r="AM80" s="296"/>
      <c r="AN80" s="296"/>
      <c r="AO80" s="296"/>
      <c r="AP80" s="296">
        <v>1</v>
      </c>
      <c r="AQ80" s="296">
        <v>2</v>
      </c>
      <c r="AR80" s="296"/>
      <c r="AS80" s="296"/>
      <c r="AT80" s="296" t="s">
        <v>638</v>
      </c>
      <c r="AU80" s="296" t="s">
        <v>639</v>
      </c>
      <c r="AV80" s="296" t="s">
        <v>640</v>
      </c>
      <c r="AW80" s="296" t="s">
        <v>641</v>
      </c>
      <c r="AX80" s="296" t="s">
        <v>642</v>
      </c>
      <c r="AY80" s="296"/>
      <c r="AZ80" s="296"/>
      <c r="BA80" s="296" t="s">
        <v>643</v>
      </c>
      <c r="BB80" s="296" t="s">
        <v>644</v>
      </c>
      <c r="BC80" s="296" t="s">
        <v>645</v>
      </c>
      <c r="BD80" s="296" t="s">
        <v>646</v>
      </c>
      <c r="BE80" s="296" t="s">
        <v>647</v>
      </c>
      <c r="BF80" s="296" t="s">
        <v>648</v>
      </c>
      <c r="BG80" s="296" t="s">
        <v>649</v>
      </c>
      <c r="BH80" s="296" t="s">
        <v>650</v>
      </c>
      <c r="BI80" s="296" t="s">
        <v>651</v>
      </c>
      <c r="BJ80" s="296" t="s">
        <v>652</v>
      </c>
      <c r="BK80" s="296"/>
      <c r="BL80" s="296"/>
      <c r="BM80" s="296"/>
      <c r="BN80" s="296"/>
      <c r="BO80" s="296"/>
      <c r="BP80" s="296"/>
    </row>
    <row r="81" customHeight="1" spans="1:68">
      <c r="A81" s="250">
        <v>81</v>
      </c>
      <c r="B81" s="251" t="str">
        <f>IF(法术书I!AA43="","",法术书I!AA43)</f>
        <v/>
      </c>
      <c r="C81" s="250" t="str">
        <f>IFERROR(VLOOKUP(B81,列表!$B:$B,1,FALSE),"QuQ")</f>
        <v>QuQ</v>
      </c>
      <c r="D81" s="252" t="str">
        <f>IFERROR(VLOOKUP(C81,列表!$B:$T,17,FALSE),"")</f>
        <v/>
      </c>
      <c r="E81" s="250">
        <v>81</v>
      </c>
      <c r="F81" s="251" t="str">
        <f>IF(法术书II!AA43="","",法术书II!AA43)</f>
        <v/>
      </c>
      <c r="G81" s="250" t="str">
        <f>IFERROR(VLOOKUP(F81,列表!$B:$B,1,FALSE),"QuQ")</f>
        <v>QuQ</v>
      </c>
      <c r="H81" s="252" t="str">
        <f>IFERROR(VLOOKUP(G81,列表!$B:$T,17,FALSE),"")</f>
        <v/>
      </c>
      <c r="I81" s="250">
        <v>81</v>
      </c>
      <c r="J81" s="251" t="str">
        <f>IF(法术书III!AA43="","",法术书III!AA43)</f>
        <v/>
      </c>
      <c r="K81" s="250" t="str">
        <f>IFERROR(VLOOKUP(J81,列表!$B:$B,1,FALSE),"QuQ")</f>
        <v>QuQ</v>
      </c>
      <c r="L81" s="252" t="str">
        <f>IFERROR(VLOOKUP(K81,列表!$B:$T,17,FALSE),"")</f>
        <v/>
      </c>
      <c r="AK81" s="296" t="s">
        <v>504</v>
      </c>
      <c r="AL81" s="296"/>
      <c r="AM81" s="296"/>
      <c r="AN81" s="296">
        <v>1</v>
      </c>
      <c r="AO81" s="296"/>
      <c r="AP81" s="296"/>
      <c r="AQ81" s="296">
        <v>2</v>
      </c>
      <c r="AR81" s="296"/>
      <c r="AS81" s="296"/>
      <c r="AT81" s="296" t="s">
        <v>638</v>
      </c>
      <c r="AU81" s="296" t="s">
        <v>639</v>
      </c>
      <c r="AV81" s="296" t="s">
        <v>640</v>
      </c>
      <c r="AW81" s="296" t="s">
        <v>641</v>
      </c>
      <c r="AX81" s="296" t="s">
        <v>642</v>
      </c>
      <c r="AY81" s="296"/>
      <c r="AZ81" s="296"/>
      <c r="BA81" s="296" t="s">
        <v>643</v>
      </c>
      <c r="BB81" s="296" t="s">
        <v>644</v>
      </c>
      <c r="BC81" s="296" t="s">
        <v>645</v>
      </c>
      <c r="BD81" s="296" t="s">
        <v>646</v>
      </c>
      <c r="BE81" s="296" t="s">
        <v>647</v>
      </c>
      <c r="BF81" s="296" t="s">
        <v>648</v>
      </c>
      <c r="BG81" s="296" t="s">
        <v>649</v>
      </c>
      <c r="BH81" s="296" t="s">
        <v>650</v>
      </c>
      <c r="BI81" s="296" t="s">
        <v>653</v>
      </c>
      <c r="BJ81" s="296" t="s">
        <v>654</v>
      </c>
      <c r="BK81" s="296"/>
      <c r="BL81" s="296"/>
      <c r="BM81" s="296"/>
      <c r="BN81" s="296"/>
      <c r="BO81" s="296"/>
      <c r="BP81" s="296"/>
    </row>
    <row r="82" customHeight="1" spans="1:68">
      <c r="A82" s="250">
        <v>82</v>
      </c>
      <c r="B82" s="251" t="str">
        <f>IF(法术书I!AA44="","",法术书I!AA44)</f>
        <v/>
      </c>
      <c r="C82" s="250" t="str">
        <f>IFERROR(VLOOKUP(B82,列表!$B:$B,1,FALSE),"QuQ")</f>
        <v>QuQ</v>
      </c>
      <c r="D82" s="252" t="str">
        <f>IFERROR(VLOOKUP(C82,列表!$B:$T,17,FALSE),"")</f>
        <v/>
      </c>
      <c r="E82" s="250">
        <v>82</v>
      </c>
      <c r="F82" s="251" t="str">
        <f>IF(法术书II!AA44="","",法术书II!AA44)</f>
        <v/>
      </c>
      <c r="G82" s="250" t="str">
        <f>IFERROR(VLOOKUP(F82,列表!$B:$B,1,FALSE),"QuQ")</f>
        <v>QuQ</v>
      </c>
      <c r="H82" s="252" t="str">
        <f>IFERROR(VLOOKUP(G82,列表!$B:$T,17,FALSE),"")</f>
        <v/>
      </c>
      <c r="I82" s="250">
        <v>82</v>
      </c>
      <c r="J82" s="251" t="str">
        <f>IF(法术书III!AA44="","",法术书III!AA44)</f>
        <v/>
      </c>
      <c r="K82" s="250" t="str">
        <f>IFERROR(VLOOKUP(J82,列表!$B:$B,1,FALSE),"QuQ")</f>
        <v>QuQ</v>
      </c>
      <c r="L82" s="252" t="str">
        <f>IFERROR(VLOOKUP(K82,列表!$B:$T,17,FALSE),"")</f>
        <v/>
      </c>
      <c r="AK82" s="296" t="s">
        <v>505</v>
      </c>
      <c r="AL82" s="296">
        <v>1</v>
      </c>
      <c r="AM82" s="296"/>
      <c r="AN82" s="296"/>
      <c r="AO82" s="296"/>
      <c r="AP82" s="296"/>
      <c r="AQ82" s="296">
        <v>2</v>
      </c>
      <c r="AR82" s="296"/>
      <c r="AS82" s="296"/>
      <c r="AT82" s="296" t="s">
        <v>638</v>
      </c>
      <c r="AU82" s="296" t="s">
        <v>639</v>
      </c>
      <c r="AV82" s="296" t="s">
        <v>640</v>
      </c>
      <c r="AW82" s="296" t="s">
        <v>641</v>
      </c>
      <c r="AX82" s="296" t="s">
        <v>642</v>
      </c>
      <c r="AY82" s="296"/>
      <c r="AZ82" s="296"/>
      <c r="BA82" s="296" t="s">
        <v>643</v>
      </c>
      <c r="BB82" s="296" t="s">
        <v>644</v>
      </c>
      <c r="BC82" s="296" t="s">
        <v>645</v>
      </c>
      <c r="BD82" s="296" t="s">
        <v>646</v>
      </c>
      <c r="BE82" s="296" t="s">
        <v>647</v>
      </c>
      <c r="BF82" s="296" t="s">
        <v>648</v>
      </c>
      <c r="BG82" s="296" t="s">
        <v>649</v>
      </c>
      <c r="BH82" s="296" t="s">
        <v>650</v>
      </c>
      <c r="BI82" s="296" t="s">
        <v>655</v>
      </c>
      <c r="BJ82" s="296" t="s">
        <v>656</v>
      </c>
      <c r="BK82" s="296"/>
      <c r="BL82" s="296"/>
      <c r="BM82" s="296"/>
      <c r="BN82" s="296"/>
      <c r="BO82" s="296"/>
      <c r="BP82" s="296"/>
    </row>
    <row r="83" customHeight="1" spans="1:68">
      <c r="A83" s="250">
        <v>83</v>
      </c>
      <c r="B83" s="251" t="str">
        <f>IF(法术书I!AA45="","",法术书I!AA45)</f>
        <v/>
      </c>
      <c r="C83" s="250" t="str">
        <f>IFERROR(VLOOKUP(B83,列表!$B:$B,1,FALSE),"QuQ")</f>
        <v>QuQ</v>
      </c>
      <c r="D83" s="252" t="str">
        <f>IFERROR(VLOOKUP(C83,列表!$B:$T,17,FALSE),"")</f>
        <v/>
      </c>
      <c r="E83" s="250">
        <v>83</v>
      </c>
      <c r="F83" s="251" t="str">
        <f>IF(法术书II!AA45="","",法术书II!AA45)</f>
        <v/>
      </c>
      <c r="G83" s="250" t="str">
        <f>IFERROR(VLOOKUP(F83,列表!$B:$B,1,FALSE),"QuQ")</f>
        <v>QuQ</v>
      </c>
      <c r="H83" s="252" t="str">
        <f>IFERROR(VLOOKUP(G83,列表!$B:$T,17,FALSE),"")</f>
        <v/>
      </c>
      <c r="I83" s="250">
        <v>83</v>
      </c>
      <c r="J83" s="251" t="str">
        <f>IF(法术书III!AA45="","",法术书III!AA45)</f>
        <v/>
      </c>
      <c r="K83" s="250" t="str">
        <f>IFERROR(VLOOKUP(J83,列表!$B:$B,1,FALSE),"QuQ")</f>
        <v>QuQ</v>
      </c>
      <c r="L83" s="252" t="str">
        <f>IFERROR(VLOOKUP(K83,列表!$B:$T,17,FALSE),"")</f>
        <v/>
      </c>
      <c r="AK83" s="296" t="s">
        <v>509</v>
      </c>
      <c r="AL83" s="296"/>
      <c r="AM83" s="296">
        <v>2</v>
      </c>
      <c r="AN83" s="296"/>
      <c r="AO83" s="296"/>
      <c r="AP83" s="296"/>
      <c r="AQ83" s="296"/>
      <c r="AR83" s="296"/>
      <c r="AS83" s="296"/>
      <c r="AT83" s="296" t="s">
        <v>657</v>
      </c>
      <c r="AU83" s="296" t="s">
        <v>658</v>
      </c>
      <c r="AV83" s="296" t="s">
        <v>659</v>
      </c>
      <c r="AW83" s="296" t="s">
        <v>631</v>
      </c>
      <c r="AX83" s="296" t="s">
        <v>660</v>
      </c>
      <c r="AY83" s="296"/>
      <c r="AZ83" s="296"/>
      <c r="BA83" s="296" t="s">
        <v>661</v>
      </c>
      <c r="BB83" s="296" t="s">
        <v>662</v>
      </c>
      <c r="BC83" s="296" t="s">
        <v>663</v>
      </c>
      <c r="BD83" s="296" t="s">
        <v>664</v>
      </c>
      <c r="BE83" s="296" t="s">
        <v>665</v>
      </c>
      <c r="BF83" s="296" t="s">
        <v>666</v>
      </c>
      <c r="BG83" s="296"/>
      <c r="BH83" s="296"/>
      <c r="BI83" s="296"/>
      <c r="BJ83" s="296"/>
      <c r="BK83" s="296"/>
      <c r="BL83" s="296"/>
      <c r="BM83" s="296"/>
      <c r="BN83" s="296"/>
      <c r="BO83" s="296"/>
      <c r="BP83" s="296"/>
    </row>
    <row r="84" customHeight="1" spans="1:68">
      <c r="A84" s="250">
        <v>84</v>
      </c>
      <c r="B84" s="251" t="str">
        <f>IF(法术书I!AA46="","",法术书I!AA46)</f>
        <v/>
      </c>
      <c r="C84" s="250" t="str">
        <f>IFERROR(VLOOKUP(B84,列表!$B:$B,1,FALSE),"QuQ")</f>
        <v>QuQ</v>
      </c>
      <c r="D84" s="252" t="str">
        <f>IFERROR(VLOOKUP(C84,列表!$B:$T,17,FALSE),"")</f>
        <v/>
      </c>
      <c r="E84" s="250">
        <v>84</v>
      </c>
      <c r="F84" s="251" t="str">
        <f>IF(法术书II!AA46="","",法术书II!AA46)</f>
        <v/>
      </c>
      <c r="G84" s="250" t="str">
        <f>IFERROR(VLOOKUP(F84,列表!$B:$B,1,FALSE),"QuQ")</f>
        <v>QuQ</v>
      </c>
      <c r="H84" s="252" t="str">
        <f>IFERROR(VLOOKUP(G84,列表!$B:$T,17,FALSE),"")</f>
        <v/>
      </c>
      <c r="I84" s="250">
        <v>84</v>
      </c>
      <c r="J84" s="251" t="str">
        <f>IF(法术书III!AA46="","",法术书III!AA46)</f>
        <v/>
      </c>
      <c r="K84" s="250" t="str">
        <f>IFERROR(VLOOKUP(J84,列表!$B:$B,1,FALSE),"QuQ")</f>
        <v>QuQ</v>
      </c>
      <c r="L84" s="252" t="str">
        <f>IFERROR(VLOOKUP(K84,列表!$B:$T,17,FALSE),"")</f>
        <v/>
      </c>
      <c r="AK84" s="296" t="s">
        <v>510</v>
      </c>
      <c r="AL84" s="296"/>
      <c r="AM84" s="296">
        <v>2</v>
      </c>
      <c r="AN84" s="296"/>
      <c r="AO84" s="296">
        <v>1</v>
      </c>
      <c r="AP84" s="296"/>
      <c r="AQ84" s="296"/>
      <c r="AR84" s="296"/>
      <c r="AS84" s="296"/>
      <c r="AT84" s="296" t="s">
        <v>657</v>
      </c>
      <c r="AU84" s="296" t="s">
        <v>658</v>
      </c>
      <c r="AV84" s="296" t="s">
        <v>659</v>
      </c>
      <c r="AW84" s="296" t="s">
        <v>631</v>
      </c>
      <c r="AX84" s="296" t="s">
        <v>660</v>
      </c>
      <c r="AY84" s="296"/>
      <c r="AZ84" s="296"/>
      <c r="BA84" s="296" t="s">
        <v>661</v>
      </c>
      <c r="BB84" s="296" t="s">
        <v>662</v>
      </c>
      <c r="BC84" s="296" t="s">
        <v>663</v>
      </c>
      <c r="BD84" s="296" t="s">
        <v>664</v>
      </c>
      <c r="BE84" s="296" t="s">
        <v>667</v>
      </c>
      <c r="BF84" s="296" t="s">
        <v>668</v>
      </c>
      <c r="BG84" s="296" t="s">
        <v>186</v>
      </c>
      <c r="BH84" s="296" t="s">
        <v>669</v>
      </c>
      <c r="BI84" s="296" t="s">
        <v>670</v>
      </c>
      <c r="BJ84" s="296" t="s">
        <v>671</v>
      </c>
      <c r="BK84" s="296" t="s">
        <v>665</v>
      </c>
      <c r="BL84" s="296" t="s">
        <v>666</v>
      </c>
      <c r="BM84" s="296"/>
      <c r="BN84" s="296"/>
      <c r="BO84" s="296"/>
      <c r="BP84" s="296"/>
    </row>
    <row r="85" customHeight="1" spans="1:68">
      <c r="A85" s="250">
        <v>85</v>
      </c>
      <c r="B85" s="251" t="str">
        <f>IF(法术书I!AA47="","",法术书I!AA47)</f>
        <v/>
      </c>
      <c r="C85" s="250" t="str">
        <f>IFERROR(VLOOKUP(B85,列表!$B:$B,1,FALSE),"QuQ")</f>
        <v>QuQ</v>
      </c>
      <c r="D85" s="252" t="str">
        <f>IFERROR(VLOOKUP(C85,列表!$B:$T,17,FALSE),"")</f>
        <v/>
      </c>
      <c r="E85" s="250">
        <v>85</v>
      </c>
      <c r="F85" s="251" t="str">
        <f>IF(法术书II!AA47="","",法术书II!AA47)</f>
        <v/>
      </c>
      <c r="G85" s="250" t="str">
        <f>IFERROR(VLOOKUP(F85,列表!$B:$B,1,FALSE),"QuQ")</f>
        <v>QuQ</v>
      </c>
      <c r="H85" s="252" t="str">
        <f>IFERROR(VLOOKUP(G85,列表!$B:$T,17,FALSE),"")</f>
        <v/>
      </c>
      <c r="I85" s="250">
        <v>85</v>
      </c>
      <c r="J85" s="251" t="str">
        <f>IF(法术书III!AA47="","",法术书III!AA47)</f>
        <v/>
      </c>
      <c r="K85" s="250" t="str">
        <f>IFERROR(VLOOKUP(J85,列表!$B:$B,1,FALSE),"QuQ")</f>
        <v>QuQ</v>
      </c>
      <c r="L85" s="252" t="str">
        <f>IFERROR(VLOOKUP(K85,列表!$B:$T,17,FALSE),"")</f>
        <v/>
      </c>
      <c r="AK85" s="296" t="s">
        <v>511</v>
      </c>
      <c r="AL85" s="296"/>
      <c r="AM85" s="296">
        <v>2</v>
      </c>
      <c r="AN85" s="296"/>
      <c r="AO85" s="296"/>
      <c r="AP85" s="296"/>
      <c r="AQ85" s="296"/>
      <c r="AR85" s="296"/>
      <c r="AS85" s="296"/>
      <c r="AT85" s="296" t="s">
        <v>657</v>
      </c>
      <c r="AU85" s="296" t="s">
        <v>658</v>
      </c>
      <c r="AV85" s="296" t="s">
        <v>659</v>
      </c>
      <c r="AW85" s="296" t="s">
        <v>631</v>
      </c>
      <c r="AX85" s="296" t="s">
        <v>660</v>
      </c>
      <c r="AY85" s="296"/>
      <c r="AZ85" s="296"/>
      <c r="BA85" s="296" t="s">
        <v>661</v>
      </c>
      <c r="BB85" s="296" t="s">
        <v>662</v>
      </c>
      <c r="BC85" s="296" t="s">
        <v>663</v>
      </c>
      <c r="BD85" s="296" t="s">
        <v>664</v>
      </c>
      <c r="BE85" s="296" t="s">
        <v>667</v>
      </c>
      <c r="BF85" s="296" t="s">
        <v>668</v>
      </c>
      <c r="BG85" s="296" t="s">
        <v>672</v>
      </c>
      <c r="BH85" s="296" t="s">
        <v>673</v>
      </c>
      <c r="BI85" s="296" t="s">
        <v>674</v>
      </c>
      <c r="BJ85" s="296" t="s">
        <v>675</v>
      </c>
      <c r="BK85" s="296" t="s">
        <v>665</v>
      </c>
      <c r="BL85" s="296" t="s">
        <v>666</v>
      </c>
      <c r="BM85" s="296"/>
      <c r="BN85" s="296"/>
      <c r="BO85" s="296"/>
      <c r="BP85" s="296"/>
    </row>
    <row r="86" customHeight="1" spans="1:68">
      <c r="A86" s="250">
        <v>86</v>
      </c>
      <c r="B86" s="251" t="str">
        <f>IF(法术书I!AA48="","",法术书I!AA48)</f>
        <v/>
      </c>
      <c r="C86" s="250" t="str">
        <f>IFERROR(VLOOKUP(B86,列表!$B:$B,1,FALSE),"QuQ")</f>
        <v>QuQ</v>
      </c>
      <c r="D86" s="252" t="str">
        <f>IFERROR(VLOOKUP(C86,列表!$B:$T,17,FALSE),"")</f>
        <v/>
      </c>
      <c r="E86" s="250">
        <v>86</v>
      </c>
      <c r="F86" s="251" t="str">
        <f>IF(法术书II!AA48="","",法术书II!AA48)</f>
        <v/>
      </c>
      <c r="G86" s="250" t="str">
        <f>IFERROR(VLOOKUP(F86,列表!$B:$B,1,FALSE),"QuQ")</f>
        <v>QuQ</v>
      </c>
      <c r="H86" s="252" t="str">
        <f>IFERROR(VLOOKUP(G86,列表!$B:$T,17,FALSE),"")</f>
        <v/>
      </c>
      <c r="I86" s="250">
        <v>86</v>
      </c>
      <c r="J86" s="251" t="str">
        <f>IF(法术书III!AA48="","",法术书III!AA48)</f>
        <v/>
      </c>
      <c r="K86" s="250" t="str">
        <f>IFERROR(VLOOKUP(J86,列表!$B:$B,1,FALSE),"QuQ")</f>
        <v>QuQ</v>
      </c>
      <c r="L86" s="252" t="str">
        <f>IFERROR(VLOOKUP(K86,列表!$B:$T,17,FALSE),"")</f>
        <v/>
      </c>
      <c r="AK86" s="296" t="s">
        <v>512</v>
      </c>
      <c r="AL86" s="296"/>
      <c r="AM86" s="296">
        <v>2</v>
      </c>
      <c r="AN86" s="296"/>
      <c r="AO86" s="296"/>
      <c r="AP86" s="296"/>
      <c r="AQ86" s="296">
        <v>1</v>
      </c>
      <c r="AR86" s="296"/>
      <c r="AS86" s="296"/>
      <c r="AT86" s="296" t="s">
        <v>657</v>
      </c>
      <c r="AU86" s="296" t="s">
        <v>658</v>
      </c>
      <c r="AV86" s="296" t="s">
        <v>659</v>
      </c>
      <c r="AW86" s="296" t="s">
        <v>631</v>
      </c>
      <c r="AX86" s="296" t="s">
        <v>660</v>
      </c>
      <c r="AY86" s="296"/>
      <c r="AZ86" s="296"/>
      <c r="BA86" s="296" t="s">
        <v>661</v>
      </c>
      <c r="BB86" s="296" t="s">
        <v>662</v>
      </c>
      <c r="BC86" s="296" t="s">
        <v>663</v>
      </c>
      <c r="BD86" s="296" t="s">
        <v>664</v>
      </c>
      <c r="BE86" s="296" t="s">
        <v>676</v>
      </c>
      <c r="BF86" s="296" t="s">
        <v>677</v>
      </c>
      <c r="BG86" s="296" t="s">
        <v>678</v>
      </c>
      <c r="BH86" s="296" t="s">
        <v>679</v>
      </c>
      <c r="BI86" s="296" t="s">
        <v>680</v>
      </c>
      <c r="BJ86" s="296" t="s">
        <v>681</v>
      </c>
      <c r="BK86" s="296" t="s">
        <v>682</v>
      </c>
      <c r="BL86" s="296" t="s">
        <v>683</v>
      </c>
      <c r="BM86" s="296" t="s">
        <v>665</v>
      </c>
      <c r="BN86" s="296" t="s">
        <v>666</v>
      </c>
      <c r="BO86" s="296"/>
      <c r="BP86" s="296"/>
    </row>
    <row r="87" customHeight="1" spans="1:68">
      <c r="A87" s="250">
        <v>87</v>
      </c>
      <c r="B87" s="251" t="str">
        <f>IF(法术书I!AA49="","",法术书I!AA49)</f>
        <v/>
      </c>
      <c r="C87" s="250" t="str">
        <f>IFERROR(VLOOKUP(B87,列表!$B:$B,1,FALSE),"QuQ")</f>
        <v>QuQ</v>
      </c>
      <c r="D87" s="252" t="str">
        <f>IFERROR(VLOOKUP(C87,列表!$B:$T,17,FALSE),"")</f>
        <v/>
      </c>
      <c r="E87" s="250">
        <v>87</v>
      </c>
      <c r="F87" s="251" t="str">
        <f>IF(法术书II!AA49="","",法术书II!AA49)</f>
        <v/>
      </c>
      <c r="G87" s="250" t="str">
        <f>IFERROR(VLOOKUP(F87,列表!$B:$B,1,FALSE),"QuQ")</f>
        <v>QuQ</v>
      </c>
      <c r="H87" s="252" t="str">
        <f>IFERROR(VLOOKUP(G87,列表!$B:$T,17,FALSE),"")</f>
        <v/>
      </c>
      <c r="I87" s="250">
        <v>87</v>
      </c>
      <c r="J87" s="251" t="str">
        <f>IF(法术书III!AA49="","",法术书III!AA49)</f>
        <v/>
      </c>
      <c r="K87" s="250" t="str">
        <f>IFERROR(VLOOKUP(J87,列表!$B:$B,1,FALSE),"QuQ")</f>
        <v>QuQ</v>
      </c>
      <c r="L87" s="252" t="str">
        <f>IFERROR(VLOOKUP(K87,列表!$B:$T,17,FALSE),"")</f>
        <v/>
      </c>
      <c r="AK87" s="296" t="s">
        <v>513</v>
      </c>
      <c r="AL87" s="296"/>
      <c r="AM87" s="296">
        <v>2</v>
      </c>
      <c r="AN87" s="296"/>
      <c r="AO87" s="296"/>
      <c r="AP87" s="296"/>
      <c r="AQ87" s="296">
        <v>1</v>
      </c>
      <c r="AR87" s="296"/>
      <c r="AS87" s="296"/>
      <c r="AT87" s="296" t="s">
        <v>657</v>
      </c>
      <c r="AU87" s="296" t="s">
        <v>658</v>
      </c>
      <c r="AV87" s="296" t="s">
        <v>659</v>
      </c>
      <c r="AW87" s="296" t="s">
        <v>631</v>
      </c>
      <c r="AX87" s="296" t="s">
        <v>660</v>
      </c>
      <c r="AY87" s="296"/>
      <c r="AZ87" s="296"/>
      <c r="BA87" s="296" t="s">
        <v>661</v>
      </c>
      <c r="BB87" s="296" t="s">
        <v>662</v>
      </c>
      <c r="BC87" s="296" t="s">
        <v>663</v>
      </c>
      <c r="BD87" s="296" t="s">
        <v>664</v>
      </c>
      <c r="BE87" s="296" t="s">
        <v>676</v>
      </c>
      <c r="BF87" s="296" t="s">
        <v>677</v>
      </c>
      <c r="BG87" s="296" t="s">
        <v>678</v>
      </c>
      <c r="BH87" s="296" t="s">
        <v>679</v>
      </c>
      <c r="BI87" s="296" t="s">
        <v>680</v>
      </c>
      <c r="BJ87" s="296" t="s">
        <v>681</v>
      </c>
      <c r="BK87" s="296" t="s">
        <v>682</v>
      </c>
      <c r="BL87" s="296" t="s">
        <v>683</v>
      </c>
      <c r="BM87" s="296" t="s">
        <v>665</v>
      </c>
      <c r="BN87" s="296" t="s">
        <v>666</v>
      </c>
      <c r="BO87" s="296"/>
      <c r="BP87" s="296"/>
    </row>
    <row r="88" customHeight="1" spans="1:68">
      <c r="A88" s="250">
        <v>88</v>
      </c>
      <c r="B88" s="251" t="str">
        <f>IF(法术书I!AA50="","",法术书I!AA50)</f>
        <v/>
      </c>
      <c r="C88" s="250" t="str">
        <f>IFERROR(VLOOKUP(B88,列表!$B:$B,1,FALSE),"QuQ")</f>
        <v>QuQ</v>
      </c>
      <c r="D88" s="252" t="str">
        <f>IFERROR(VLOOKUP(C88,列表!$B:$T,17,FALSE),"")</f>
        <v/>
      </c>
      <c r="E88" s="250">
        <v>88</v>
      </c>
      <c r="F88" s="251" t="str">
        <f>IF(法术书II!AA50="","",法术书II!AA50)</f>
        <v/>
      </c>
      <c r="G88" s="250" t="str">
        <f>IFERROR(VLOOKUP(F88,列表!$B:$B,1,FALSE),"QuQ")</f>
        <v>QuQ</v>
      </c>
      <c r="H88" s="252" t="str">
        <f>IFERROR(VLOOKUP(G88,列表!$B:$T,17,FALSE),"")</f>
        <v/>
      </c>
      <c r="I88" s="250">
        <v>88</v>
      </c>
      <c r="J88" s="251" t="str">
        <f>IF(法术书III!AA50="","",法术书III!AA50)</f>
        <v/>
      </c>
      <c r="K88" s="250" t="str">
        <f>IFERROR(VLOOKUP(J88,列表!$B:$B,1,FALSE),"QuQ")</f>
        <v>QuQ</v>
      </c>
      <c r="L88" s="252" t="str">
        <f>IFERROR(VLOOKUP(K88,列表!$B:$T,17,FALSE),"")</f>
        <v/>
      </c>
      <c r="AK88" s="296" t="s">
        <v>514</v>
      </c>
      <c r="AL88" s="296"/>
      <c r="AM88" s="296">
        <v>2</v>
      </c>
      <c r="AN88" s="296"/>
      <c r="AO88" s="296">
        <v>1</v>
      </c>
      <c r="AP88" s="296"/>
      <c r="AQ88" s="296"/>
      <c r="AR88" s="296"/>
      <c r="AS88" s="296"/>
      <c r="AT88" s="296" t="s">
        <v>657</v>
      </c>
      <c r="AU88" s="296" t="s">
        <v>658</v>
      </c>
      <c r="AV88" s="296" t="s">
        <v>659</v>
      </c>
      <c r="AW88" s="296" t="s">
        <v>631</v>
      </c>
      <c r="AX88" s="296" t="s">
        <v>660</v>
      </c>
      <c r="AY88" s="296"/>
      <c r="AZ88" s="296"/>
      <c r="BA88" s="296" t="s">
        <v>661</v>
      </c>
      <c r="BB88" s="296" t="s">
        <v>662</v>
      </c>
      <c r="BC88" s="296" t="s">
        <v>663</v>
      </c>
      <c r="BD88" s="296" t="s">
        <v>664</v>
      </c>
      <c r="BE88" s="296" t="s">
        <v>667</v>
      </c>
      <c r="BF88" s="296" t="s">
        <v>668</v>
      </c>
      <c r="BG88" s="296" t="s">
        <v>186</v>
      </c>
      <c r="BH88" s="296" t="s">
        <v>669</v>
      </c>
      <c r="BI88" s="296" t="s">
        <v>670</v>
      </c>
      <c r="BJ88" s="296" t="s">
        <v>671</v>
      </c>
      <c r="BK88" s="296" t="s">
        <v>665</v>
      </c>
      <c r="BL88" s="296" t="s">
        <v>666</v>
      </c>
      <c r="BM88" s="296"/>
      <c r="BN88" s="296"/>
      <c r="BO88" s="296"/>
      <c r="BP88" s="296"/>
    </row>
    <row r="89" customHeight="1" spans="1:68">
      <c r="A89" s="250">
        <v>89</v>
      </c>
      <c r="B89" s="251" t="str">
        <f>IF(法术书I!AA51="","",法术书I!AA51)</f>
        <v/>
      </c>
      <c r="C89" s="250" t="str">
        <f>IFERROR(VLOOKUP(B89,列表!$B:$B,1,FALSE),"QuQ")</f>
        <v>QuQ</v>
      </c>
      <c r="D89" s="252" t="str">
        <f>IFERROR(VLOOKUP(C89,列表!$B:$T,17,FALSE),"")</f>
        <v/>
      </c>
      <c r="E89" s="250">
        <v>89</v>
      </c>
      <c r="F89" s="251" t="str">
        <f>IF(法术书II!AA51="","",法术书II!AA51)</f>
        <v/>
      </c>
      <c r="G89" s="250" t="str">
        <f>IFERROR(VLOOKUP(F89,列表!$B:$B,1,FALSE),"QuQ")</f>
        <v>QuQ</v>
      </c>
      <c r="H89" s="252" t="str">
        <f>IFERROR(VLOOKUP(G89,列表!$B:$T,17,FALSE),"")</f>
        <v/>
      </c>
      <c r="I89" s="250">
        <v>89</v>
      </c>
      <c r="J89" s="251" t="str">
        <f>IF(法术书III!AA51="","",法术书III!AA51)</f>
        <v/>
      </c>
      <c r="K89" s="250" t="str">
        <f>IFERROR(VLOOKUP(J89,列表!$B:$B,1,FALSE),"QuQ")</f>
        <v>QuQ</v>
      </c>
      <c r="L89" s="252" t="str">
        <f>IFERROR(VLOOKUP(K89,列表!$B:$T,17,FALSE),"")</f>
        <v/>
      </c>
      <c r="AK89" s="296" t="s">
        <v>515</v>
      </c>
      <c r="AL89" s="296"/>
      <c r="AM89" s="296">
        <v>2</v>
      </c>
      <c r="AN89" s="296"/>
      <c r="AO89" s="296"/>
      <c r="AP89" s="296"/>
      <c r="AQ89" s="296"/>
      <c r="AR89" s="296"/>
      <c r="AS89" s="296"/>
      <c r="AT89" s="296" t="s">
        <v>657</v>
      </c>
      <c r="AU89" s="296" t="s">
        <v>658</v>
      </c>
      <c r="AV89" s="296" t="s">
        <v>659</v>
      </c>
      <c r="AW89" s="296" t="s">
        <v>631</v>
      </c>
      <c r="AX89" s="296" t="s">
        <v>660</v>
      </c>
      <c r="AY89" s="296"/>
      <c r="AZ89" s="296"/>
      <c r="BA89" s="296" t="s">
        <v>661</v>
      </c>
      <c r="BB89" s="296" t="s">
        <v>662</v>
      </c>
      <c r="BC89" s="296" t="s">
        <v>663</v>
      </c>
      <c r="BD89" s="296" t="s">
        <v>664</v>
      </c>
      <c r="BE89" s="296" t="s">
        <v>665</v>
      </c>
      <c r="BF89" s="296" t="s">
        <v>666</v>
      </c>
      <c r="BG89" s="296"/>
      <c r="BH89" s="296"/>
      <c r="BI89" s="296"/>
      <c r="BJ89" s="296"/>
      <c r="BK89" s="296"/>
      <c r="BL89" s="296"/>
      <c r="BM89" s="296"/>
      <c r="BN89" s="296"/>
      <c r="BO89" s="296"/>
      <c r="BP89" s="296"/>
    </row>
    <row r="90" customHeight="1" spans="1:68">
      <c r="A90" s="250">
        <v>90</v>
      </c>
      <c r="B90" s="251" t="str">
        <f>IF(法术书I!AA52="","",法术书I!AA52)</f>
        <v/>
      </c>
      <c r="C90" s="250" t="str">
        <f>IFERROR(VLOOKUP(B90,列表!$B:$B,1,FALSE),"QuQ")</f>
        <v>QuQ</v>
      </c>
      <c r="D90" s="252" t="str">
        <f>IFERROR(VLOOKUP(C90,列表!$B:$T,17,FALSE),"")</f>
        <v/>
      </c>
      <c r="E90" s="250">
        <v>90</v>
      </c>
      <c r="F90" s="251" t="str">
        <f>IF(法术书II!AA52="","",法术书II!AA52)</f>
        <v/>
      </c>
      <c r="G90" s="250" t="str">
        <f>IFERROR(VLOOKUP(F90,列表!$B:$B,1,FALSE),"QuQ")</f>
        <v>QuQ</v>
      </c>
      <c r="H90" s="252" t="str">
        <f>IFERROR(VLOOKUP(G90,列表!$B:$T,17,FALSE),"")</f>
        <v/>
      </c>
      <c r="I90" s="250">
        <v>90</v>
      </c>
      <c r="J90" s="251" t="str">
        <f>IF(法术书III!AA52="","",法术书III!AA52)</f>
        <v/>
      </c>
      <c r="K90" s="250" t="str">
        <f>IFERROR(VLOOKUP(J90,列表!$B:$B,1,FALSE),"QuQ")</f>
        <v>QuQ</v>
      </c>
      <c r="L90" s="252" t="str">
        <f>IFERROR(VLOOKUP(K90,列表!$B:$T,17,FALSE),"")</f>
        <v/>
      </c>
      <c r="AK90" s="296" t="s">
        <v>516</v>
      </c>
      <c r="AL90" s="296"/>
      <c r="AM90" s="296">
        <v>2</v>
      </c>
      <c r="AN90" s="296"/>
      <c r="AO90" s="296">
        <v>1</v>
      </c>
      <c r="AP90" s="296"/>
      <c r="AQ90" s="296"/>
      <c r="AR90" s="296"/>
      <c r="AS90" s="296"/>
      <c r="AT90" s="296" t="s">
        <v>657</v>
      </c>
      <c r="AU90" s="296" t="s">
        <v>658</v>
      </c>
      <c r="AV90" s="296" t="s">
        <v>659</v>
      </c>
      <c r="AW90" s="296" t="s">
        <v>631</v>
      </c>
      <c r="AX90" s="296" t="s">
        <v>660</v>
      </c>
      <c r="AY90" s="296"/>
      <c r="AZ90" s="296"/>
      <c r="BA90" s="296" t="s">
        <v>661</v>
      </c>
      <c r="BB90" s="296" t="s">
        <v>662</v>
      </c>
      <c r="BC90" s="296" t="s">
        <v>663</v>
      </c>
      <c r="BD90" s="296" t="s">
        <v>664</v>
      </c>
      <c r="BE90" s="296" t="s">
        <v>667</v>
      </c>
      <c r="BF90" s="296" t="s">
        <v>668</v>
      </c>
      <c r="BG90" s="296" t="s">
        <v>186</v>
      </c>
      <c r="BH90" s="296" t="s">
        <v>669</v>
      </c>
      <c r="BI90" s="296" t="s">
        <v>670</v>
      </c>
      <c r="BJ90" s="296" t="s">
        <v>671</v>
      </c>
      <c r="BK90" s="296" t="s">
        <v>665</v>
      </c>
      <c r="BL90" s="296" t="s">
        <v>666</v>
      </c>
      <c r="BM90" s="296"/>
      <c r="BN90" s="296"/>
      <c r="BO90" s="296"/>
      <c r="BP90" s="296"/>
    </row>
    <row r="91" customHeight="1" spans="1:68">
      <c r="AK91" s="296" t="s">
        <v>517</v>
      </c>
      <c r="AL91" s="296"/>
      <c r="AM91" s="296">
        <v>2</v>
      </c>
      <c r="AN91" s="296"/>
      <c r="AO91" s="296"/>
      <c r="AP91" s="296"/>
      <c r="AQ91" s="296"/>
      <c r="AR91" s="296"/>
      <c r="AS91" s="296"/>
      <c r="AT91" s="296" t="s">
        <v>657</v>
      </c>
      <c r="AU91" s="296" t="s">
        <v>658</v>
      </c>
      <c r="AV91" s="296" t="s">
        <v>659</v>
      </c>
      <c r="AW91" s="296" t="s">
        <v>631</v>
      </c>
      <c r="AX91" s="296" t="s">
        <v>660</v>
      </c>
      <c r="AY91" s="296"/>
      <c r="AZ91" s="296"/>
      <c r="BA91" s="296" t="s">
        <v>661</v>
      </c>
      <c r="BB91" s="296" t="s">
        <v>662</v>
      </c>
      <c r="BC91" s="296" t="s">
        <v>663</v>
      </c>
      <c r="BD91" s="296" t="s">
        <v>664</v>
      </c>
      <c r="BE91" s="296" t="s">
        <v>684</v>
      </c>
      <c r="BF91" s="296" t="s">
        <v>685</v>
      </c>
      <c r="BG91" s="296" t="s">
        <v>665</v>
      </c>
      <c r="BH91" s="296" t="s">
        <v>666</v>
      </c>
      <c r="BI91" s="296"/>
      <c r="BJ91" s="296"/>
      <c r="BK91" s="296"/>
      <c r="BL91" s="296"/>
      <c r="BM91" s="296"/>
      <c r="BN91" s="296"/>
      <c r="BO91" s="296"/>
      <c r="BP91" s="296"/>
    </row>
    <row r="92" customHeight="1" spans="1:68">
      <c r="A92" s="253" t="s">
        <v>686</v>
      </c>
      <c r="B92" s="253"/>
      <c r="C92" s="253"/>
      <c r="AK92" s="296" t="s">
        <v>518</v>
      </c>
      <c r="AL92" s="296"/>
      <c r="AM92" s="296">
        <v>2</v>
      </c>
      <c r="AN92" s="296">
        <v>1</v>
      </c>
      <c r="AO92" s="296"/>
      <c r="AP92" s="296"/>
      <c r="AQ92" s="296"/>
      <c r="AR92" s="296"/>
      <c r="AS92" s="296"/>
      <c r="AT92" s="296" t="s">
        <v>657</v>
      </c>
      <c r="AU92" s="296" t="s">
        <v>658</v>
      </c>
      <c r="AV92" s="296" t="s">
        <v>659</v>
      </c>
      <c r="AW92" s="296" t="s">
        <v>631</v>
      </c>
      <c r="AX92" s="296" t="s">
        <v>687</v>
      </c>
      <c r="AY92" s="296"/>
      <c r="AZ92" s="296"/>
      <c r="BA92" s="296" t="s">
        <v>661</v>
      </c>
      <c r="BB92" s="296" t="s">
        <v>662</v>
      </c>
      <c r="BC92" s="296" t="s">
        <v>663</v>
      </c>
      <c r="BD92" s="296" t="s">
        <v>664</v>
      </c>
      <c r="BE92" s="296" t="s">
        <v>688</v>
      </c>
      <c r="BF92" s="296" t="s">
        <v>689</v>
      </c>
      <c r="BG92" s="296" t="s">
        <v>690</v>
      </c>
      <c r="BH92" s="296" t="s">
        <v>691</v>
      </c>
      <c r="BI92" s="296" t="s">
        <v>692</v>
      </c>
      <c r="BJ92" s="296" t="s">
        <v>693</v>
      </c>
      <c r="BK92" s="296" t="s">
        <v>665</v>
      </c>
      <c r="BL92" s="296" t="s">
        <v>666</v>
      </c>
      <c r="BM92" s="296"/>
      <c r="BN92" s="296"/>
      <c r="BO92" s="296"/>
      <c r="BP92" s="296"/>
    </row>
    <row r="93" customHeight="1" spans="1:68">
      <c r="A93" s="297">
        <v>1</v>
      </c>
      <c r="B93" s="250" t="str">
        <f>B1</f>
        <v/>
      </c>
      <c r="C93" s="250" t="str">
        <f>IF(主要!C53&lt;&gt;"",主要!C53,"")</f>
        <v/>
      </c>
      <c r="D93" s="252" t="str">
        <f>IFERROR(VLOOKUP(B93,列表!$B:$T,17,FALSE),"")</f>
        <v/>
      </c>
      <c r="AK93" s="296" t="s">
        <v>519</v>
      </c>
      <c r="AL93" s="296"/>
      <c r="AM93" s="296">
        <v>2</v>
      </c>
      <c r="AN93" s="296">
        <v>1</v>
      </c>
      <c r="AO93" s="296"/>
      <c r="AP93" s="296"/>
      <c r="AQ93" s="296"/>
      <c r="AR93" s="296"/>
      <c r="AS93" s="296"/>
      <c r="AT93" s="296" t="s">
        <v>657</v>
      </c>
      <c r="AU93" s="296" t="s">
        <v>658</v>
      </c>
      <c r="AV93" s="296" t="s">
        <v>659</v>
      </c>
      <c r="AW93" s="296" t="s">
        <v>631</v>
      </c>
      <c r="AX93" s="296" t="s">
        <v>660</v>
      </c>
      <c r="AY93" s="296"/>
      <c r="AZ93" s="296"/>
      <c r="BA93" s="296" t="s">
        <v>661</v>
      </c>
      <c r="BB93" s="296" t="s">
        <v>662</v>
      </c>
      <c r="BC93" s="296" t="s">
        <v>663</v>
      </c>
      <c r="BD93" s="296" t="s">
        <v>664</v>
      </c>
      <c r="BE93" s="296" t="s">
        <v>694</v>
      </c>
      <c r="BF93" s="296" t="s">
        <v>695</v>
      </c>
      <c r="BG93" s="296" t="s">
        <v>696</v>
      </c>
      <c r="BH93" s="296" t="s">
        <v>697</v>
      </c>
      <c r="BI93" s="296" t="s">
        <v>665</v>
      </c>
      <c r="BJ93" s="296" t="s">
        <v>666</v>
      </c>
      <c r="BK93" s="296"/>
      <c r="BL93" s="296"/>
      <c r="BM93" s="296"/>
      <c r="BN93" s="296"/>
      <c r="BO93" s="296"/>
      <c r="BP93" s="296"/>
    </row>
    <row r="94" customHeight="1" spans="1:68">
      <c r="A94" s="297">
        <v>2</v>
      </c>
      <c r="B94" s="250" t="str">
        <f t="shared" ref="B94:B125" si="1">B2</f>
        <v/>
      </c>
      <c r="C94" s="250" t="str">
        <f>IF(主要!C54&lt;&gt;"",主要!C54,"")</f>
        <v/>
      </c>
      <c r="D94" s="252" t="str">
        <f>IFERROR(VLOOKUP(B94,列表!$B:$T,17,FALSE),"")</f>
        <v/>
      </c>
      <c r="P94" s="251" t="s">
        <v>698</v>
      </c>
      <c r="Q94" s="251" t="s">
        <v>699</v>
      </c>
      <c r="R94" s="251"/>
      <c r="AK94" s="296" t="s">
        <v>520</v>
      </c>
      <c r="AL94" s="296"/>
      <c r="AM94" s="296">
        <v>2</v>
      </c>
      <c r="AN94" s="296"/>
      <c r="AO94" s="296"/>
      <c r="AP94" s="296"/>
      <c r="AQ94" s="296">
        <v>1</v>
      </c>
      <c r="AR94" s="296"/>
      <c r="AS94" s="296"/>
      <c r="AT94" s="296" t="s">
        <v>657</v>
      </c>
      <c r="AU94" s="296" t="s">
        <v>658</v>
      </c>
      <c r="AV94" s="296" t="s">
        <v>659</v>
      </c>
      <c r="AW94" s="296" t="s">
        <v>631</v>
      </c>
      <c r="AX94" s="296" t="s">
        <v>660</v>
      </c>
      <c r="AY94" s="296"/>
      <c r="AZ94" s="296"/>
      <c r="BA94" s="296" t="s">
        <v>661</v>
      </c>
      <c r="BB94" s="296" t="s">
        <v>662</v>
      </c>
      <c r="BC94" s="296" t="s">
        <v>663</v>
      </c>
      <c r="BD94" s="296" t="s">
        <v>664</v>
      </c>
      <c r="BE94" s="296" t="s">
        <v>700</v>
      </c>
      <c r="BF94" s="296" t="s">
        <v>701</v>
      </c>
      <c r="BG94" s="296" t="s">
        <v>665</v>
      </c>
      <c r="BH94" s="296" t="s">
        <v>666</v>
      </c>
      <c r="BI94" s="296"/>
      <c r="BJ94" s="296"/>
      <c r="BK94" s="296"/>
      <c r="BL94" s="296"/>
      <c r="BM94" s="296"/>
      <c r="BN94" s="296"/>
      <c r="BO94" s="296"/>
      <c r="BP94" s="296"/>
    </row>
    <row r="95" customHeight="1" spans="1:68">
      <c r="A95" s="297">
        <v>3</v>
      </c>
      <c r="B95" s="250" t="str">
        <f t="shared" si="1"/>
        <v/>
      </c>
      <c r="C95" s="250" t="str">
        <f>IF(主要!C55&lt;&gt;"",主要!C55,"")</f>
        <v/>
      </c>
      <c r="D95" s="252" t="str">
        <f>IFERROR(VLOOKUP(B95,列表!$B:$T,17,FALSE),"")</f>
        <v/>
      </c>
      <c r="P95" s="251" t="s">
        <v>702</v>
      </c>
      <c r="Q95" s="251" t="s">
        <v>202</v>
      </c>
      <c r="R95" s="251" t="s">
        <v>71</v>
      </c>
      <c r="AK95" s="296" t="s">
        <v>523</v>
      </c>
      <c r="AL95" s="296"/>
      <c r="AM95" s="296">
        <v>2</v>
      </c>
      <c r="AN95" s="296"/>
      <c r="AO95" s="296"/>
      <c r="AP95" s="296"/>
      <c r="AQ95" s="296"/>
      <c r="AR95" s="296"/>
      <c r="AS95" s="296"/>
      <c r="AT95" s="296" t="s">
        <v>703</v>
      </c>
      <c r="AU95" s="296" t="s">
        <v>704</v>
      </c>
      <c r="AV95" s="296" t="s">
        <v>705</v>
      </c>
      <c r="AW95" s="296" t="s">
        <v>706</v>
      </c>
      <c r="AX95" s="296" t="s">
        <v>707</v>
      </c>
      <c r="AY95" s="296"/>
      <c r="AZ95" s="296"/>
      <c r="BA95" s="296" t="s">
        <v>708</v>
      </c>
      <c r="BB95" s="296" t="s">
        <v>709</v>
      </c>
      <c r="BC95" s="296" t="s">
        <v>710</v>
      </c>
      <c r="BD95" s="296" t="s">
        <v>711</v>
      </c>
      <c r="BE95" s="296" t="s">
        <v>712</v>
      </c>
      <c r="BF95" s="296" t="s">
        <v>713</v>
      </c>
      <c r="BG95" s="296"/>
      <c r="BH95" s="296"/>
      <c r="BI95" s="296"/>
      <c r="BJ95" s="296"/>
      <c r="BK95" s="296"/>
      <c r="BL95" s="296"/>
      <c r="BM95" s="296"/>
      <c r="BN95" s="296"/>
      <c r="BO95" s="296"/>
      <c r="BP95" s="296"/>
    </row>
    <row r="96" customHeight="1" spans="1:68">
      <c r="A96" s="297">
        <v>4</v>
      </c>
      <c r="B96" s="250" t="str">
        <f t="shared" si="1"/>
        <v/>
      </c>
      <c r="C96" s="250" t="str">
        <f>IF(主要!C56&lt;&gt;"",主要!C56,"")</f>
        <v/>
      </c>
      <c r="D96" s="252" t="str">
        <f>IFERROR(VLOOKUP(B96,列表!$B:$T,17,FALSE),"")</f>
        <v/>
      </c>
      <c r="P96" s="251" t="s">
        <v>714</v>
      </c>
      <c r="Q96" s="251"/>
      <c r="R96" s="251"/>
      <c r="AK96" s="296" t="s">
        <v>524</v>
      </c>
      <c r="AL96" s="296"/>
      <c r="AM96" s="296">
        <v>2</v>
      </c>
      <c r="AN96" s="296"/>
      <c r="AO96" s="296"/>
      <c r="AP96" s="296"/>
      <c r="AQ96" s="296">
        <v>1</v>
      </c>
      <c r="AR96" s="296"/>
      <c r="AS96" s="296"/>
      <c r="AT96" s="296" t="s">
        <v>703</v>
      </c>
      <c r="AU96" s="296" t="s">
        <v>704</v>
      </c>
      <c r="AV96" s="296" t="s">
        <v>705</v>
      </c>
      <c r="AW96" s="296" t="s">
        <v>706</v>
      </c>
      <c r="AX96" s="296" t="s">
        <v>707</v>
      </c>
      <c r="AY96" s="296"/>
      <c r="AZ96" s="296"/>
      <c r="BA96" s="296" t="s">
        <v>708</v>
      </c>
      <c r="BB96" s="296" t="s">
        <v>709</v>
      </c>
      <c r="BC96" s="296" t="s">
        <v>710</v>
      </c>
      <c r="BD96" s="296" t="s">
        <v>711</v>
      </c>
      <c r="BE96" s="296" t="s">
        <v>712</v>
      </c>
      <c r="BF96" s="296" t="s">
        <v>713</v>
      </c>
      <c r="BG96" s="296" t="s">
        <v>715</v>
      </c>
      <c r="BH96" s="296" t="s">
        <v>716</v>
      </c>
      <c r="BI96" s="296"/>
      <c r="BJ96" s="296"/>
      <c r="BK96" s="296"/>
      <c r="BL96" s="296"/>
      <c r="BM96" s="296"/>
      <c r="BN96" s="296"/>
      <c r="BO96" s="296"/>
      <c r="BP96" s="296"/>
    </row>
    <row r="97" customHeight="1" spans="1:68">
      <c r="A97" s="297">
        <v>5</v>
      </c>
      <c r="B97" s="250" t="str">
        <f t="shared" si="1"/>
        <v/>
      </c>
      <c r="C97" s="250" t="str">
        <f>IF(主要!C57&lt;&gt;"",主要!C57,"")</f>
        <v/>
      </c>
      <c r="D97" s="252" t="str">
        <f>IFERROR(VLOOKUP(B97,列表!$B:$T,17,FALSE),"")</f>
        <v/>
      </c>
      <c r="P97" s="251" t="s">
        <v>717</v>
      </c>
      <c r="Q97" s="251" t="s">
        <v>718</v>
      </c>
      <c r="R97" s="251" t="s">
        <v>719</v>
      </c>
      <c r="AK97" s="296" t="s">
        <v>525</v>
      </c>
      <c r="AL97" s="296"/>
      <c r="AM97" s="296">
        <v>2</v>
      </c>
      <c r="AN97" s="296">
        <v>1</v>
      </c>
      <c r="AO97" s="296"/>
      <c r="AP97" s="296"/>
      <c r="AQ97" s="296"/>
      <c r="AR97" s="296"/>
      <c r="AS97" s="296"/>
      <c r="AT97" s="296" t="s">
        <v>703</v>
      </c>
      <c r="AU97" s="296" t="s">
        <v>704</v>
      </c>
      <c r="AV97" s="296" t="s">
        <v>705</v>
      </c>
      <c r="AW97" s="296" t="s">
        <v>706</v>
      </c>
      <c r="AX97" s="296" t="s">
        <v>707</v>
      </c>
      <c r="AY97" s="296"/>
      <c r="AZ97" s="296"/>
      <c r="BA97" s="296" t="s">
        <v>708</v>
      </c>
      <c r="BB97" s="296" t="s">
        <v>709</v>
      </c>
      <c r="BC97" s="296" t="s">
        <v>710</v>
      </c>
      <c r="BD97" s="296" t="s">
        <v>711</v>
      </c>
      <c r="BE97" s="296" t="s">
        <v>712</v>
      </c>
      <c r="BF97" s="296" t="s">
        <v>713</v>
      </c>
      <c r="BG97" s="296" t="s">
        <v>720</v>
      </c>
      <c r="BH97" s="296" t="s">
        <v>721</v>
      </c>
      <c r="BI97" s="296"/>
      <c r="BJ97" s="296"/>
      <c r="BK97" s="296"/>
      <c r="BL97" s="296"/>
      <c r="BM97" s="296"/>
      <c r="BN97" s="296"/>
      <c r="BO97" s="296"/>
      <c r="BP97" s="296"/>
    </row>
    <row r="98" customHeight="1" spans="1:68">
      <c r="A98" s="297">
        <v>6</v>
      </c>
      <c r="B98" s="250" t="str">
        <f t="shared" si="1"/>
        <v/>
      </c>
      <c r="C98" s="250" t="str">
        <f>IF(主要!C58&lt;&gt;"",主要!C58,"")</f>
        <v/>
      </c>
      <c r="D98" s="252" t="str">
        <f>IFERROR(VLOOKUP(B98,列表!$B:$T,17,FALSE),"")</f>
        <v/>
      </c>
      <c r="P98" s="251" t="s">
        <v>722</v>
      </c>
      <c r="Q98" s="251" t="s">
        <v>723</v>
      </c>
      <c r="R98" s="251" t="s">
        <v>724</v>
      </c>
      <c r="AK98" s="296" t="s">
        <v>526</v>
      </c>
      <c r="AL98" s="296"/>
      <c r="AM98" s="296">
        <v>2</v>
      </c>
      <c r="AN98" s="296"/>
      <c r="AO98" s="296"/>
      <c r="AP98" s="296">
        <v>1</v>
      </c>
      <c r="AQ98" s="296"/>
      <c r="AR98" s="296"/>
      <c r="AS98" s="296"/>
      <c r="AT98" s="296" t="s">
        <v>703</v>
      </c>
      <c r="AU98" s="296" t="s">
        <v>704</v>
      </c>
      <c r="AV98" s="296" t="s">
        <v>705</v>
      </c>
      <c r="AW98" s="296" t="s">
        <v>706</v>
      </c>
      <c r="AX98" s="296" t="s">
        <v>707</v>
      </c>
      <c r="AY98" s="296"/>
      <c r="AZ98" s="296"/>
      <c r="BA98" s="296" t="s">
        <v>708</v>
      </c>
      <c r="BB98" s="296" t="s">
        <v>709</v>
      </c>
      <c r="BC98" s="296" t="s">
        <v>710</v>
      </c>
      <c r="BD98" s="296" t="s">
        <v>711</v>
      </c>
      <c r="BE98" s="296" t="s">
        <v>712</v>
      </c>
      <c r="BF98" s="296" t="s">
        <v>713</v>
      </c>
      <c r="BG98" s="296" t="s">
        <v>725</v>
      </c>
      <c r="BH98" s="296" t="s">
        <v>726</v>
      </c>
      <c r="BI98" s="296"/>
      <c r="BJ98" s="296"/>
      <c r="BK98" s="296"/>
      <c r="BL98" s="296"/>
      <c r="BM98" s="296"/>
      <c r="BN98" s="296"/>
      <c r="BO98" s="296"/>
      <c r="BP98" s="296"/>
    </row>
    <row r="99" customHeight="1" spans="1:68">
      <c r="A99" s="297">
        <v>7</v>
      </c>
      <c r="B99" s="250" t="str">
        <f t="shared" si="1"/>
        <v/>
      </c>
      <c r="C99" s="250" t="str">
        <f>IF(主要!C59&lt;&gt;"",主要!C59,"")</f>
        <v/>
      </c>
      <c r="D99" s="252" t="str">
        <f>IFERROR(VLOOKUP(B99,列表!$B:$T,17,FALSE),"")</f>
        <v/>
      </c>
      <c r="P99" s="251" t="s">
        <v>727</v>
      </c>
      <c r="Q99" s="251" t="s">
        <v>728</v>
      </c>
      <c r="R99" s="251" t="s">
        <v>729</v>
      </c>
      <c r="AK99" s="296" t="s">
        <v>532</v>
      </c>
      <c r="AL99" s="296"/>
      <c r="AM99" s="296"/>
      <c r="AN99" s="296">
        <v>2</v>
      </c>
      <c r="AO99" s="296"/>
      <c r="AP99" s="296"/>
      <c r="AQ99" s="296"/>
      <c r="AR99" s="296"/>
      <c r="AS99" s="296"/>
      <c r="AT99" s="296" t="s">
        <v>730</v>
      </c>
      <c r="AU99" s="296" t="s">
        <v>731</v>
      </c>
      <c r="AV99" s="296" t="s">
        <v>732</v>
      </c>
      <c r="AW99" s="296" t="s">
        <v>733</v>
      </c>
      <c r="AX99" s="296" t="s">
        <v>734</v>
      </c>
      <c r="AY99" s="296"/>
      <c r="AZ99" s="296"/>
      <c r="BA99" s="296" t="s">
        <v>643</v>
      </c>
      <c r="BB99" s="296" t="s">
        <v>735</v>
      </c>
      <c r="BC99" s="296" t="s">
        <v>736</v>
      </c>
      <c r="BD99" s="296" t="s">
        <v>737</v>
      </c>
      <c r="BE99" s="296" t="s">
        <v>738</v>
      </c>
      <c r="BF99" s="296" t="s">
        <v>739</v>
      </c>
      <c r="BG99" s="296" t="s">
        <v>740</v>
      </c>
      <c r="BH99" s="296" t="s">
        <v>741</v>
      </c>
      <c r="BI99" s="296" t="s">
        <v>742</v>
      </c>
      <c r="BJ99" s="296" t="s">
        <v>743</v>
      </c>
      <c r="BK99" s="296"/>
      <c r="BL99" s="296"/>
      <c r="BM99" s="296"/>
      <c r="BN99" s="296"/>
      <c r="BO99" s="296"/>
      <c r="BP99" s="296"/>
    </row>
    <row r="100" customHeight="1" spans="1:68">
      <c r="A100" s="297">
        <v>8</v>
      </c>
      <c r="B100" s="250" t="str">
        <f t="shared" si="1"/>
        <v/>
      </c>
      <c r="C100" s="250" t="str">
        <f>IF(主要!C60&lt;&gt;"",主要!C60,"")</f>
        <v/>
      </c>
      <c r="D100" s="252" t="str">
        <f>IFERROR(VLOOKUP(B100,列表!$B:$T,17,FALSE),"")</f>
        <v/>
      </c>
      <c r="P100" s="251" t="s">
        <v>744</v>
      </c>
      <c r="Q100" s="251" t="s">
        <v>745</v>
      </c>
      <c r="R100" s="251" t="s">
        <v>746</v>
      </c>
      <c r="AK100" s="296" t="s">
        <v>533</v>
      </c>
      <c r="AL100" s="296"/>
      <c r="AM100" s="296"/>
      <c r="AN100" s="296">
        <v>2</v>
      </c>
      <c r="AO100" s="296"/>
      <c r="AP100" s="296">
        <v>1</v>
      </c>
      <c r="AQ100" s="296"/>
      <c r="AR100" s="296"/>
      <c r="AS100" s="296"/>
      <c r="AT100" s="296" t="s">
        <v>730</v>
      </c>
      <c r="AU100" s="296" t="s">
        <v>731</v>
      </c>
      <c r="AV100" s="296" t="s">
        <v>732</v>
      </c>
      <c r="AW100" s="296" t="s">
        <v>733</v>
      </c>
      <c r="AX100" s="296" t="s">
        <v>734</v>
      </c>
      <c r="AY100" s="296"/>
      <c r="AZ100" s="296"/>
      <c r="BA100" s="296" t="s">
        <v>643</v>
      </c>
      <c r="BB100" s="296" t="s">
        <v>735</v>
      </c>
      <c r="BC100" s="296" t="s">
        <v>736</v>
      </c>
      <c r="BD100" s="296" t="s">
        <v>737</v>
      </c>
      <c r="BE100" s="296" t="s">
        <v>738</v>
      </c>
      <c r="BF100" s="296" t="s">
        <v>739</v>
      </c>
      <c r="BG100" s="296" t="s">
        <v>740</v>
      </c>
      <c r="BH100" s="296" t="s">
        <v>741</v>
      </c>
      <c r="BI100" s="296" t="s">
        <v>742</v>
      </c>
      <c r="BJ100" s="296" t="s">
        <v>743</v>
      </c>
      <c r="BK100" s="296" t="s">
        <v>747</v>
      </c>
      <c r="BL100" s="296" t="s">
        <v>748</v>
      </c>
      <c r="BM100" s="296"/>
      <c r="BN100" s="296"/>
      <c r="BO100" s="296"/>
      <c r="BP100" s="296"/>
    </row>
    <row r="101" customHeight="1" spans="1:68">
      <c r="A101" s="297">
        <v>9</v>
      </c>
      <c r="B101" s="250" t="str">
        <f t="shared" si="1"/>
        <v/>
      </c>
      <c r="C101" s="250" t="str">
        <f>IF(主要!C61&lt;&gt;"",主要!C61,"")</f>
        <v/>
      </c>
      <c r="D101" s="252" t="str">
        <f>IFERROR(VLOOKUP(B101,列表!$B:$T,17,FALSE),"")</f>
        <v/>
      </c>
      <c r="P101" s="251" t="s">
        <v>749</v>
      </c>
      <c r="Q101" s="251" t="s">
        <v>750</v>
      </c>
      <c r="R101" s="251" t="s">
        <v>746</v>
      </c>
      <c r="AK101" s="296" t="s">
        <v>534</v>
      </c>
      <c r="AL101" s="296">
        <v>2</v>
      </c>
      <c r="AM101" s="296"/>
      <c r="AN101" s="296">
        <v>2</v>
      </c>
      <c r="AO101" s="296"/>
      <c r="AP101" s="296"/>
      <c r="AQ101" s="296"/>
      <c r="AR101" s="296"/>
      <c r="AS101" s="296"/>
      <c r="AT101" s="296" t="s">
        <v>730</v>
      </c>
      <c r="AU101" s="296" t="s">
        <v>731</v>
      </c>
      <c r="AV101" s="296" t="s">
        <v>732</v>
      </c>
      <c r="AW101" s="296" t="s">
        <v>733</v>
      </c>
      <c r="AX101" s="296" t="s">
        <v>734</v>
      </c>
      <c r="AY101" s="296"/>
      <c r="AZ101" s="296"/>
      <c r="BA101" s="296" t="s">
        <v>643</v>
      </c>
      <c r="BB101" s="296" t="s">
        <v>735</v>
      </c>
      <c r="BC101" s="296" t="s">
        <v>736</v>
      </c>
      <c r="BD101" s="296" t="s">
        <v>737</v>
      </c>
      <c r="BE101" s="296" t="s">
        <v>738</v>
      </c>
      <c r="BF101" s="296" t="s">
        <v>739</v>
      </c>
      <c r="BG101" s="296" t="s">
        <v>740</v>
      </c>
      <c r="BH101" s="296" t="s">
        <v>741</v>
      </c>
      <c r="BI101" s="296" t="s">
        <v>742</v>
      </c>
      <c r="BJ101" s="296" t="s">
        <v>743</v>
      </c>
      <c r="BK101" s="296" t="s">
        <v>751</v>
      </c>
      <c r="BL101" s="296" t="s">
        <v>752</v>
      </c>
      <c r="BM101" s="296"/>
      <c r="BN101" s="296"/>
      <c r="BO101" s="296"/>
      <c r="BP101" s="296"/>
    </row>
    <row r="102" customHeight="1" spans="1:68">
      <c r="A102" s="297">
        <v>10</v>
      </c>
      <c r="B102" s="250" t="str">
        <f t="shared" si="1"/>
        <v/>
      </c>
      <c r="C102" s="250" t="str">
        <f>IF(主要!C62&lt;&gt;"",主要!C62,"")</f>
        <v/>
      </c>
      <c r="D102" s="252" t="str">
        <f>IFERROR(VLOOKUP(B102,列表!$B:$T,17,FALSE),"")</f>
        <v/>
      </c>
      <c r="P102" s="251" t="s">
        <v>753</v>
      </c>
      <c r="Q102" s="251" t="s">
        <v>754</v>
      </c>
      <c r="R102" s="251" t="s">
        <v>729</v>
      </c>
      <c r="AK102" s="296" t="s">
        <v>535</v>
      </c>
      <c r="AL102" s="296">
        <v>1</v>
      </c>
      <c r="AM102" s="296"/>
      <c r="AN102" s="296">
        <v>2</v>
      </c>
      <c r="AO102" s="296"/>
      <c r="AP102" s="296"/>
      <c r="AQ102" s="296"/>
      <c r="AR102" s="296"/>
      <c r="AS102" s="296"/>
      <c r="AT102" s="296" t="s">
        <v>730</v>
      </c>
      <c r="AU102" s="296" t="s">
        <v>731</v>
      </c>
      <c r="AV102" s="296" t="s">
        <v>732</v>
      </c>
      <c r="AW102" s="296" t="s">
        <v>733</v>
      </c>
      <c r="AX102" s="296" t="s">
        <v>755</v>
      </c>
      <c r="AY102" s="296"/>
      <c r="AZ102" s="296"/>
      <c r="BA102" s="296" t="s">
        <v>676</v>
      </c>
      <c r="BB102" s="296" t="s">
        <v>756</v>
      </c>
      <c r="BC102" s="296" t="s">
        <v>736</v>
      </c>
      <c r="BD102" s="296" t="s">
        <v>737</v>
      </c>
      <c r="BE102" s="296" t="s">
        <v>738</v>
      </c>
      <c r="BF102" s="296" t="s">
        <v>739</v>
      </c>
      <c r="BG102" s="296" t="s">
        <v>740</v>
      </c>
      <c r="BH102" s="296" t="s">
        <v>741</v>
      </c>
      <c r="BI102" s="296" t="s">
        <v>742</v>
      </c>
      <c r="BJ102" s="296" t="s">
        <v>743</v>
      </c>
      <c r="BK102" s="296" t="s">
        <v>757</v>
      </c>
      <c r="BL102" s="296" t="s">
        <v>758</v>
      </c>
      <c r="BM102" s="296" t="s">
        <v>759</v>
      </c>
      <c r="BN102" s="296" t="s">
        <v>760</v>
      </c>
      <c r="BO102" s="296" t="s">
        <v>678</v>
      </c>
      <c r="BP102" s="296" t="s">
        <v>679</v>
      </c>
    </row>
    <row r="103" customHeight="1" spans="1:68">
      <c r="A103" s="297">
        <v>11</v>
      </c>
      <c r="B103" s="250" t="str">
        <f t="shared" si="1"/>
        <v/>
      </c>
      <c r="C103" s="250" t="str">
        <f>IF(主要!C63&lt;&gt;"",主要!C63,"")</f>
        <v/>
      </c>
      <c r="D103" s="252" t="str">
        <f>IFERROR(VLOOKUP(B103,列表!$B:$T,17,FALSE),"")</f>
        <v/>
      </c>
      <c r="P103" s="251" t="s">
        <v>761</v>
      </c>
      <c r="Q103" s="251" t="s">
        <v>762</v>
      </c>
      <c r="R103" s="251" t="s">
        <v>719</v>
      </c>
      <c r="AK103" s="296" t="s">
        <v>541</v>
      </c>
      <c r="AL103" s="296">
        <v>2</v>
      </c>
      <c r="AM103" s="296"/>
      <c r="AN103" s="296"/>
      <c r="AO103" s="296"/>
      <c r="AP103" s="296"/>
      <c r="AQ103" s="296">
        <v>1</v>
      </c>
      <c r="AR103" s="296"/>
      <c r="AS103" s="296"/>
      <c r="AT103" s="296" t="s">
        <v>763</v>
      </c>
      <c r="AU103" s="296" t="s">
        <v>764</v>
      </c>
      <c r="AV103" s="296" t="s">
        <v>765</v>
      </c>
      <c r="AW103" s="296" t="s">
        <v>631</v>
      </c>
      <c r="AX103" s="296" t="s">
        <v>766</v>
      </c>
      <c r="AY103" s="296"/>
      <c r="AZ103" s="296"/>
      <c r="BA103" s="296" t="s">
        <v>767</v>
      </c>
      <c r="BB103" s="296" t="s">
        <v>768</v>
      </c>
      <c r="BC103" s="296" t="s">
        <v>769</v>
      </c>
      <c r="BD103" s="296" t="s">
        <v>770</v>
      </c>
      <c r="BE103" s="296" t="s">
        <v>771</v>
      </c>
      <c r="BF103" s="296" t="s">
        <v>772</v>
      </c>
      <c r="BG103" s="296"/>
      <c r="BH103" s="296"/>
      <c r="BI103" s="296"/>
      <c r="BJ103" s="296"/>
      <c r="BK103" s="296"/>
      <c r="BL103" s="296"/>
      <c r="BM103" s="296"/>
      <c r="BN103" s="296"/>
      <c r="BO103" s="296"/>
      <c r="BP103" s="296"/>
    </row>
    <row r="104" customHeight="1" spans="1:68">
      <c r="A104" s="297">
        <v>12</v>
      </c>
      <c r="B104" s="250" t="str">
        <f t="shared" si="1"/>
        <v/>
      </c>
      <c r="C104" s="250" t="str">
        <f>IF(主要!C64&lt;&gt;"",主要!C64,"")</f>
        <v/>
      </c>
      <c r="D104" s="252" t="str">
        <f>IFERROR(VLOOKUP(B104,列表!$B:$T,17,FALSE),"")</f>
        <v/>
      </c>
      <c r="P104" s="251" t="s">
        <v>773</v>
      </c>
      <c r="Q104" s="251" t="s">
        <v>774</v>
      </c>
      <c r="R104" s="251" t="s">
        <v>729</v>
      </c>
      <c r="AK104" s="296" t="s">
        <v>542</v>
      </c>
      <c r="AL104" s="296">
        <v>2</v>
      </c>
      <c r="AM104" s="296"/>
      <c r="AN104" s="296"/>
      <c r="AO104" s="296"/>
      <c r="AP104" s="296"/>
      <c r="AQ104" s="296">
        <v>1</v>
      </c>
      <c r="AR104" s="296"/>
      <c r="AS104" s="296"/>
      <c r="AT104" s="296" t="s">
        <v>763</v>
      </c>
      <c r="AU104" s="296" t="s">
        <v>764</v>
      </c>
      <c r="AV104" s="296" t="s">
        <v>765</v>
      </c>
      <c r="AW104" s="296" t="s">
        <v>631</v>
      </c>
      <c r="AX104" s="296" t="s">
        <v>766</v>
      </c>
      <c r="AY104" s="296"/>
      <c r="AZ104" s="296"/>
      <c r="BA104" s="296" t="s">
        <v>767</v>
      </c>
      <c r="BB104" s="296" t="s">
        <v>768</v>
      </c>
      <c r="BC104" s="296" t="s">
        <v>769</v>
      </c>
      <c r="BD104" s="296" t="s">
        <v>775</v>
      </c>
      <c r="BE104" s="296" t="s">
        <v>771</v>
      </c>
      <c r="BF104" s="296" t="s">
        <v>776</v>
      </c>
      <c r="BG104" s="296"/>
      <c r="BH104" s="296"/>
      <c r="BI104" s="296"/>
      <c r="BJ104" s="296"/>
      <c r="BK104" s="296"/>
      <c r="BL104" s="296"/>
      <c r="BM104" s="296"/>
      <c r="BN104" s="296"/>
      <c r="BO104" s="296"/>
      <c r="BP104" s="296"/>
    </row>
    <row r="105" customHeight="1" spans="1:68">
      <c r="A105" s="297">
        <v>13</v>
      </c>
      <c r="B105" s="250" t="str">
        <f t="shared" si="1"/>
        <v/>
      </c>
      <c r="C105" s="250" t="str">
        <f>IF(主要!C65&lt;&gt;"",主要!C65,"")</f>
        <v/>
      </c>
      <c r="D105" s="252" t="str">
        <f>IFERROR(VLOOKUP(B105,列表!$B:$T,17,FALSE),"")</f>
        <v/>
      </c>
      <c r="P105" s="251" t="s">
        <v>777</v>
      </c>
      <c r="Q105" s="251" t="s">
        <v>778</v>
      </c>
      <c r="R105" s="251" t="s">
        <v>779</v>
      </c>
      <c r="AK105" s="296" t="s">
        <v>543</v>
      </c>
      <c r="AL105" s="296">
        <v>2</v>
      </c>
      <c r="AM105" s="296"/>
      <c r="AN105" s="296"/>
      <c r="AO105" s="296"/>
      <c r="AP105" s="296"/>
      <c r="AQ105" s="296">
        <v>1</v>
      </c>
      <c r="AR105" s="296"/>
      <c r="AS105" s="296"/>
      <c r="AT105" s="296" t="s">
        <v>763</v>
      </c>
      <c r="AU105" s="296" t="s">
        <v>764</v>
      </c>
      <c r="AV105" s="296" t="s">
        <v>765</v>
      </c>
      <c r="AW105" s="296" t="s">
        <v>631</v>
      </c>
      <c r="AX105" s="296" t="s">
        <v>766</v>
      </c>
      <c r="AY105" s="296"/>
      <c r="AZ105" s="296"/>
      <c r="BA105" s="296" t="s">
        <v>767</v>
      </c>
      <c r="BB105" s="296" t="s">
        <v>768</v>
      </c>
      <c r="BC105" s="296" t="s">
        <v>769</v>
      </c>
      <c r="BD105" s="296" t="s">
        <v>780</v>
      </c>
      <c r="BE105" s="296" t="s">
        <v>771</v>
      </c>
      <c r="BF105" s="296" t="s">
        <v>776</v>
      </c>
      <c r="BG105" s="296"/>
      <c r="BH105" s="296"/>
      <c r="BI105" s="296"/>
      <c r="BJ105" s="296"/>
      <c r="BK105" s="296"/>
      <c r="BL105" s="296"/>
      <c r="BM105" s="296"/>
      <c r="BN105" s="296"/>
      <c r="BO105" s="296"/>
      <c r="BP105" s="296"/>
    </row>
    <row r="106" customHeight="1" spans="1:68">
      <c r="A106" s="297">
        <v>14</v>
      </c>
      <c r="B106" s="250" t="str">
        <f t="shared" si="1"/>
        <v/>
      </c>
      <c r="C106" s="250" t="str">
        <f>IF(主要!C66&lt;&gt;"",主要!C66,"")</f>
        <v/>
      </c>
      <c r="D106" s="252" t="str">
        <f>IFERROR(VLOOKUP(B106,列表!$B:$T,17,FALSE),"")</f>
        <v/>
      </c>
      <c r="P106" s="251" t="s">
        <v>781</v>
      </c>
      <c r="Q106" s="251" t="s">
        <v>754</v>
      </c>
      <c r="R106" s="251" t="s">
        <v>729</v>
      </c>
      <c r="AK106" s="296" t="s">
        <v>544</v>
      </c>
      <c r="AL106" s="296">
        <v>2</v>
      </c>
      <c r="AM106" s="296"/>
      <c r="AN106" s="296"/>
      <c r="AO106" s="296"/>
      <c r="AP106" s="296"/>
      <c r="AQ106" s="296">
        <v>1</v>
      </c>
      <c r="AR106" s="296"/>
      <c r="AS106" s="296"/>
      <c r="AT106" s="296" t="s">
        <v>763</v>
      </c>
      <c r="AU106" s="296" t="s">
        <v>764</v>
      </c>
      <c r="AV106" s="296" t="s">
        <v>765</v>
      </c>
      <c r="AW106" s="296" t="s">
        <v>631</v>
      </c>
      <c r="AX106" s="296" t="s">
        <v>766</v>
      </c>
      <c r="AY106" s="296"/>
      <c r="AZ106" s="296"/>
      <c r="BA106" s="296" t="s">
        <v>767</v>
      </c>
      <c r="BB106" s="296" t="s">
        <v>768</v>
      </c>
      <c r="BC106" s="296" t="s">
        <v>769</v>
      </c>
      <c r="BD106" s="296" t="s">
        <v>782</v>
      </c>
      <c r="BE106" s="296" t="s">
        <v>771</v>
      </c>
      <c r="BF106" s="296" t="s">
        <v>776</v>
      </c>
      <c r="BG106" s="296"/>
      <c r="BH106" s="296"/>
      <c r="BI106" s="296"/>
      <c r="BJ106" s="296"/>
      <c r="BK106" s="296"/>
      <c r="BL106" s="296"/>
      <c r="BM106" s="296"/>
      <c r="BN106" s="296"/>
      <c r="BO106" s="296"/>
      <c r="BP106" s="296"/>
    </row>
    <row r="107" customHeight="1" spans="1:68">
      <c r="A107" s="297">
        <v>15</v>
      </c>
      <c r="B107" s="250" t="str">
        <f t="shared" si="1"/>
        <v/>
      </c>
      <c r="C107" s="250" t="str">
        <f>IF(主要!C67&lt;&gt;"",主要!C67,"")</f>
        <v/>
      </c>
      <c r="D107" s="252" t="str">
        <f>IFERROR(VLOOKUP(B107,列表!$B:$T,17,FALSE),"")</f>
        <v/>
      </c>
      <c r="P107" s="251" t="s">
        <v>783</v>
      </c>
      <c r="Q107" s="251" t="s">
        <v>728</v>
      </c>
      <c r="R107" s="251" t="s">
        <v>719</v>
      </c>
      <c r="AK107" s="296" t="s">
        <v>545</v>
      </c>
      <c r="AL107" s="296">
        <v>2</v>
      </c>
      <c r="AM107" s="296"/>
      <c r="AN107" s="296"/>
      <c r="AO107" s="296"/>
      <c r="AP107" s="296"/>
      <c r="AQ107" s="296">
        <v>1</v>
      </c>
      <c r="AR107" s="296"/>
      <c r="AS107" s="296"/>
      <c r="AT107" s="296" t="s">
        <v>763</v>
      </c>
      <c r="AU107" s="296" t="s">
        <v>764</v>
      </c>
      <c r="AV107" s="296" t="s">
        <v>765</v>
      </c>
      <c r="AW107" s="296" t="s">
        <v>631</v>
      </c>
      <c r="AX107" s="296" t="s">
        <v>766</v>
      </c>
      <c r="AY107" s="296"/>
      <c r="AZ107" s="296"/>
      <c r="BA107" s="296" t="s">
        <v>767</v>
      </c>
      <c r="BB107" s="296" t="s">
        <v>768</v>
      </c>
      <c r="BC107" s="296" t="s">
        <v>769</v>
      </c>
      <c r="BD107" s="296" t="s">
        <v>780</v>
      </c>
      <c r="BE107" s="296" t="s">
        <v>771</v>
      </c>
      <c r="BF107" s="296" t="s">
        <v>776</v>
      </c>
      <c r="BG107" s="296"/>
      <c r="BH107" s="296"/>
      <c r="BI107" s="296"/>
      <c r="BJ107" s="296"/>
      <c r="BK107" s="296"/>
      <c r="BL107" s="296"/>
      <c r="BM107" s="296"/>
      <c r="BN107" s="296"/>
      <c r="BO107" s="296"/>
      <c r="BP107" s="296"/>
    </row>
    <row r="108" customHeight="1" spans="1:68">
      <c r="A108" s="294">
        <v>16</v>
      </c>
      <c r="B108" s="250" t="str">
        <f t="shared" si="1"/>
        <v/>
      </c>
      <c r="C108" s="250" t="str">
        <f>IF(主要!J53&lt;&gt;"",主要!J53,"")</f>
        <v/>
      </c>
      <c r="D108" s="252" t="str">
        <f>IFERROR(VLOOKUP(B108,列表!$B:$T,17,FALSE),"")</f>
        <v/>
      </c>
      <c r="P108" s="251" t="s">
        <v>784</v>
      </c>
      <c r="Q108" s="251" t="s">
        <v>728</v>
      </c>
      <c r="R108" s="251" t="s">
        <v>729</v>
      </c>
      <c r="AK108" s="296" t="s">
        <v>546</v>
      </c>
      <c r="AL108" s="296">
        <v>2</v>
      </c>
      <c r="AM108" s="296"/>
      <c r="AN108" s="296"/>
      <c r="AO108" s="296"/>
      <c r="AP108" s="296"/>
      <c r="AQ108" s="296">
        <v>1</v>
      </c>
      <c r="AR108" s="296"/>
      <c r="AS108" s="296"/>
      <c r="AT108" s="296" t="s">
        <v>763</v>
      </c>
      <c r="AU108" s="296" t="s">
        <v>764</v>
      </c>
      <c r="AV108" s="296" t="s">
        <v>765</v>
      </c>
      <c r="AW108" s="296" t="s">
        <v>631</v>
      </c>
      <c r="AX108" s="296" t="s">
        <v>766</v>
      </c>
      <c r="AY108" s="296"/>
      <c r="AZ108" s="296"/>
      <c r="BA108" s="296" t="s">
        <v>767</v>
      </c>
      <c r="BB108" s="296" t="s">
        <v>768</v>
      </c>
      <c r="BC108" s="296" t="s">
        <v>769</v>
      </c>
      <c r="BD108" s="296" t="s">
        <v>775</v>
      </c>
      <c r="BE108" s="296" t="s">
        <v>771</v>
      </c>
      <c r="BF108" s="296" t="s">
        <v>776</v>
      </c>
      <c r="BG108" s="296"/>
      <c r="BH108" s="296"/>
      <c r="BI108" s="296"/>
      <c r="BJ108" s="296"/>
      <c r="BK108" s="296"/>
      <c r="BL108" s="296"/>
      <c r="BM108" s="296"/>
      <c r="BN108" s="296"/>
      <c r="BO108" s="296"/>
      <c r="BP108" s="296"/>
    </row>
    <row r="109" customHeight="1" spans="1:68">
      <c r="A109" s="294">
        <v>17</v>
      </c>
      <c r="B109" s="250" t="str">
        <f t="shared" si="1"/>
        <v/>
      </c>
      <c r="C109" s="250" t="str">
        <f>IF(主要!J54&lt;&gt;"",主要!J54,"")</f>
        <v/>
      </c>
      <c r="D109" s="252" t="str">
        <f>IFERROR(VLOOKUP(B109,列表!$B:$T,17,FALSE),"")</f>
        <v/>
      </c>
      <c r="P109" s="251" t="s">
        <v>785</v>
      </c>
      <c r="Q109" s="251" t="s">
        <v>728</v>
      </c>
      <c r="R109" s="251" t="s">
        <v>786</v>
      </c>
      <c r="AK109" s="296" t="s">
        <v>547</v>
      </c>
      <c r="AL109" s="296">
        <v>2</v>
      </c>
      <c r="AM109" s="296"/>
      <c r="AN109" s="296"/>
      <c r="AO109" s="296"/>
      <c r="AP109" s="296"/>
      <c r="AQ109" s="296">
        <v>1</v>
      </c>
      <c r="AR109" s="296"/>
      <c r="AS109" s="296"/>
      <c r="AT109" s="296" t="s">
        <v>763</v>
      </c>
      <c r="AU109" s="296" t="s">
        <v>764</v>
      </c>
      <c r="AV109" s="296" t="s">
        <v>765</v>
      </c>
      <c r="AW109" s="296" t="s">
        <v>631</v>
      </c>
      <c r="AX109" s="296" t="s">
        <v>766</v>
      </c>
      <c r="AY109" s="296"/>
      <c r="AZ109" s="296"/>
      <c r="BA109" s="296" t="s">
        <v>767</v>
      </c>
      <c r="BB109" s="296" t="s">
        <v>768</v>
      </c>
      <c r="BC109" s="296" t="s">
        <v>769</v>
      </c>
      <c r="BD109" s="296" t="s">
        <v>782</v>
      </c>
      <c r="BE109" s="296" t="s">
        <v>771</v>
      </c>
      <c r="BF109" s="296" t="s">
        <v>787</v>
      </c>
      <c r="BG109" s="296"/>
      <c r="BH109" s="296"/>
      <c r="BI109" s="296"/>
      <c r="BJ109" s="296"/>
      <c r="BK109" s="296"/>
      <c r="BL109" s="296"/>
      <c r="BM109" s="296"/>
      <c r="BN109" s="296"/>
      <c r="BO109" s="296"/>
      <c r="BP109" s="296"/>
    </row>
    <row r="110" customHeight="1" spans="1:68">
      <c r="A110" s="294">
        <v>18</v>
      </c>
      <c r="B110" s="250" t="str">
        <f t="shared" si="1"/>
        <v/>
      </c>
      <c r="C110" s="250" t="str">
        <f>IF(主要!J55&lt;&gt;"",主要!J55,"")</f>
        <v/>
      </c>
      <c r="D110" s="252" t="str">
        <f>IFERROR(VLOOKUP(B110,列表!$B:$T,17,FALSE),"")</f>
        <v/>
      </c>
      <c r="P110" s="251" t="s">
        <v>788</v>
      </c>
      <c r="Q110" s="251" t="s">
        <v>723</v>
      </c>
      <c r="R110" s="251" t="s">
        <v>719</v>
      </c>
      <c r="AK110" s="296" t="s">
        <v>548</v>
      </c>
      <c r="AL110" s="296">
        <v>2</v>
      </c>
      <c r="AM110" s="296"/>
      <c r="AN110" s="296"/>
      <c r="AO110" s="296"/>
      <c r="AP110" s="296"/>
      <c r="AQ110" s="296">
        <v>1</v>
      </c>
      <c r="AR110" s="296"/>
      <c r="AS110" s="296"/>
      <c r="AT110" s="296" t="s">
        <v>763</v>
      </c>
      <c r="AU110" s="296" t="s">
        <v>764</v>
      </c>
      <c r="AV110" s="296" t="s">
        <v>765</v>
      </c>
      <c r="AW110" s="296" t="s">
        <v>631</v>
      </c>
      <c r="AX110" s="296" t="s">
        <v>766</v>
      </c>
      <c r="AY110" s="296"/>
      <c r="AZ110" s="296"/>
      <c r="BA110" s="296" t="s">
        <v>767</v>
      </c>
      <c r="BB110" s="296" t="s">
        <v>768</v>
      </c>
      <c r="BC110" s="296" t="s">
        <v>769</v>
      </c>
      <c r="BD110" s="296" t="s">
        <v>789</v>
      </c>
      <c r="BE110" s="296" t="s">
        <v>771</v>
      </c>
      <c r="BF110" s="296" t="s">
        <v>790</v>
      </c>
      <c r="BG110" s="296"/>
      <c r="BH110" s="296"/>
      <c r="BI110" s="296"/>
      <c r="BJ110" s="296"/>
      <c r="BK110" s="296"/>
      <c r="BL110" s="296"/>
      <c r="BM110" s="296"/>
      <c r="BN110" s="296"/>
      <c r="BO110" s="296"/>
      <c r="BP110" s="296"/>
    </row>
    <row r="111" customHeight="1" spans="1:68">
      <c r="A111" s="294">
        <v>19</v>
      </c>
      <c r="B111" s="250" t="str">
        <f t="shared" si="1"/>
        <v/>
      </c>
      <c r="C111" s="250" t="str">
        <f>IF(主要!J56&lt;&gt;"",主要!J56,"")</f>
        <v/>
      </c>
      <c r="D111" s="252" t="str">
        <f>IFERROR(VLOOKUP(B111,列表!$B:$T,17,FALSE),"")</f>
        <v/>
      </c>
      <c r="P111" s="251" t="s">
        <v>791</v>
      </c>
      <c r="Q111" s="251" t="s">
        <v>718</v>
      </c>
      <c r="R111" s="251" t="s">
        <v>792</v>
      </c>
      <c r="AK111" s="296" t="s">
        <v>549</v>
      </c>
      <c r="AL111" s="296">
        <v>2</v>
      </c>
      <c r="AM111" s="296"/>
      <c r="AN111" s="296"/>
      <c r="AO111" s="296"/>
      <c r="AP111" s="296"/>
      <c r="AQ111" s="296">
        <v>1</v>
      </c>
      <c r="AR111" s="296"/>
      <c r="AS111" s="296"/>
      <c r="AT111" s="296" t="s">
        <v>763</v>
      </c>
      <c r="AU111" s="296" t="s">
        <v>764</v>
      </c>
      <c r="AV111" s="296" t="s">
        <v>765</v>
      </c>
      <c r="AW111" s="296" t="s">
        <v>631</v>
      </c>
      <c r="AX111" s="296" t="s">
        <v>766</v>
      </c>
      <c r="AY111" s="296"/>
      <c r="AZ111" s="296"/>
      <c r="BA111" s="296" t="s">
        <v>767</v>
      </c>
      <c r="BB111" s="296" t="s">
        <v>768</v>
      </c>
      <c r="BC111" s="296" t="s">
        <v>769</v>
      </c>
      <c r="BD111" s="296" t="s">
        <v>782</v>
      </c>
      <c r="BE111" s="296" t="s">
        <v>771</v>
      </c>
      <c r="BF111" s="296" t="s">
        <v>787</v>
      </c>
      <c r="BG111" s="296"/>
      <c r="BH111" s="296"/>
      <c r="BI111" s="296"/>
      <c r="BJ111" s="296"/>
      <c r="BK111" s="296"/>
      <c r="BL111" s="296"/>
      <c r="BM111" s="296"/>
      <c r="BN111" s="296"/>
      <c r="BO111" s="296"/>
      <c r="BP111" s="296"/>
    </row>
    <row r="112" customHeight="1" spans="1:68">
      <c r="A112" s="294">
        <v>20</v>
      </c>
      <c r="B112" s="250" t="str">
        <f t="shared" si="1"/>
        <v/>
      </c>
      <c r="C112" s="250" t="str">
        <f>IF(主要!J57&lt;&gt;"",主要!J57,"")</f>
        <v/>
      </c>
      <c r="D112" s="252" t="str">
        <f>IFERROR(VLOOKUP(B112,列表!$B:$T,17,FALSE),"")</f>
        <v/>
      </c>
      <c r="P112" s="251" t="s">
        <v>793</v>
      </c>
      <c r="Q112" s="251" t="s">
        <v>762</v>
      </c>
      <c r="R112" s="251" t="s">
        <v>729</v>
      </c>
      <c r="AK112" s="296" t="s">
        <v>550</v>
      </c>
      <c r="AL112" s="296">
        <v>2</v>
      </c>
      <c r="AM112" s="296"/>
      <c r="AN112" s="296"/>
      <c r="AO112" s="296"/>
      <c r="AP112" s="296"/>
      <c r="AQ112" s="296">
        <v>1</v>
      </c>
      <c r="AR112" s="296"/>
      <c r="AS112" s="296"/>
      <c r="AT112" s="296" t="s">
        <v>763</v>
      </c>
      <c r="AU112" s="296" t="s">
        <v>764</v>
      </c>
      <c r="AV112" s="296" t="s">
        <v>765</v>
      </c>
      <c r="AW112" s="296" t="s">
        <v>631</v>
      </c>
      <c r="AX112" s="296" t="s">
        <v>766</v>
      </c>
      <c r="AY112" s="296"/>
      <c r="AZ112" s="296"/>
      <c r="BA112" s="296" t="s">
        <v>767</v>
      </c>
      <c r="BB112" s="296" t="s">
        <v>768</v>
      </c>
      <c r="BC112" s="296" t="s">
        <v>769</v>
      </c>
      <c r="BD112" s="296" t="s">
        <v>794</v>
      </c>
      <c r="BE112" s="296" t="s">
        <v>771</v>
      </c>
      <c r="BF112" s="296" t="s">
        <v>790</v>
      </c>
      <c r="BG112" s="296"/>
      <c r="BH112" s="296"/>
      <c r="BI112" s="296"/>
      <c r="BJ112" s="296"/>
      <c r="BK112" s="296"/>
      <c r="BL112" s="296"/>
      <c r="BM112" s="296"/>
      <c r="BN112" s="296"/>
      <c r="BO112" s="296"/>
      <c r="BP112" s="296"/>
    </row>
    <row r="113" customHeight="1" spans="1:68">
      <c r="A113" s="294">
        <v>21</v>
      </c>
      <c r="B113" s="250" t="str">
        <f t="shared" si="1"/>
        <v/>
      </c>
      <c r="C113" s="250" t="str">
        <f>IF(主要!J58&lt;&gt;"",主要!J58,"")</f>
        <v/>
      </c>
      <c r="D113" s="252" t="str">
        <f>IFERROR(VLOOKUP(B113,列表!$B:$T,17,FALSE),"")</f>
        <v/>
      </c>
      <c r="P113" s="251" t="s">
        <v>795</v>
      </c>
      <c r="Q113" s="251" t="s">
        <v>762</v>
      </c>
      <c r="R113" s="251" t="s">
        <v>729</v>
      </c>
      <c r="AK113" s="296" t="s">
        <v>551</v>
      </c>
      <c r="AL113" s="296">
        <v>2</v>
      </c>
      <c r="AM113" s="296"/>
      <c r="AN113" s="296"/>
      <c r="AO113" s="296"/>
      <c r="AP113" s="296"/>
      <c r="AQ113" s="296">
        <v>1</v>
      </c>
      <c r="AR113" s="296"/>
      <c r="AS113" s="296"/>
      <c r="AT113" s="296" t="s">
        <v>763</v>
      </c>
      <c r="AU113" s="296" t="s">
        <v>764</v>
      </c>
      <c r="AV113" s="296" t="s">
        <v>765</v>
      </c>
      <c r="AW113" s="296" t="s">
        <v>631</v>
      </c>
      <c r="AX113" s="296" t="s">
        <v>766</v>
      </c>
      <c r="AY113" s="296"/>
      <c r="AZ113" s="296"/>
      <c r="BA113" s="296" t="s">
        <v>767</v>
      </c>
      <c r="BB113" s="296" t="s">
        <v>768</v>
      </c>
      <c r="BC113" s="296" t="s">
        <v>769</v>
      </c>
      <c r="BD113" s="296" t="s">
        <v>794</v>
      </c>
      <c r="BE113" s="296" t="s">
        <v>771</v>
      </c>
      <c r="BF113" s="296" t="s">
        <v>790</v>
      </c>
      <c r="BG113" s="296"/>
      <c r="BH113" s="296"/>
      <c r="BI113" s="296"/>
      <c r="BJ113" s="296"/>
      <c r="BK113" s="296"/>
      <c r="BL113" s="296"/>
      <c r="BM113" s="296"/>
      <c r="BN113" s="296"/>
      <c r="BO113" s="296"/>
      <c r="BP113" s="296"/>
    </row>
    <row r="114" customHeight="1" spans="1:68">
      <c r="A114" s="294">
        <v>22</v>
      </c>
      <c r="B114" s="250" t="str">
        <f t="shared" si="1"/>
        <v/>
      </c>
      <c r="C114" s="250" t="str">
        <f>IF(主要!J59&lt;&gt;"",主要!J59,"")</f>
        <v/>
      </c>
      <c r="D114" s="252" t="str">
        <f>IFERROR(VLOOKUP(B114,列表!$B:$T,17,FALSE),"")</f>
        <v/>
      </c>
      <c r="P114" s="251" t="s">
        <v>796</v>
      </c>
      <c r="Q114" s="251" t="s">
        <v>778</v>
      </c>
      <c r="R114" s="251" t="s">
        <v>786</v>
      </c>
      <c r="AK114" s="296" t="s">
        <v>555</v>
      </c>
      <c r="AL114" s="296"/>
      <c r="AM114" s="296"/>
      <c r="AN114" s="296"/>
      <c r="AO114" s="296">
        <v>2</v>
      </c>
      <c r="AP114" s="296"/>
      <c r="AQ114" s="296"/>
      <c r="AR114" s="296"/>
      <c r="AS114" s="296"/>
      <c r="AT114" s="296" t="s">
        <v>797</v>
      </c>
      <c r="AU114" s="296" t="s">
        <v>798</v>
      </c>
      <c r="AV114" s="296" t="s">
        <v>799</v>
      </c>
      <c r="AW114" s="296" t="s">
        <v>706</v>
      </c>
      <c r="AX114" s="296" t="s">
        <v>800</v>
      </c>
      <c r="AY114" s="296"/>
      <c r="AZ114" s="296"/>
      <c r="BA114" s="296" t="s">
        <v>643</v>
      </c>
      <c r="BB114" s="296" t="s">
        <v>801</v>
      </c>
      <c r="BC114" s="296" t="s">
        <v>802</v>
      </c>
      <c r="BD114" s="296" t="s">
        <v>803</v>
      </c>
      <c r="BE114" s="296"/>
      <c r="BF114" s="296"/>
      <c r="BG114" s="296"/>
      <c r="BH114" s="296"/>
      <c r="BI114" s="296"/>
      <c r="BJ114" s="296"/>
      <c r="BK114" s="296"/>
      <c r="BL114" s="296"/>
      <c r="BM114" s="296"/>
      <c r="BN114" s="296"/>
      <c r="BO114" s="296"/>
      <c r="BP114" s="296"/>
    </row>
    <row r="115" customHeight="1" spans="1:68">
      <c r="A115" s="294">
        <v>23</v>
      </c>
      <c r="B115" s="250" t="str">
        <f t="shared" si="1"/>
        <v/>
      </c>
      <c r="C115" s="250" t="str">
        <f>IF(主要!J60&lt;&gt;"",主要!J60,"")</f>
        <v/>
      </c>
      <c r="D115" s="252" t="str">
        <f>IFERROR(VLOOKUP(B115,列表!$B:$T,17,FALSE),"")</f>
        <v/>
      </c>
      <c r="P115" s="251" t="s">
        <v>804</v>
      </c>
      <c r="Q115" s="251" t="s">
        <v>750</v>
      </c>
      <c r="R115" s="251" t="s">
        <v>729</v>
      </c>
      <c r="AK115" s="296" t="s">
        <v>556</v>
      </c>
      <c r="AL115" s="296"/>
      <c r="AM115" s="296">
        <v>1</v>
      </c>
      <c r="AN115" s="296"/>
      <c r="AO115" s="296">
        <v>2</v>
      </c>
      <c r="AP115" s="296"/>
      <c r="AQ115" s="296"/>
      <c r="AR115" s="296"/>
      <c r="AS115" s="296"/>
      <c r="AT115" s="296" t="s">
        <v>797</v>
      </c>
      <c r="AU115" s="296" t="s">
        <v>798</v>
      </c>
      <c r="AV115" s="296" t="s">
        <v>799</v>
      </c>
      <c r="AW115" s="296" t="s">
        <v>706</v>
      </c>
      <c r="AX115" s="296" t="s">
        <v>805</v>
      </c>
      <c r="AY115" s="296"/>
      <c r="AZ115" s="296"/>
      <c r="BA115" s="296" t="s">
        <v>676</v>
      </c>
      <c r="BB115" s="296" t="s">
        <v>806</v>
      </c>
      <c r="BC115" s="296" t="s">
        <v>802</v>
      </c>
      <c r="BD115" s="296" t="s">
        <v>803</v>
      </c>
      <c r="BE115" s="296" t="s">
        <v>807</v>
      </c>
      <c r="BF115" s="296" t="s">
        <v>808</v>
      </c>
      <c r="BG115" s="296"/>
      <c r="BH115" s="296"/>
      <c r="BI115" s="296"/>
      <c r="BJ115" s="296"/>
      <c r="BK115" s="296"/>
      <c r="BL115" s="296"/>
      <c r="BM115" s="296"/>
      <c r="BN115" s="296"/>
      <c r="BO115" s="296"/>
      <c r="BP115" s="296"/>
    </row>
    <row r="116" customHeight="1" spans="1:68">
      <c r="A116" s="294">
        <v>24</v>
      </c>
      <c r="B116" s="250" t="str">
        <f t="shared" si="1"/>
        <v/>
      </c>
      <c r="C116" s="250" t="str">
        <f>IF(主要!J61&lt;&gt;"",主要!J61,"")</f>
        <v/>
      </c>
      <c r="D116" s="252" t="str">
        <f>IFERROR(VLOOKUP(B116,列表!$B:$T,17,FALSE),"")</f>
        <v/>
      </c>
      <c r="P116" s="251" t="s">
        <v>809</v>
      </c>
      <c r="Q116" s="251"/>
      <c r="R116" s="251"/>
      <c r="AK116" s="296" t="s">
        <v>557</v>
      </c>
      <c r="AL116" s="296"/>
      <c r="AM116" s="296">
        <v>1</v>
      </c>
      <c r="AN116" s="296"/>
      <c r="AO116" s="296">
        <v>2</v>
      </c>
      <c r="AP116" s="296"/>
      <c r="AQ116" s="296"/>
      <c r="AR116" s="296"/>
      <c r="AS116" s="296"/>
      <c r="AT116" s="296" t="s">
        <v>797</v>
      </c>
      <c r="AU116" s="296" t="s">
        <v>798</v>
      </c>
      <c r="AV116" s="296" t="s">
        <v>799</v>
      </c>
      <c r="AW116" s="296" t="s">
        <v>706</v>
      </c>
      <c r="AX116" s="296" t="s">
        <v>800</v>
      </c>
      <c r="AY116" s="296"/>
      <c r="AZ116" s="296"/>
      <c r="BA116" s="296" t="s">
        <v>643</v>
      </c>
      <c r="BB116" s="296" t="s">
        <v>801</v>
      </c>
      <c r="BC116" s="296" t="s">
        <v>802</v>
      </c>
      <c r="BD116" s="296" t="s">
        <v>803</v>
      </c>
      <c r="BE116" s="296" t="s">
        <v>810</v>
      </c>
      <c r="BF116" s="296" t="s">
        <v>811</v>
      </c>
      <c r="BG116" s="296" t="s">
        <v>812</v>
      </c>
      <c r="BH116" s="296" t="s">
        <v>813</v>
      </c>
      <c r="BI116" s="296"/>
      <c r="BJ116" s="296"/>
      <c r="BK116" s="296"/>
      <c r="BL116" s="296"/>
      <c r="BM116" s="296"/>
      <c r="BN116" s="296"/>
      <c r="BO116" s="296"/>
      <c r="BP116" s="296"/>
    </row>
    <row r="117" customHeight="1" spans="1:68">
      <c r="A117" s="294">
        <v>25</v>
      </c>
      <c r="B117" s="250" t="str">
        <f t="shared" si="1"/>
        <v/>
      </c>
      <c r="C117" s="250" t="str">
        <f>IF(主要!J62&lt;&gt;"",主要!J62,"")</f>
        <v/>
      </c>
      <c r="D117" s="252" t="str">
        <f>IFERROR(VLOOKUP(B117,列表!$B:$T,17,FALSE),"")</f>
        <v/>
      </c>
      <c r="P117" s="251" t="s">
        <v>814</v>
      </c>
      <c r="Q117" s="251" t="s">
        <v>815</v>
      </c>
      <c r="R117" s="251" t="s">
        <v>816</v>
      </c>
      <c r="AK117" s="296" t="s">
        <v>558</v>
      </c>
      <c r="AL117" s="296"/>
      <c r="AM117" s="296"/>
      <c r="AN117" s="296">
        <v>1</v>
      </c>
      <c r="AO117" s="296">
        <v>2</v>
      </c>
      <c r="AP117" s="296"/>
      <c r="AQ117" s="296"/>
      <c r="AR117" s="296"/>
      <c r="AS117" s="296"/>
      <c r="AT117" s="296" t="s">
        <v>797</v>
      </c>
      <c r="AU117" s="296" t="s">
        <v>798</v>
      </c>
      <c r="AV117" s="296" t="s">
        <v>799</v>
      </c>
      <c r="AW117" s="296" t="s">
        <v>706</v>
      </c>
      <c r="AX117" s="296" t="s">
        <v>800</v>
      </c>
      <c r="AY117" s="296"/>
      <c r="AZ117" s="296"/>
      <c r="BA117" s="296" t="s">
        <v>643</v>
      </c>
      <c r="BB117" s="296" t="s">
        <v>801</v>
      </c>
      <c r="BC117" s="296" t="s">
        <v>802</v>
      </c>
      <c r="BD117" s="296" t="s">
        <v>803</v>
      </c>
      <c r="BE117" s="296" t="s">
        <v>817</v>
      </c>
      <c r="BF117" s="296" t="s">
        <v>818</v>
      </c>
      <c r="BG117" s="296" t="s">
        <v>819</v>
      </c>
      <c r="BH117" s="296" t="s">
        <v>820</v>
      </c>
      <c r="BI117" s="296"/>
      <c r="BJ117" s="296"/>
      <c r="BK117" s="296"/>
      <c r="BL117" s="296"/>
      <c r="BM117" s="296"/>
      <c r="BN117" s="296"/>
      <c r="BO117" s="296"/>
      <c r="BP117" s="296"/>
    </row>
    <row r="118" customHeight="1" spans="1:68">
      <c r="A118" s="294">
        <v>26</v>
      </c>
      <c r="B118" s="250" t="str">
        <f t="shared" si="1"/>
        <v/>
      </c>
      <c r="C118" s="250" t="str">
        <f>IF(主要!J63&lt;&gt;"",主要!J63,"")</f>
        <v/>
      </c>
      <c r="D118" s="252" t="str">
        <f>IFERROR(VLOOKUP(B118,列表!$B:$T,17,FALSE),"")</f>
        <v/>
      </c>
      <c r="P118" s="251" t="s">
        <v>821</v>
      </c>
      <c r="Q118" s="251" t="s">
        <v>822</v>
      </c>
      <c r="R118" s="251" t="s">
        <v>823</v>
      </c>
      <c r="AK118" s="296" t="s">
        <v>559</v>
      </c>
      <c r="AL118" s="296"/>
      <c r="AM118" s="296"/>
      <c r="AN118" s="296"/>
      <c r="AO118" s="296"/>
      <c r="AP118" s="296"/>
      <c r="AQ118" s="296">
        <v>2</v>
      </c>
      <c r="AR118" s="296">
        <v>1</v>
      </c>
      <c r="AS118" s="296">
        <v>1</v>
      </c>
      <c r="AT118" s="296" t="s">
        <v>824</v>
      </c>
      <c r="AU118" s="296" t="s">
        <v>825</v>
      </c>
      <c r="AV118" s="296" t="s">
        <v>826</v>
      </c>
      <c r="AW118" s="296" t="s">
        <v>631</v>
      </c>
      <c r="AX118" s="296" t="s">
        <v>827</v>
      </c>
      <c r="AY118" s="296"/>
      <c r="AZ118" s="296"/>
      <c r="BA118" s="296" t="s">
        <v>643</v>
      </c>
      <c r="BB118" s="296" t="s">
        <v>828</v>
      </c>
      <c r="BC118" s="296" t="s">
        <v>661</v>
      </c>
      <c r="BD118" s="296" t="s">
        <v>662</v>
      </c>
      <c r="BE118" s="296" t="s">
        <v>829</v>
      </c>
      <c r="BF118" s="296" t="s">
        <v>830</v>
      </c>
      <c r="BG118" s="296"/>
      <c r="BH118" s="296"/>
      <c r="BI118" s="296"/>
      <c r="BJ118" s="296"/>
      <c r="BK118" s="296"/>
      <c r="BL118" s="296"/>
      <c r="BM118" s="296"/>
      <c r="BN118" s="296"/>
      <c r="BO118" s="296"/>
      <c r="BP118" s="296"/>
    </row>
    <row r="119" customHeight="1" spans="1:68">
      <c r="A119" s="294">
        <v>27</v>
      </c>
      <c r="B119" s="250" t="str">
        <f t="shared" si="1"/>
        <v/>
      </c>
      <c r="C119" s="250" t="str">
        <f>IF(主要!J64&lt;&gt;"",主要!J64,"")</f>
        <v/>
      </c>
      <c r="D119" s="252" t="str">
        <f>IFERROR(VLOOKUP(B119,列表!$B:$T,17,FALSE),"")</f>
        <v/>
      </c>
      <c r="P119" s="251" t="s">
        <v>831</v>
      </c>
      <c r="Q119" s="251" t="s">
        <v>822</v>
      </c>
      <c r="R119" s="251" t="s">
        <v>816</v>
      </c>
      <c r="AK119" s="296" t="s">
        <v>560</v>
      </c>
      <c r="AL119" s="296"/>
      <c r="AM119" s="296"/>
      <c r="AN119" s="296"/>
      <c r="AO119" s="296"/>
      <c r="AP119" s="296"/>
      <c r="AQ119" s="296">
        <v>2</v>
      </c>
      <c r="AR119" s="296">
        <v>1</v>
      </c>
      <c r="AS119" s="296">
        <v>1</v>
      </c>
      <c r="AT119" s="296" t="s">
        <v>824</v>
      </c>
      <c r="AU119" s="296" t="s">
        <v>825</v>
      </c>
      <c r="AV119" s="296" t="s">
        <v>826</v>
      </c>
      <c r="AW119" s="296" t="s">
        <v>631</v>
      </c>
      <c r="AX119" s="296" t="s">
        <v>827</v>
      </c>
      <c r="AY119" s="296"/>
      <c r="AZ119" s="296"/>
      <c r="BA119" s="296" t="s">
        <v>643</v>
      </c>
      <c r="BB119" s="296" t="s">
        <v>828</v>
      </c>
      <c r="BC119" s="296" t="s">
        <v>661</v>
      </c>
      <c r="BD119" s="296" t="s">
        <v>662</v>
      </c>
      <c r="BE119" s="296" t="s">
        <v>829</v>
      </c>
      <c r="BF119" s="296" t="s">
        <v>830</v>
      </c>
      <c r="BG119" s="296"/>
      <c r="BH119" s="296"/>
      <c r="BI119" s="296"/>
      <c r="BJ119" s="296"/>
      <c r="BK119" s="296"/>
      <c r="BL119" s="296"/>
      <c r="BM119" s="296"/>
      <c r="BN119" s="296"/>
      <c r="BO119" s="296"/>
      <c r="BP119" s="296"/>
    </row>
    <row r="120" customHeight="1" spans="1:68">
      <c r="A120" s="294">
        <v>28</v>
      </c>
      <c r="B120" s="250" t="str">
        <f t="shared" si="1"/>
        <v/>
      </c>
      <c r="C120" s="250" t="str">
        <f>IF(主要!J65&lt;&gt;"",主要!J65,"")</f>
        <v/>
      </c>
      <c r="D120" s="252" t="str">
        <f>IFERROR(VLOOKUP(B120,列表!$B:$T,17,FALSE),"")</f>
        <v/>
      </c>
      <c r="P120" s="251" t="s">
        <v>832</v>
      </c>
      <c r="Q120" s="251" t="s">
        <v>754</v>
      </c>
      <c r="R120" s="251" t="s">
        <v>786</v>
      </c>
      <c r="AK120" s="296" t="s">
        <v>561</v>
      </c>
      <c r="AL120" s="296"/>
      <c r="AM120" s="296"/>
      <c r="AN120" s="296"/>
      <c r="AO120" s="296"/>
      <c r="AP120" s="296"/>
      <c r="AQ120" s="296">
        <v>2</v>
      </c>
      <c r="AR120" s="296">
        <v>1</v>
      </c>
      <c r="AS120" s="296">
        <v>1</v>
      </c>
      <c r="AT120" s="296" t="s">
        <v>824</v>
      </c>
      <c r="AU120" s="296" t="s">
        <v>825</v>
      </c>
      <c r="AV120" s="296" t="s">
        <v>826</v>
      </c>
      <c r="AW120" s="296" t="s">
        <v>631</v>
      </c>
      <c r="AX120" s="296" t="s">
        <v>827</v>
      </c>
      <c r="AY120" s="296"/>
      <c r="AZ120" s="296"/>
      <c r="BA120" s="296" t="s">
        <v>643</v>
      </c>
      <c r="BB120" s="296" t="s">
        <v>828</v>
      </c>
      <c r="BC120" s="296" t="s">
        <v>661</v>
      </c>
      <c r="BD120" s="296" t="s">
        <v>662</v>
      </c>
      <c r="BE120" s="296" t="s">
        <v>829</v>
      </c>
      <c r="BF120" s="296" t="s">
        <v>830</v>
      </c>
      <c r="BG120" s="296"/>
      <c r="BH120" s="296"/>
      <c r="BI120" s="296"/>
      <c r="BJ120" s="296"/>
      <c r="BK120" s="296"/>
      <c r="BL120" s="296"/>
      <c r="BM120" s="296"/>
      <c r="BN120" s="296"/>
      <c r="BO120" s="296"/>
      <c r="BP120" s="296"/>
    </row>
    <row r="121" customHeight="1" spans="1:68">
      <c r="A121" s="294">
        <v>29</v>
      </c>
      <c r="B121" s="250" t="str">
        <f t="shared" si="1"/>
        <v/>
      </c>
      <c r="C121" s="250" t="str">
        <f>IF(主要!J66&lt;&gt;"",主要!J66,"")</f>
        <v/>
      </c>
      <c r="D121" s="252" t="str">
        <f>IFERROR(VLOOKUP(B121,列表!$B:$T,17,FALSE),"")</f>
        <v/>
      </c>
      <c r="P121" s="251" t="s">
        <v>833</v>
      </c>
      <c r="Q121" s="251" t="s">
        <v>754</v>
      </c>
      <c r="R121" s="251" t="s">
        <v>786</v>
      </c>
      <c r="AK121" s="296" t="s">
        <v>562</v>
      </c>
      <c r="AL121" s="296"/>
      <c r="AM121" s="296"/>
      <c r="AN121" s="296"/>
      <c r="AO121" s="296"/>
      <c r="AP121" s="296"/>
      <c r="AQ121" s="296">
        <v>2</v>
      </c>
      <c r="AR121" s="296">
        <v>1</v>
      </c>
      <c r="AS121" s="296">
        <v>1</v>
      </c>
      <c r="AT121" s="296" t="s">
        <v>824</v>
      </c>
      <c r="AU121" s="296" t="s">
        <v>825</v>
      </c>
      <c r="AV121" s="296" t="s">
        <v>826</v>
      </c>
      <c r="AW121" s="296" t="s">
        <v>631</v>
      </c>
      <c r="AX121" s="296" t="s">
        <v>827</v>
      </c>
      <c r="AY121" s="296"/>
      <c r="AZ121" s="296"/>
      <c r="BA121" s="296" t="s">
        <v>643</v>
      </c>
      <c r="BB121" s="296" t="s">
        <v>828</v>
      </c>
      <c r="BC121" s="296" t="s">
        <v>661</v>
      </c>
      <c r="BD121" s="296" t="s">
        <v>662</v>
      </c>
      <c r="BE121" s="296" t="s">
        <v>829</v>
      </c>
      <c r="BF121" s="296" t="s">
        <v>830</v>
      </c>
      <c r="BG121" s="296"/>
      <c r="BH121" s="296"/>
      <c r="BI121" s="296"/>
      <c r="BJ121" s="296"/>
      <c r="BK121" s="296"/>
      <c r="BL121" s="296"/>
      <c r="BM121" s="296"/>
      <c r="BN121" s="296"/>
      <c r="BO121" s="296"/>
      <c r="BP121" s="296"/>
    </row>
    <row r="122" customHeight="1" spans="1:68">
      <c r="A122" s="294">
        <v>30</v>
      </c>
      <c r="B122" s="250" t="str">
        <f t="shared" si="1"/>
        <v/>
      </c>
      <c r="C122" s="250" t="str">
        <f>IF(主要!J67&lt;&gt;"",主要!J67,"")</f>
        <v/>
      </c>
      <c r="D122" s="252" t="str">
        <f>IFERROR(VLOOKUP(B122,列表!$B:$T,17,FALSE),"")</f>
        <v/>
      </c>
      <c r="P122" s="251" t="s">
        <v>834</v>
      </c>
      <c r="Q122" s="251"/>
      <c r="R122" s="251"/>
      <c r="AK122" s="296" t="s">
        <v>835</v>
      </c>
      <c r="AL122" s="296"/>
      <c r="AM122" s="296"/>
      <c r="AN122" s="296"/>
      <c r="AO122" s="296"/>
      <c r="AP122" s="296"/>
      <c r="AQ122" s="296">
        <v>2</v>
      </c>
      <c r="AR122" s="296">
        <v>1</v>
      </c>
      <c r="AS122" s="296">
        <v>1</v>
      </c>
      <c r="AT122" s="296" t="s">
        <v>824</v>
      </c>
      <c r="AU122" s="296" t="s">
        <v>825</v>
      </c>
      <c r="AV122" s="296" t="s">
        <v>826</v>
      </c>
      <c r="AW122" s="296" t="s">
        <v>631</v>
      </c>
      <c r="AX122" s="296" t="s">
        <v>827</v>
      </c>
      <c r="AY122" s="296"/>
      <c r="AZ122" s="296"/>
      <c r="BA122" s="296" t="s">
        <v>643</v>
      </c>
      <c r="BB122" s="296" t="s">
        <v>828</v>
      </c>
      <c r="BC122" s="296" t="s">
        <v>661</v>
      </c>
      <c r="BD122" s="296" t="s">
        <v>662</v>
      </c>
      <c r="BE122" s="296" t="s">
        <v>829</v>
      </c>
      <c r="BF122" s="296" t="s">
        <v>830</v>
      </c>
      <c r="BG122" s="296"/>
      <c r="BH122" s="296"/>
      <c r="BI122" s="296"/>
      <c r="BJ122" s="296"/>
      <c r="BK122" s="296"/>
      <c r="BL122" s="296"/>
      <c r="BM122" s="296"/>
      <c r="BN122" s="296"/>
      <c r="BO122" s="296"/>
      <c r="BP122" s="296"/>
    </row>
    <row r="123" customHeight="1" spans="1:68">
      <c r="A123" s="297">
        <v>31</v>
      </c>
      <c r="B123" s="250" t="str">
        <f t="shared" si="1"/>
        <v/>
      </c>
      <c r="C123" s="250" t="str">
        <f>IF(主要!Q53&lt;&gt;"",主要!Q53,"")</f>
        <v/>
      </c>
      <c r="D123" s="252" t="str">
        <f>IFERROR(VLOOKUP(B123,列表!$B:$T,17,FALSE),"")</f>
        <v/>
      </c>
      <c r="P123" s="251" t="s">
        <v>836</v>
      </c>
      <c r="Q123" s="251" t="s">
        <v>774</v>
      </c>
      <c r="R123" s="251" t="s">
        <v>746</v>
      </c>
      <c r="AK123" s="296" t="s">
        <v>564</v>
      </c>
      <c r="AL123" s="296"/>
      <c r="AM123" s="296"/>
      <c r="AN123" s="296"/>
      <c r="AO123" s="296"/>
      <c r="AP123" s="296"/>
      <c r="AQ123" s="296">
        <v>2</v>
      </c>
      <c r="AR123" s="296">
        <v>1</v>
      </c>
      <c r="AS123" s="296">
        <v>1</v>
      </c>
      <c r="AT123" s="296" t="s">
        <v>824</v>
      </c>
      <c r="AU123" s="296" t="s">
        <v>825</v>
      </c>
      <c r="AV123" s="296" t="s">
        <v>826</v>
      </c>
      <c r="AW123" s="296" t="s">
        <v>631</v>
      </c>
      <c r="AX123" s="296" t="s">
        <v>827</v>
      </c>
      <c r="AY123" s="296"/>
      <c r="AZ123" s="296"/>
      <c r="BA123" s="296" t="s">
        <v>643</v>
      </c>
      <c r="BB123" s="296" t="s">
        <v>828</v>
      </c>
      <c r="BC123" s="296" t="s">
        <v>661</v>
      </c>
      <c r="BD123" s="296" t="s">
        <v>662</v>
      </c>
      <c r="BE123" s="296" t="s">
        <v>829</v>
      </c>
      <c r="BF123" s="296" t="s">
        <v>830</v>
      </c>
      <c r="BG123" s="296"/>
      <c r="BH123" s="296"/>
      <c r="BI123" s="296"/>
      <c r="BJ123" s="296"/>
      <c r="BK123" s="296"/>
      <c r="BL123" s="296"/>
      <c r="BM123" s="296"/>
      <c r="BN123" s="296"/>
      <c r="BO123" s="296"/>
      <c r="BP123" s="296"/>
    </row>
    <row r="124" customHeight="1" spans="1:68">
      <c r="A124" s="297">
        <v>32</v>
      </c>
      <c r="B124" s="250" t="str">
        <f t="shared" si="1"/>
        <v/>
      </c>
      <c r="C124" s="250" t="str">
        <f>IF(主要!Q54&lt;&gt;"",主要!Q54,"")</f>
        <v/>
      </c>
      <c r="D124" s="252" t="str">
        <f>IFERROR(VLOOKUP(B124,列表!$B:$T,17,FALSE),"")</f>
        <v/>
      </c>
      <c r="P124" s="251" t="s">
        <v>837</v>
      </c>
      <c r="Q124" s="251" t="s">
        <v>838</v>
      </c>
      <c r="R124" s="251" t="s">
        <v>786</v>
      </c>
      <c r="AK124" s="296" t="s">
        <v>565</v>
      </c>
      <c r="AL124" s="296">
        <v>2</v>
      </c>
      <c r="AM124" s="296"/>
      <c r="AN124" s="296">
        <v>1</v>
      </c>
      <c r="AO124" s="296"/>
      <c r="AP124" s="296"/>
      <c r="AQ124" s="296"/>
      <c r="AR124" s="296"/>
      <c r="AS124" s="296"/>
      <c r="AT124" s="296" t="s">
        <v>839</v>
      </c>
      <c r="AU124" s="296" t="s">
        <v>840</v>
      </c>
      <c r="AV124" s="296" t="s">
        <v>841</v>
      </c>
      <c r="AW124" s="296" t="s">
        <v>631</v>
      </c>
      <c r="AX124" s="296" t="s">
        <v>842</v>
      </c>
      <c r="AY124" s="296"/>
      <c r="AZ124" s="296"/>
      <c r="BA124" s="296" t="s">
        <v>643</v>
      </c>
      <c r="BB124" s="296" t="s">
        <v>843</v>
      </c>
      <c r="BC124" s="296" t="s">
        <v>844</v>
      </c>
      <c r="BD124" s="296" t="s">
        <v>845</v>
      </c>
      <c r="BE124" s="296" t="s">
        <v>846</v>
      </c>
      <c r="BF124" s="296" t="s">
        <v>847</v>
      </c>
      <c r="BG124" s="296" t="s">
        <v>848</v>
      </c>
      <c r="BH124" s="296" t="s">
        <v>849</v>
      </c>
      <c r="BI124" s="296"/>
      <c r="BJ124" s="296"/>
      <c r="BK124" s="296"/>
      <c r="BL124" s="296"/>
      <c r="BM124" s="296"/>
      <c r="BN124" s="296"/>
      <c r="BO124" s="296"/>
      <c r="BP124" s="296"/>
    </row>
    <row r="125" customHeight="1" spans="1:68">
      <c r="A125" s="297">
        <v>33</v>
      </c>
      <c r="B125" s="250" t="str">
        <f t="shared" si="1"/>
        <v/>
      </c>
      <c r="C125" s="250" t="str">
        <f>IF(主要!Q55&lt;&gt;"",主要!Q55,"")</f>
        <v/>
      </c>
      <c r="D125" s="252" t="str">
        <f>IFERROR(VLOOKUP(B125,列表!$B:$T,17,FALSE),"")</f>
        <v/>
      </c>
      <c r="P125" s="251" t="s">
        <v>850</v>
      </c>
      <c r="Q125" s="251" t="s">
        <v>778</v>
      </c>
      <c r="R125" s="251" t="s">
        <v>792</v>
      </c>
      <c r="AK125" s="296" t="s">
        <v>566</v>
      </c>
      <c r="AL125" s="296"/>
      <c r="AM125" s="296"/>
      <c r="AN125" s="296"/>
      <c r="AO125" s="296">
        <v>1</v>
      </c>
      <c r="AP125" s="296"/>
      <c r="AQ125" s="296">
        <v>2</v>
      </c>
      <c r="AR125" s="296"/>
      <c r="AS125" s="296"/>
      <c r="AT125" s="296" t="s">
        <v>851</v>
      </c>
      <c r="AU125" s="296" t="s">
        <v>852</v>
      </c>
      <c r="AV125" s="296" t="s">
        <v>853</v>
      </c>
      <c r="AW125" s="296" t="s">
        <v>631</v>
      </c>
      <c r="AX125" s="296" t="s">
        <v>854</v>
      </c>
      <c r="AY125" s="296"/>
      <c r="AZ125" s="296"/>
      <c r="BA125" s="296" t="s">
        <v>643</v>
      </c>
      <c r="BB125" s="296" t="s">
        <v>855</v>
      </c>
      <c r="BC125" s="296" t="s">
        <v>856</v>
      </c>
      <c r="BD125" s="296" t="s">
        <v>857</v>
      </c>
      <c r="BE125" s="296" t="s">
        <v>858</v>
      </c>
      <c r="BF125" s="296" t="s">
        <v>859</v>
      </c>
      <c r="BG125" s="296" t="s">
        <v>860</v>
      </c>
      <c r="BH125" s="296" t="s">
        <v>861</v>
      </c>
      <c r="BI125" s="296" t="s">
        <v>862</v>
      </c>
      <c r="BJ125" s="296" t="s">
        <v>863</v>
      </c>
      <c r="BK125" s="296"/>
      <c r="BL125" s="296"/>
      <c r="BM125" s="296"/>
      <c r="BN125" s="296"/>
      <c r="BO125" s="296"/>
      <c r="BP125" s="296"/>
    </row>
    <row r="126" customHeight="1" spans="1:68">
      <c r="A126" s="297">
        <v>34</v>
      </c>
      <c r="B126" s="250" t="str">
        <f t="shared" ref="B126:B157" si="2">B34</f>
        <v/>
      </c>
      <c r="C126" s="250" t="str">
        <f>IF(主要!Q56&lt;&gt;"",主要!Q56,"")</f>
        <v/>
      </c>
      <c r="D126" s="252" t="str">
        <f>IFERROR(VLOOKUP(B126,列表!$B:$T,17,FALSE),"")</f>
        <v/>
      </c>
      <c r="P126" s="251" t="s">
        <v>864</v>
      </c>
      <c r="Q126" s="251" t="s">
        <v>865</v>
      </c>
      <c r="R126" s="251" t="s">
        <v>866</v>
      </c>
      <c r="AK126" s="296" t="s">
        <v>567</v>
      </c>
      <c r="AL126" s="296"/>
      <c r="AM126" s="296">
        <v>2</v>
      </c>
      <c r="AN126" s="296"/>
      <c r="AO126" s="296">
        <v>1</v>
      </c>
      <c r="AP126" s="296"/>
      <c r="AQ126" s="296"/>
      <c r="AR126" s="296"/>
      <c r="AS126" s="296"/>
      <c r="AT126" s="296" t="s">
        <v>851</v>
      </c>
      <c r="AU126" s="296" t="s">
        <v>852</v>
      </c>
      <c r="AV126" s="296" t="s">
        <v>853</v>
      </c>
      <c r="AW126" s="296" t="s">
        <v>631</v>
      </c>
      <c r="AX126" s="296" t="s">
        <v>854</v>
      </c>
      <c r="AY126" s="296"/>
      <c r="AZ126" s="296"/>
      <c r="BA126" s="296" t="s">
        <v>643</v>
      </c>
      <c r="BB126" s="296" t="s">
        <v>855</v>
      </c>
      <c r="BC126" s="296" t="s">
        <v>856</v>
      </c>
      <c r="BD126" s="296" t="s">
        <v>857</v>
      </c>
      <c r="BE126" s="296" t="s">
        <v>867</v>
      </c>
      <c r="BF126" s="296" t="s">
        <v>868</v>
      </c>
      <c r="BG126" s="296" t="s">
        <v>869</v>
      </c>
      <c r="BH126" s="296" t="s">
        <v>870</v>
      </c>
      <c r="BI126" s="296" t="s">
        <v>871</v>
      </c>
      <c r="BJ126" s="296" t="s">
        <v>872</v>
      </c>
      <c r="BK126" s="296"/>
      <c r="BL126" s="296"/>
      <c r="BM126" s="296"/>
      <c r="BN126" s="296"/>
      <c r="BO126" s="296"/>
      <c r="BP126" s="296"/>
    </row>
    <row r="127" customHeight="1" spans="1:68">
      <c r="A127" s="297">
        <v>35</v>
      </c>
      <c r="B127" s="250" t="str">
        <f t="shared" si="2"/>
        <v/>
      </c>
      <c r="C127" s="250" t="str">
        <f>IF(主要!Q57&lt;&gt;"",主要!Q57,"")</f>
        <v/>
      </c>
      <c r="D127" s="252" t="str">
        <f>IFERROR(VLOOKUP(B127,列表!$B:$T,17,FALSE),"")</f>
        <v/>
      </c>
      <c r="P127" s="251" t="s">
        <v>873</v>
      </c>
      <c r="Q127" s="251" t="s">
        <v>874</v>
      </c>
      <c r="R127" s="251" t="s">
        <v>779</v>
      </c>
      <c r="AK127" s="296" t="s">
        <v>568</v>
      </c>
      <c r="AL127" s="296"/>
      <c r="AM127" s="296"/>
      <c r="AN127" s="296"/>
      <c r="AO127" s="296">
        <v>1</v>
      </c>
      <c r="AP127" s="296"/>
      <c r="AQ127" s="296">
        <v>2</v>
      </c>
      <c r="AR127" s="296"/>
      <c r="AS127" s="296"/>
      <c r="AT127" s="296" t="s">
        <v>851</v>
      </c>
      <c r="AU127" s="296" t="s">
        <v>852</v>
      </c>
      <c r="AV127" s="296" t="s">
        <v>853</v>
      </c>
      <c r="AW127" s="296" t="s">
        <v>631</v>
      </c>
      <c r="AX127" s="296" t="s">
        <v>854</v>
      </c>
      <c r="AY127" s="296"/>
      <c r="AZ127" s="296"/>
      <c r="BA127" s="296" t="s">
        <v>643</v>
      </c>
      <c r="BB127" s="296" t="s">
        <v>855</v>
      </c>
      <c r="BC127" s="296" t="s">
        <v>856</v>
      </c>
      <c r="BD127" s="296" t="s">
        <v>857</v>
      </c>
      <c r="BE127" s="296"/>
      <c r="BF127" s="296"/>
      <c r="BG127" s="296"/>
      <c r="BH127" s="296"/>
      <c r="BI127" s="296"/>
      <c r="BJ127" s="296"/>
      <c r="BK127" s="296"/>
      <c r="BL127" s="296"/>
      <c r="BM127" s="296"/>
      <c r="BN127" s="296"/>
      <c r="BO127" s="296"/>
      <c r="BP127" s="296"/>
    </row>
    <row r="128" customHeight="1" spans="1:68">
      <c r="A128" s="297">
        <v>36</v>
      </c>
      <c r="B128" s="250" t="str">
        <f t="shared" si="2"/>
        <v/>
      </c>
      <c r="C128" s="250" t="str">
        <f>IF(主要!Q58&lt;&gt;"",主要!Q58,"")</f>
        <v/>
      </c>
      <c r="D128" s="252" t="str">
        <f>IFERROR(VLOOKUP(B128,列表!$B:$T,17,FALSE),"")</f>
        <v/>
      </c>
      <c r="P128" s="251" t="s">
        <v>875</v>
      </c>
      <c r="Q128" s="251" t="s">
        <v>774</v>
      </c>
      <c r="R128" s="251" t="s">
        <v>779</v>
      </c>
      <c r="AK128" s="296" t="s">
        <v>569</v>
      </c>
      <c r="AL128" s="296"/>
      <c r="AM128" s="296"/>
      <c r="AN128" s="296"/>
      <c r="AO128" s="296">
        <v>1</v>
      </c>
      <c r="AP128" s="296"/>
      <c r="AQ128" s="296">
        <v>2</v>
      </c>
      <c r="AR128" s="296"/>
      <c r="AS128" s="296"/>
      <c r="AT128" s="296" t="s">
        <v>851</v>
      </c>
      <c r="AU128" s="296" t="s">
        <v>852</v>
      </c>
      <c r="AV128" s="296" t="s">
        <v>853</v>
      </c>
      <c r="AW128" s="296" t="s">
        <v>631</v>
      </c>
      <c r="AX128" s="296" t="s">
        <v>854</v>
      </c>
      <c r="AY128" s="296"/>
      <c r="AZ128" s="296"/>
      <c r="BA128" s="296" t="s">
        <v>643</v>
      </c>
      <c r="BB128" s="296" t="s">
        <v>855</v>
      </c>
      <c r="BC128" s="296" t="s">
        <v>856</v>
      </c>
      <c r="BD128" s="296" t="s">
        <v>857</v>
      </c>
      <c r="BE128" s="296" t="s">
        <v>858</v>
      </c>
      <c r="BF128" s="296" t="s">
        <v>859</v>
      </c>
      <c r="BG128" s="296" t="s">
        <v>860</v>
      </c>
      <c r="BH128" s="296" t="s">
        <v>861</v>
      </c>
      <c r="BI128" s="296" t="s">
        <v>862</v>
      </c>
      <c r="BJ128" s="296" t="s">
        <v>863</v>
      </c>
      <c r="BK128" s="296"/>
      <c r="BL128" s="296"/>
      <c r="BM128" s="296"/>
      <c r="BN128" s="296"/>
      <c r="BO128" s="296"/>
      <c r="BP128" s="296"/>
    </row>
    <row r="129" customHeight="1" spans="1:68">
      <c r="A129" s="297">
        <v>37</v>
      </c>
      <c r="B129" s="250" t="str">
        <f t="shared" si="2"/>
        <v/>
      </c>
      <c r="C129" s="250" t="str">
        <f>IF(主要!Q59&lt;&gt;"",主要!Q59,"")</f>
        <v/>
      </c>
      <c r="D129" s="252" t="str">
        <f>IFERROR(VLOOKUP(B129,列表!$B:$T,17,FALSE),"")</f>
        <v/>
      </c>
      <c r="P129" s="251" t="s">
        <v>876</v>
      </c>
      <c r="Q129" s="251" t="s">
        <v>877</v>
      </c>
      <c r="R129" s="251" t="s">
        <v>779</v>
      </c>
      <c r="AK129" s="296" t="s">
        <v>570</v>
      </c>
      <c r="AL129" s="296"/>
      <c r="AM129" s="296"/>
      <c r="AN129" s="296"/>
      <c r="AO129" s="296">
        <v>1</v>
      </c>
      <c r="AP129" s="296"/>
      <c r="AQ129" s="296">
        <v>2</v>
      </c>
      <c r="AR129" s="296"/>
      <c r="AS129" s="296"/>
      <c r="AT129" s="296" t="s">
        <v>851</v>
      </c>
      <c r="AU129" s="296" t="s">
        <v>852</v>
      </c>
      <c r="AV129" s="296" t="s">
        <v>853</v>
      </c>
      <c r="AW129" s="296" t="s">
        <v>631</v>
      </c>
      <c r="AX129" s="296" t="s">
        <v>854</v>
      </c>
      <c r="AY129" s="296"/>
      <c r="AZ129" s="296"/>
      <c r="BA129" s="296" t="s">
        <v>643</v>
      </c>
      <c r="BB129" s="296" t="s">
        <v>855</v>
      </c>
      <c r="BC129" s="296" t="s">
        <v>856</v>
      </c>
      <c r="BD129" s="296" t="s">
        <v>857</v>
      </c>
      <c r="BE129" s="296" t="s">
        <v>878</v>
      </c>
      <c r="BF129" s="296" t="s">
        <v>879</v>
      </c>
      <c r="BG129" s="296"/>
      <c r="BH129" s="296"/>
      <c r="BI129" s="296"/>
      <c r="BJ129" s="296"/>
      <c r="BK129" s="296"/>
      <c r="BL129" s="296"/>
      <c r="BM129" s="296"/>
      <c r="BN129" s="296"/>
      <c r="BO129" s="296"/>
      <c r="BP129" s="296"/>
    </row>
    <row r="130" customHeight="1" spans="1:68">
      <c r="A130" s="297">
        <v>38</v>
      </c>
      <c r="B130" s="250" t="str">
        <f t="shared" si="2"/>
        <v/>
      </c>
      <c r="C130" s="250" t="str">
        <f>IF(主要!Q60&lt;&gt;"",主要!Q60,"")</f>
        <v/>
      </c>
      <c r="D130" s="252" t="str">
        <f>IFERROR(VLOOKUP(B130,列表!$B:$T,17,FALSE),"")</f>
        <v/>
      </c>
      <c r="P130" s="251" t="s">
        <v>880</v>
      </c>
      <c r="Q130" s="251" t="s">
        <v>881</v>
      </c>
      <c r="R130" s="251" t="s">
        <v>779</v>
      </c>
      <c r="AK130" s="296" t="s">
        <v>571</v>
      </c>
      <c r="AL130" s="296"/>
      <c r="AM130" s="296">
        <v>1</v>
      </c>
      <c r="AN130" s="296"/>
      <c r="AO130" s="296"/>
      <c r="AP130" s="296"/>
      <c r="AQ130" s="296">
        <v>2</v>
      </c>
      <c r="AR130" s="296"/>
      <c r="AS130" s="296"/>
      <c r="AT130" s="296" t="s">
        <v>851</v>
      </c>
      <c r="AU130" s="296" t="s">
        <v>852</v>
      </c>
      <c r="AV130" s="296" t="s">
        <v>853</v>
      </c>
      <c r="AW130" s="296" t="s">
        <v>631</v>
      </c>
      <c r="AX130" s="296" t="s">
        <v>854</v>
      </c>
      <c r="AY130" s="296"/>
      <c r="AZ130" s="296"/>
      <c r="BA130" s="296" t="s">
        <v>643</v>
      </c>
      <c r="BB130" s="296" t="s">
        <v>855</v>
      </c>
      <c r="BC130" s="296" t="s">
        <v>856</v>
      </c>
      <c r="BD130" s="296" t="s">
        <v>857</v>
      </c>
      <c r="BE130" s="296" t="s">
        <v>882</v>
      </c>
      <c r="BF130" s="296" t="s">
        <v>883</v>
      </c>
      <c r="BG130" s="296"/>
      <c r="BH130" s="296"/>
      <c r="BI130" s="296"/>
      <c r="BJ130" s="296"/>
      <c r="BK130" s="296"/>
      <c r="BL130" s="296"/>
      <c r="BM130" s="296"/>
      <c r="BN130" s="296"/>
      <c r="BO130" s="296"/>
      <c r="BP130" s="296"/>
    </row>
    <row r="131" customHeight="1" spans="1:68">
      <c r="A131" s="297">
        <v>39</v>
      </c>
      <c r="B131" s="250" t="str">
        <f t="shared" si="2"/>
        <v/>
      </c>
      <c r="C131" s="250" t="str">
        <f>IF(主要!Q61&lt;&gt;"",主要!Q61,"")</f>
        <v/>
      </c>
      <c r="D131" s="252" t="str">
        <f>IFERROR(VLOOKUP(B131,列表!$B:$T,17,FALSE),"")</f>
        <v/>
      </c>
      <c r="P131" s="251" t="s">
        <v>884</v>
      </c>
      <c r="Q131" s="251" t="s">
        <v>865</v>
      </c>
      <c r="R131" s="251" t="s">
        <v>866</v>
      </c>
      <c r="AK131" s="296" t="s">
        <v>572</v>
      </c>
      <c r="AL131" s="296"/>
      <c r="AM131" s="296"/>
      <c r="AN131" s="296"/>
      <c r="AO131" s="296"/>
      <c r="AP131" s="296">
        <v>1</v>
      </c>
      <c r="AQ131" s="296">
        <v>2</v>
      </c>
      <c r="AR131" s="296"/>
      <c r="AS131" s="296"/>
      <c r="AT131" s="296" t="s">
        <v>851</v>
      </c>
      <c r="AU131" s="296" t="s">
        <v>852</v>
      </c>
      <c r="AV131" s="296" t="s">
        <v>853</v>
      </c>
      <c r="AW131" s="296" t="s">
        <v>631</v>
      </c>
      <c r="AX131" s="296" t="s">
        <v>854</v>
      </c>
      <c r="AY131" s="296"/>
      <c r="AZ131" s="296"/>
      <c r="BA131" s="296" t="s">
        <v>643</v>
      </c>
      <c r="BB131" s="296" t="s">
        <v>855</v>
      </c>
      <c r="BC131" s="296" t="s">
        <v>856</v>
      </c>
      <c r="BD131" s="296" t="s">
        <v>857</v>
      </c>
      <c r="BE131" s="296" t="s">
        <v>885</v>
      </c>
      <c r="BF131" s="296" t="s">
        <v>886</v>
      </c>
      <c r="BG131" s="296"/>
      <c r="BH131" s="296"/>
      <c r="BI131" s="296"/>
      <c r="BJ131" s="296"/>
      <c r="BK131" s="296"/>
      <c r="BL131" s="296"/>
      <c r="BM131" s="296"/>
      <c r="BN131" s="296"/>
      <c r="BO131" s="296"/>
      <c r="BP131" s="296"/>
    </row>
    <row r="132" customHeight="1" spans="1:68">
      <c r="A132" s="297">
        <v>40</v>
      </c>
      <c r="B132" s="250" t="str">
        <f t="shared" si="2"/>
        <v/>
      </c>
      <c r="C132" s="250" t="str">
        <f>IF(主要!Q62&lt;&gt;"",主要!Q62,"")</f>
        <v/>
      </c>
      <c r="D132" s="252" t="str">
        <f>IFERROR(VLOOKUP(B132,列表!$B:$T,17,FALSE),"")</f>
        <v/>
      </c>
      <c r="P132" s="251" t="s">
        <v>887</v>
      </c>
      <c r="Q132" s="251" t="s">
        <v>774</v>
      </c>
      <c r="R132" s="251" t="s">
        <v>866</v>
      </c>
      <c r="AK132" s="296" t="s">
        <v>573</v>
      </c>
      <c r="AL132" s="296"/>
      <c r="AM132" s="296">
        <v>1</v>
      </c>
      <c r="AN132" s="296"/>
      <c r="AO132" s="296"/>
      <c r="AP132" s="296"/>
      <c r="AQ132" s="296">
        <v>2</v>
      </c>
      <c r="AR132" s="296"/>
      <c r="AS132" s="296"/>
      <c r="AT132" s="296" t="s">
        <v>851</v>
      </c>
      <c r="AU132" s="296" t="s">
        <v>852</v>
      </c>
      <c r="AV132" s="296" t="s">
        <v>853</v>
      </c>
      <c r="AW132" s="296" t="s">
        <v>631</v>
      </c>
      <c r="AX132" s="296" t="s">
        <v>854</v>
      </c>
      <c r="AY132" s="296"/>
      <c r="AZ132" s="296"/>
      <c r="BA132" s="296" t="s">
        <v>643</v>
      </c>
      <c r="BB132" s="296" t="s">
        <v>855</v>
      </c>
      <c r="BC132" s="296" t="s">
        <v>856</v>
      </c>
      <c r="BD132" s="296" t="s">
        <v>857</v>
      </c>
      <c r="BE132" s="296" t="s">
        <v>888</v>
      </c>
      <c r="BF132" s="296" t="s">
        <v>889</v>
      </c>
      <c r="BG132" s="296"/>
      <c r="BH132" s="296"/>
      <c r="BI132" s="296"/>
      <c r="BJ132" s="296"/>
      <c r="BK132" s="296"/>
      <c r="BL132" s="296"/>
      <c r="BM132" s="296"/>
      <c r="BN132" s="296"/>
      <c r="BO132" s="296"/>
      <c r="BP132" s="296"/>
    </row>
    <row r="133" customHeight="1" spans="1:68">
      <c r="A133" s="297">
        <v>41</v>
      </c>
      <c r="B133" s="250" t="str">
        <f t="shared" si="2"/>
        <v/>
      </c>
      <c r="C133" s="250" t="str">
        <f>IF(主要!Q63&lt;&gt;"",主要!Q63,"")</f>
        <v/>
      </c>
      <c r="D133" s="252" t="str">
        <f>IFERROR(VLOOKUP(B133,列表!$B:$T,17,FALSE),"")</f>
        <v/>
      </c>
      <c r="P133" s="251" t="s">
        <v>890</v>
      </c>
      <c r="Q133" s="251" t="s">
        <v>778</v>
      </c>
      <c r="R133" s="251" t="s">
        <v>779</v>
      </c>
      <c r="AK133" s="296" t="s">
        <v>574</v>
      </c>
      <c r="AL133" s="296"/>
      <c r="AM133" s="296"/>
      <c r="AN133" s="296">
        <v>1</v>
      </c>
      <c r="AO133" s="296"/>
      <c r="AP133" s="296"/>
      <c r="AQ133" s="296">
        <v>2</v>
      </c>
      <c r="AR133" s="296"/>
      <c r="AS133" s="296"/>
      <c r="AT133" s="296" t="s">
        <v>851</v>
      </c>
      <c r="AU133" s="296" t="s">
        <v>852</v>
      </c>
      <c r="AV133" s="296" t="s">
        <v>853</v>
      </c>
      <c r="AW133" s="296" t="s">
        <v>631</v>
      </c>
      <c r="AX133" s="296" t="s">
        <v>854</v>
      </c>
      <c r="AY133" s="296"/>
      <c r="AZ133" s="296"/>
      <c r="BA133" s="296" t="s">
        <v>643</v>
      </c>
      <c r="BB133" s="296" t="s">
        <v>855</v>
      </c>
      <c r="BC133" s="296" t="s">
        <v>856</v>
      </c>
      <c r="BD133" s="296" t="s">
        <v>857</v>
      </c>
      <c r="BE133" s="296" t="s">
        <v>891</v>
      </c>
      <c r="BF133" s="296" t="s">
        <v>892</v>
      </c>
      <c r="BG133" s="296"/>
      <c r="BH133" s="296"/>
      <c r="BI133" s="296"/>
      <c r="BJ133" s="296"/>
      <c r="BK133" s="296"/>
      <c r="BL133" s="296"/>
      <c r="BM133" s="296"/>
      <c r="BN133" s="296"/>
      <c r="BO133" s="296"/>
      <c r="BP133" s="296"/>
    </row>
    <row r="134" customHeight="1" spans="1:68">
      <c r="A134" s="297">
        <v>42</v>
      </c>
      <c r="B134" s="250" t="str">
        <f t="shared" si="2"/>
        <v/>
      </c>
      <c r="C134" s="250" t="str">
        <f>IF(主要!Q64&lt;&gt;"",主要!Q64,"")</f>
        <v/>
      </c>
      <c r="D134" s="252" t="str">
        <f>IFERROR(VLOOKUP(B134,列表!$B:$T,17,FALSE),"")</f>
        <v/>
      </c>
      <c r="P134" s="251" t="s">
        <v>893</v>
      </c>
      <c r="Q134" s="251" t="s">
        <v>718</v>
      </c>
      <c r="R134" s="251" t="s">
        <v>779</v>
      </c>
      <c r="AK134" s="296" t="s">
        <v>575</v>
      </c>
      <c r="AL134" s="296"/>
      <c r="AM134" s="296"/>
      <c r="AN134" s="296"/>
      <c r="AO134" s="296">
        <v>1</v>
      </c>
      <c r="AP134" s="296"/>
      <c r="AQ134" s="296">
        <v>2</v>
      </c>
      <c r="AR134" s="296"/>
      <c r="AS134" s="296"/>
      <c r="AT134" s="296" t="s">
        <v>851</v>
      </c>
      <c r="AU134" s="296" t="s">
        <v>852</v>
      </c>
      <c r="AV134" s="296" t="s">
        <v>853</v>
      </c>
      <c r="AW134" s="296" t="s">
        <v>631</v>
      </c>
      <c r="AX134" s="296" t="s">
        <v>854</v>
      </c>
      <c r="AY134" s="296"/>
      <c r="AZ134" s="296"/>
      <c r="BA134" s="296" t="s">
        <v>643</v>
      </c>
      <c r="BB134" s="296" t="s">
        <v>855</v>
      </c>
      <c r="BC134" s="296" t="s">
        <v>856</v>
      </c>
      <c r="BD134" s="296" t="s">
        <v>857</v>
      </c>
      <c r="BE134" s="296" t="s">
        <v>894</v>
      </c>
      <c r="BF134" s="296" t="s">
        <v>895</v>
      </c>
      <c r="BG134" s="296"/>
      <c r="BH134" s="296"/>
      <c r="BI134" s="296"/>
      <c r="BJ134" s="296"/>
      <c r="BK134" s="296"/>
      <c r="BL134" s="296"/>
      <c r="BM134" s="296"/>
      <c r="BN134" s="296"/>
      <c r="BO134" s="296"/>
      <c r="BP134" s="296"/>
    </row>
    <row r="135" customHeight="1" spans="1:68">
      <c r="A135" s="297">
        <v>43</v>
      </c>
      <c r="B135" s="250" t="str">
        <f t="shared" si="2"/>
        <v/>
      </c>
      <c r="C135" s="250" t="str">
        <f>IF(主要!Q65&lt;&gt;"",主要!Q65,"")</f>
        <v/>
      </c>
      <c r="D135" s="252" t="str">
        <f>IFERROR(VLOOKUP(B135,列表!$B:$T,17,FALSE),"")</f>
        <v/>
      </c>
      <c r="P135" s="251" t="s">
        <v>896</v>
      </c>
      <c r="Q135" s="251" t="s">
        <v>778</v>
      </c>
      <c r="R135" s="251" t="s">
        <v>866</v>
      </c>
      <c r="AK135" s="296" t="s">
        <v>576</v>
      </c>
      <c r="AL135" s="296"/>
      <c r="AM135" s="296"/>
      <c r="AN135" s="296"/>
      <c r="AO135" s="296">
        <v>1</v>
      </c>
      <c r="AP135" s="296"/>
      <c r="AQ135" s="296">
        <v>2</v>
      </c>
      <c r="AR135" s="296"/>
      <c r="AS135" s="296"/>
      <c r="AT135" s="296" t="s">
        <v>851</v>
      </c>
      <c r="AU135" s="296" t="s">
        <v>852</v>
      </c>
      <c r="AV135" s="296" t="s">
        <v>853</v>
      </c>
      <c r="AW135" s="296" t="s">
        <v>631</v>
      </c>
      <c r="AX135" s="296" t="s">
        <v>854</v>
      </c>
      <c r="AY135" s="296"/>
      <c r="AZ135" s="296"/>
      <c r="BA135" s="296" t="s">
        <v>643</v>
      </c>
      <c r="BB135" s="296" t="s">
        <v>855</v>
      </c>
      <c r="BC135" s="296" t="s">
        <v>856</v>
      </c>
      <c r="BD135" s="296" t="s">
        <v>857</v>
      </c>
      <c r="BE135" s="296" t="s">
        <v>897</v>
      </c>
      <c r="BF135" s="296" t="s">
        <v>898</v>
      </c>
      <c r="BG135" s="296"/>
      <c r="BH135" s="296"/>
      <c r="BI135" s="296"/>
      <c r="BJ135" s="296"/>
      <c r="BK135" s="296"/>
      <c r="BL135" s="296"/>
      <c r="BM135" s="296"/>
      <c r="BN135" s="296"/>
      <c r="BO135" s="296"/>
      <c r="BP135" s="296"/>
    </row>
    <row r="136" customHeight="1" spans="1:68">
      <c r="A136" s="297">
        <v>44</v>
      </c>
      <c r="B136" s="250" t="str">
        <f t="shared" si="2"/>
        <v/>
      </c>
      <c r="C136" s="250" t="str">
        <f>IF(主要!Q66&lt;&gt;"",主要!Q66,"")</f>
        <v/>
      </c>
      <c r="D136" s="252" t="str">
        <f>IFERROR(VLOOKUP(B136,列表!$B:$T,17,FALSE),"")</f>
        <v/>
      </c>
      <c r="P136" s="251" t="s">
        <v>899</v>
      </c>
      <c r="Q136" s="251" t="s">
        <v>900</v>
      </c>
      <c r="R136" s="251" t="s">
        <v>900</v>
      </c>
      <c r="AK136" s="296" t="s">
        <v>577</v>
      </c>
      <c r="AL136" s="296">
        <v>1</v>
      </c>
      <c r="AM136" s="296"/>
      <c r="AN136" s="296"/>
      <c r="AO136" s="296"/>
      <c r="AP136" s="296"/>
      <c r="AQ136" s="296">
        <v>2</v>
      </c>
      <c r="AR136" s="296"/>
      <c r="AS136" s="296"/>
      <c r="AT136" s="296" t="s">
        <v>851</v>
      </c>
      <c r="AU136" s="296" t="s">
        <v>852</v>
      </c>
      <c r="AV136" s="296" t="s">
        <v>853</v>
      </c>
      <c r="AW136" s="296" t="s">
        <v>631</v>
      </c>
      <c r="AX136" s="296" t="s">
        <v>854</v>
      </c>
      <c r="AY136" s="296"/>
      <c r="AZ136" s="296"/>
      <c r="BA136" s="296" t="s">
        <v>643</v>
      </c>
      <c r="BB136" s="296" t="s">
        <v>855</v>
      </c>
      <c r="BC136" s="296" t="s">
        <v>856</v>
      </c>
      <c r="BD136" s="296" t="s">
        <v>857</v>
      </c>
      <c r="BE136" s="296" t="s">
        <v>901</v>
      </c>
      <c r="BF136" s="296" t="s">
        <v>902</v>
      </c>
      <c r="BG136" s="296"/>
      <c r="BH136" s="296"/>
      <c r="BI136" s="296"/>
      <c r="BJ136" s="296"/>
      <c r="BK136" s="296"/>
      <c r="BL136" s="296"/>
      <c r="BM136" s="296"/>
      <c r="BN136" s="296"/>
      <c r="BO136" s="296"/>
      <c r="BP136" s="296"/>
    </row>
    <row r="137" customHeight="1" spans="1:68">
      <c r="A137" s="297">
        <v>45</v>
      </c>
      <c r="B137" s="250" t="str">
        <f t="shared" si="2"/>
        <v/>
      </c>
      <c r="C137" s="250" t="str">
        <f>IF(主要!Q67&lt;&gt;"",主要!Q67,"")</f>
        <v/>
      </c>
      <c r="D137" s="252" t="str">
        <f>IFERROR(VLOOKUP(B137,列表!$B:$T,17,FALSE),"")</f>
        <v/>
      </c>
      <c r="AK137" s="296" t="s">
        <v>579</v>
      </c>
      <c r="AL137" s="296"/>
      <c r="AM137" s="296">
        <v>2</v>
      </c>
      <c r="AN137" s="296"/>
      <c r="AO137" s="296"/>
      <c r="AP137" s="296">
        <v>1</v>
      </c>
      <c r="AQ137" s="296"/>
      <c r="AR137" s="296"/>
      <c r="AS137" s="296"/>
      <c r="AT137" s="296" t="s">
        <v>903</v>
      </c>
      <c r="AU137" s="296" t="s">
        <v>904</v>
      </c>
      <c r="AV137" s="296" t="s">
        <v>905</v>
      </c>
      <c r="AW137" s="296" t="s">
        <v>906</v>
      </c>
      <c r="AX137" s="296" t="s">
        <v>907</v>
      </c>
      <c r="AY137" s="296"/>
      <c r="AZ137" s="296"/>
      <c r="BA137" s="296" t="s">
        <v>908</v>
      </c>
      <c r="BB137" s="296" t="s">
        <v>909</v>
      </c>
      <c r="BC137" s="296"/>
      <c r="BD137" s="296"/>
      <c r="BE137" s="296"/>
      <c r="BF137" s="296"/>
      <c r="BG137" s="296"/>
      <c r="BH137" s="296"/>
      <c r="BI137" s="296"/>
      <c r="BJ137" s="296"/>
      <c r="BK137" s="296"/>
      <c r="BL137" s="296"/>
      <c r="BM137" s="296"/>
      <c r="BN137" s="296"/>
      <c r="BO137" s="296"/>
      <c r="BP137" s="296"/>
    </row>
    <row r="138" customHeight="1" spans="1:68">
      <c r="A138" s="253">
        <v>46</v>
      </c>
      <c r="B138" s="250" t="str">
        <f t="shared" si="2"/>
        <v/>
      </c>
      <c r="C138" s="253"/>
      <c r="D138" s="252" t="str">
        <f>IFERROR(VLOOKUP(B138,列表!$B:$T,17,FALSE),"")</f>
        <v/>
      </c>
      <c r="AK138" s="296" t="s">
        <v>580</v>
      </c>
      <c r="AL138" s="296"/>
      <c r="AM138" s="296"/>
      <c r="AN138" s="296">
        <v>2</v>
      </c>
      <c r="AO138" s="296"/>
      <c r="AP138" s="296"/>
      <c r="AQ138" s="296"/>
      <c r="AR138" s="296"/>
      <c r="AS138" s="296"/>
      <c r="AT138" s="296" t="s">
        <v>910</v>
      </c>
      <c r="AU138" s="296" t="s">
        <v>911</v>
      </c>
      <c r="AV138" s="296" t="s">
        <v>912</v>
      </c>
      <c r="AW138" s="296" t="s">
        <v>913</v>
      </c>
      <c r="AX138" s="296" t="s">
        <v>914</v>
      </c>
      <c r="AY138" s="296"/>
      <c r="AZ138" s="296"/>
      <c r="BA138" s="296"/>
      <c r="BB138" s="296"/>
      <c r="BC138" s="296"/>
      <c r="BD138" s="296"/>
      <c r="BE138" s="296"/>
      <c r="BF138" s="296"/>
      <c r="BG138" s="296"/>
      <c r="BH138" s="296"/>
      <c r="BI138" s="296"/>
      <c r="BJ138" s="296"/>
      <c r="BK138" s="296"/>
      <c r="BL138" s="296"/>
      <c r="BM138" s="296"/>
      <c r="BN138" s="296"/>
      <c r="BO138" s="296"/>
      <c r="BP138" s="296"/>
    </row>
    <row r="139" customHeight="1" spans="1:68">
      <c r="A139" s="253">
        <v>47</v>
      </c>
      <c r="B139" s="250" t="str">
        <f t="shared" si="2"/>
        <v/>
      </c>
      <c r="C139" s="253"/>
      <c r="D139" s="252" t="str">
        <f>IFERROR(VLOOKUP(B139,列表!$B:$T,17,FALSE),"")</f>
        <v/>
      </c>
      <c r="AK139" s="296" t="s">
        <v>581</v>
      </c>
      <c r="AL139" s="296"/>
      <c r="AM139" s="296">
        <v>1</v>
      </c>
      <c r="AN139" s="296">
        <v>2</v>
      </c>
      <c r="AO139" s="296"/>
      <c r="AP139" s="296"/>
      <c r="AQ139" s="296"/>
      <c r="AR139" s="296"/>
      <c r="AS139" s="296"/>
      <c r="AT139" s="296" t="s">
        <v>910</v>
      </c>
      <c r="AU139" s="296" t="s">
        <v>911</v>
      </c>
      <c r="AV139" s="296" t="s">
        <v>912</v>
      </c>
      <c r="AW139" s="296" t="s">
        <v>913</v>
      </c>
      <c r="AX139" s="296" t="s">
        <v>914</v>
      </c>
      <c r="AY139" s="296"/>
      <c r="AZ139" s="296"/>
      <c r="BA139" s="296" t="s">
        <v>915</v>
      </c>
      <c r="BB139" s="296" t="s">
        <v>916</v>
      </c>
      <c r="BC139" s="296" t="s">
        <v>917</v>
      </c>
      <c r="BD139" s="296" t="s">
        <v>918</v>
      </c>
      <c r="BE139" s="296"/>
      <c r="BF139" s="296"/>
      <c r="BG139" s="296"/>
      <c r="BH139" s="296"/>
      <c r="BI139" s="296"/>
      <c r="BJ139" s="296"/>
      <c r="BK139" s="296"/>
      <c r="BL139" s="296"/>
      <c r="BM139" s="296"/>
      <c r="BN139" s="296"/>
      <c r="BO139" s="296"/>
      <c r="BP139" s="296"/>
    </row>
    <row r="140" customHeight="1" spans="1:68">
      <c r="A140" s="253">
        <v>48</v>
      </c>
      <c r="B140" s="250" t="str">
        <f t="shared" si="2"/>
        <v/>
      </c>
      <c r="C140" s="253"/>
      <c r="D140" s="252" t="str">
        <f>IFERROR(VLOOKUP(B140,列表!$B:$T,17,FALSE),"")</f>
        <v/>
      </c>
      <c r="AK140" s="296" t="s">
        <v>582</v>
      </c>
      <c r="AL140" s="296">
        <v>1</v>
      </c>
      <c r="AM140" s="296"/>
      <c r="AN140" s="296">
        <v>2</v>
      </c>
      <c r="AO140" s="296"/>
      <c r="AP140" s="296"/>
      <c r="AQ140" s="296"/>
      <c r="AR140" s="296"/>
      <c r="AS140" s="296"/>
      <c r="AT140" s="296" t="s">
        <v>910</v>
      </c>
      <c r="AU140" s="296" t="s">
        <v>911</v>
      </c>
      <c r="AV140" s="296" t="s">
        <v>912</v>
      </c>
      <c r="AW140" s="296" t="s">
        <v>913</v>
      </c>
      <c r="AX140" s="296" t="s">
        <v>914</v>
      </c>
      <c r="AY140" s="296"/>
      <c r="AZ140" s="296"/>
      <c r="BA140" s="296" t="s">
        <v>919</v>
      </c>
      <c r="BB140" s="296" t="s">
        <v>920</v>
      </c>
      <c r="BC140" s="296" t="s">
        <v>921</v>
      </c>
      <c r="BD140" s="296" t="s">
        <v>922</v>
      </c>
      <c r="BE140" s="296"/>
      <c r="BF140" s="296"/>
      <c r="BG140" s="296"/>
      <c r="BH140" s="296"/>
      <c r="BI140" s="296"/>
      <c r="BJ140" s="296"/>
      <c r="BK140" s="296"/>
      <c r="BL140" s="296"/>
      <c r="BM140" s="296"/>
      <c r="BN140" s="296"/>
      <c r="BO140" s="296"/>
      <c r="BP140" s="296"/>
    </row>
    <row r="141" customHeight="1" spans="1:68">
      <c r="A141" s="253">
        <v>49</v>
      </c>
      <c r="B141" s="250" t="str">
        <f t="shared" si="2"/>
        <v/>
      </c>
      <c r="C141" s="253"/>
      <c r="D141" s="252" t="str">
        <f>IFERROR(VLOOKUP(B141,列表!$B:$T,17,FALSE),"")</f>
        <v/>
      </c>
      <c r="AK141" s="296" t="s">
        <v>583</v>
      </c>
      <c r="AL141" s="296"/>
      <c r="AM141" s="296"/>
      <c r="AN141" s="296">
        <v>2</v>
      </c>
      <c r="AO141" s="296">
        <v>1</v>
      </c>
      <c r="AP141" s="296"/>
      <c r="AQ141" s="296"/>
      <c r="AR141" s="296"/>
      <c r="AS141" s="296"/>
      <c r="AT141" s="296" t="s">
        <v>910</v>
      </c>
      <c r="AU141" s="296" t="s">
        <v>911</v>
      </c>
      <c r="AV141" s="296" t="s">
        <v>912</v>
      </c>
      <c r="AW141" s="296" t="s">
        <v>913</v>
      </c>
      <c r="AX141" s="296" t="s">
        <v>914</v>
      </c>
      <c r="AY141" s="296"/>
      <c r="AZ141" s="296"/>
      <c r="BA141" s="296" t="s">
        <v>643</v>
      </c>
      <c r="BB141" s="296" t="s">
        <v>923</v>
      </c>
      <c r="BC141" s="296" t="s">
        <v>924</v>
      </c>
      <c r="BD141" s="296" t="s">
        <v>925</v>
      </c>
      <c r="BE141" s="296" t="s">
        <v>926</v>
      </c>
      <c r="BF141" s="296" t="s">
        <v>927</v>
      </c>
      <c r="BG141" s="296"/>
      <c r="BH141" s="296"/>
      <c r="BI141" s="296"/>
      <c r="BJ141" s="296"/>
      <c r="BK141" s="296"/>
      <c r="BL141" s="296"/>
      <c r="BM141" s="296"/>
      <c r="BN141" s="296"/>
      <c r="BO141" s="296"/>
      <c r="BP141" s="296"/>
    </row>
    <row r="142" customHeight="1" spans="1:68">
      <c r="A142" s="253">
        <v>50</v>
      </c>
      <c r="B142" s="250" t="str">
        <f t="shared" si="2"/>
        <v/>
      </c>
      <c r="C142" s="253"/>
      <c r="D142" s="252" t="str">
        <f>IFERROR(VLOOKUP(B142,列表!$B:$T,17,FALSE),"")</f>
        <v/>
      </c>
      <c r="AK142" s="296" t="s">
        <v>584</v>
      </c>
      <c r="AL142" s="296"/>
      <c r="AM142" s="296"/>
      <c r="AN142" s="296">
        <v>2</v>
      </c>
      <c r="AO142" s="296"/>
      <c r="AP142" s="296">
        <v>1</v>
      </c>
      <c r="AQ142" s="296"/>
      <c r="AR142" s="296"/>
      <c r="AS142" s="296"/>
      <c r="AT142" s="296" t="s">
        <v>910</v>
      </c>
      <c r="AU142" s="296" t="s">
        <v>911</v>
      </c>
      <c r="AV142" s="296" t="s">
        <v>912</v>
      </c>
      <c r="AW142" s="296" t="s">
        <v>913</v>
      </c>
      <c r="AX142" s="296" t="s">
        <v>914</v>
      </c>
      <c r="AY142" s="296"/>
      <c r="AZ142" s="296"/>
      <c r="BA142" s="296" t="s">
        <v>928</v>
      </c>
      <c r="BB142" s="296" t="s">
        <v>929</v>
      </c>
      <c r="BC142" s="296" t="s">
        <v>930</v>
      </c>
      <c r="BD142" s="296" t="s">
        <v>931</v>
      </c>
      <c r="BE142" s="296" t="s">
        <v>932</v>
      </c>
      <c r="BF142" s="296" t="s">
        <v>933</v>
      </c>
      <c r="BG142" s="296" t="s">
        <v>934</v>
      </c>
      <c r="BH142" s="296" t="s">
        <v>935</v>
      </c>
      <c r="BI142" s="296"/>
      <c r="BJ142" s="296"/>
      <c r="BK142" s="296"/>
      <c r="BL142" s="296"/>
      <c r="BM142" s="296"/>
      <c r="BN142" s="296"/>
      <c r="BO142" s="296"/>
      <c r="BP142" s="296"/>
    </row>
    <row r="143" customHeight="1" spans="1:68">
      <c r="A143" s="253">
        <v>51</v>
      </c>
      <c r="B143" s="250" t="str">
        <f t="shared" si="2"/>
        <v/>
      </c>
      <c r="C143" s="253"/>
      <c r="D143" s="252" t="str">
        <f>IFERROR(VLOOKUP(B143,列表!$B:$T,17,FALSE),"")</f>
        <v/>
      </c>
      <c r="AK143" s="296" t="s">
        <v>585</v>
      </c>
      <c r="AL143" s="296">
        <v>1</v>
      </c>
      <c r="AM143" s="296"/>
      <c r="AN143" s="296"/>
      <c r="AO143" s="296"/>
      <c r="AP143" s="296">
        <v>2</v>
      </c>
      <c r="AQ143" s="296"/>
      <c r="AR143" s="296"/>
      <c r="AS143" s="296"/>
      <c r="AT143" s="296" t="s">
        <v>936</v>
      </c>
      <c r="AU143" s="296" t="s">
        <v>937</v>
      </c>
      <c r="AV143" s="296" t="s">
        <v>938</v>
      </c>
      <c r="AW143" s="296" t="s">
        <v>939</v>
      </c>
      <c r="AX143" s="296" t="s">
        <v>940</v>
      </c>
      <c r="AY143" s="296"/>
      <c r="AZ143" s="296"/>
      <c r="BA143" s="296" t="s">
        <v>941</v>
      </c>
      <c r="BB143" s="296" t="s">
        <v>942</v>
      </c>
      <c r="BC143" s="296" t="s">
        <v>943</v>
      </c>
      <c r="BD143" s="296" t="s">
        <v>944</v>
      </c>
      <c r="BE143" s="296" t="s">
        <v>945</v>
      </c>
      <c r="BF143" s="296" t="s">
        <v>946</v>
      </c>
      <c r="BG143" s="296" t="s">
        <v>947</v>
      </c>
      <c r="BH143" s="296" t="s">
        <v>948</v>
      </c>
      <c r="BI143" s="296"/>
      <c r="BJ143" s="296"/>
      <c r="BK143" s="296"/>
      <c r="BL143" s="296"/>
      <c r="BM143" s="296"/>
      <c r="BN143" s="296"/>
      <c r="BO143" s="296"/>
      <c r="BP143" s="296"/>
    </row>
    <row r="144" customHeight="1" spans="1:68">
      <c r="A144" s="253">
        <v>52</v>
      </c>
      <c r="B144" s="250" t="str">
        <f t="shared" si="2"/>
        <v/>
      </c>
      <c r="C144" s="253"/>
      <c r="D144" s="252" t="str">
        <f>IFERROR(VLOOKUP(B144,列表!$B:$T,17,FALSE),"")</f>
        <v/>
      </c>
      <c r="AK144" s="296" t="s">
        <v>586</v>
      </c>
      <c r="AL144" s="296">
        <v>2</v>
      </c>
      <c r="AM144" s="296"/>
      <c r="AN144" s="296">
        <v>1</v>
      </c>
      <c r="AO144" s="296"/>
      <c r="AP144" s="296"/>
      <c r="AQ144" s="296"/>
      <c r="AR144" s="296"/>
      <c r="AS144" s="296"/>
      <c r="AT144" s="296" t="s">
        <v>949</v>
      </c>
      <c r="AU144" s="296" t="s">
        <v>950</v>
      </c>
      <c r="AV144" s="296" t="s">
        <v>951</v>
      </c>
      <c r="AW144" s="296" t="s">
        <v>952</v>
      </c>
      <c r="AX144" s="296" t="s">
        <v>953</v>
      </c>
      <c r="AY144" s="296"/>
      <c r="AZ144" s="296"/>
      <c r="BA144" s="296" t="s">
        <v>954</v>
      </c>
      <c r="BB144" s="296" t="s">
        <v>955</v>
      </c>
      <c r="BC144" s="296" t="s">
        <v>956</v>
      </c>
      <c r="BD144" s="296" t="s">
        <v>957</v>
      </c>
      <c r="BE144" s="296" t="s">
        <v>958</v>
      </c>
      <c r="BF144" s="296" t="s">
        <v>959</v>
      </c>
      <c r="BG144" s="296" t="s">
        <v>960</v>
      </c>
      <c r="BH144" s="296" t="s">
        <v>961</v>
      </c>
      <c r="BI144" s="296"/>
      <c r="BJ144" s="296"/>
      <c r="BK144" s="296"/>
      <c r="BL144" s="296"/>
      <c r="BM144" s="296"/>
      <c r="BN144" s="296"/>
      <c r="BO144" s="296"/>
      <c r="BP144" s="296"/>
    </row>
    <row r="145" customHeight="1" spans="1:68">
      <c r="A145" s="253">
        <v>53</v>
      </c>
      <c r="B145" s="250" t="str">
        <f t="shared" si="2"/>
        <v/>
      </c>
      <c r="C145" s="253"/>
      <c r="D145" s="252" t="str">
        <f>IFERROR(VLOOKUP(B145,列表!$B:$T,17,FALSE),"")</f>
        <v/>
      </c>
      <c r="AK145" s="296" t="s">
        <v>587</v>
      </c>
      <c r="AL145" s="296"/>
      <c r="AM145" s="296">
        <v>2</v>
      </c>
      <c r="AN145" s="296"/>
      <c r="AO145" s="296"/>
      <c r="AP145" s="296">
        <v>1</v>
      </c>
      <c r="AQ145" s="296"/>
      <c r="AR145" s="296"/>
      <c r="AS145" s="296"/>
      <c r="AT145" s="296" t="s">
        <v>962</v>
      </c>
      <c r="AU145" s="296" t="s">
        <v>963</v>
      </c>
      <c r="AV145" s="296" t="s">
        <v>964</v>
      </c>
      <c r="AW145" s="296" t="s">
        <v>641</v>
      </c>
      <c r="AX145" s="296" t="s">
        <v>965</v>
      </c>
      <c r="AY145" s="296"/>
      <c r="AZ145" s="296"/>
      <c r="BA145" s="296" t="s">
        <v>966</v>
      </c>
      <c r="BB145" s="296" t="s">
        <v>967</v>
      </c>
      <c r="BC145" s="296" t="s">
        <v>968</v>
      </c>
      <c r="BD145" s="296" t="s">
        <v>969</v>
      </c>
      <c r="BE145" s="296" t="s">
        <v>970</v>
      </c>
      <c r="BF145" s="296" t="s">
        <v>971</v>
      </c>
      <c r="BG145" s="296"/>
      <c r="BH145" s="296"/>
      <c r="BI145" s="296"/>
      <c r="BJ145" s="296"/>
      <c r="BK145" s="296"/>
      <c r="BL145" s="296"/>
      <c r="BM145" s="296"/>
      <c r="BN145" s="296"/>
      <c r="BO145" s="296"/>
      <c r="BP145" s="296"/>
    </row>
    <row r="146" customHeight="1" spans="1:68">
      <c r="A146" s="253">
        <v>54</v>
      </c>
      <c r="B146" s="250" t="str">
        <f t="shared" si="2"/>
        <v/>
      </c>
      <c r="C146" s="253"/>
      <c r="D146" s="252" t="str">
        <f>IFERROR(VLOOKUP(B146,列表!$B:$T,17,FALSE),"")</f>
        <v/>
      </c>
      <c r="AK146" s="296" t="s">
        <v>588</v>
      </c>
      <c r="AL146" s="296"/>
      <c r="AM146" s="296"/>
      <c r="AN146" s="296">
        <v>2</v>
      </c>
      <c r="AO146" s="296"/>
      <c r="AP146" s="296">
        <v>1</v>
      </c>
      <c r="AQ146" s="296"/>
      <c r="AR146" s="296"/>
      <c r="AS146" s="296"/>
      <c r="AT146" s="296" t="s">
        <v>972</v>
      </c>
      <c r="AU146" s="296" t="s">
        <v>973</v>
      </c>
      <c r="AV146" s="296" t="s">
        <v>974</v>
      </c>
      <c r="AW146" s="296" t="s">
        <v>975</v>
      </c>
      <c r="AX146" s="296" t="s">
        <v>976</v>
      </c>
      <c r="AY146" s="296"/>
      <c r="AZ146" s="296"/>
      <c r="BA146" s="296" t="s">
        <v>977</v>
      </c>
      <c r="BB146" s="296" t="s">
        <v>978</v>
      </c>
      <c r="BC146" s="296" t="s">
        <v>979</v>
      </c>
      <c r="BD146" s="296" t="s">
        <v>980</v>
      </c>
      <c r="BE146" s="296" t="s">
        <v>981</v>
      </c>
      <c r="BF146" s="296" t="s">
        <v>982</v>
      </c>
      <c r="BG146" s="296" t="s">
        <v>983</v>
      </c>
      <c r="BH146" s="296" t="s">
        <v>984</v>
      </c>
      <c r="BI146" s="296" t="s">
        <v>985</v>
      </c>
      <c r="BJ146" s="296" t="s">
        <v>986</v>
      </c>
      <c r="BK146" s="296" t="s">
        <v>987</v>
      </c>
      <c r="BL146" s="296" t="s">
        <v>988</v>
      </c>
      <c r="BM146" s="296"/>
      <c r="BN146" s="296"/>
      <c r="BO146" s="296"/>
      <c r="BP146" s="296"/>
    </row>
    <row r="147" customHeight="1" spans="1:68">
      <c r="A147" s="253">
        <v>55</v>
      </c>
      <c r="B147" s="250" t="str">
        <f t="shared" si="2"/>
        <v/>
      </c>
      <c r="C147" s="253"/>
      <c r="D147" s="252" t="str">
        <f>IFERROR(VLOOKUP(B147,列表!$B:$T,17,FALSE),"")</f>
        <v/>
      </c>
      <c r="AK147" s="296" t="s">
        <v>589</v>
      </c>
      <c r="AL147" s="296"/>
      <c r="AM147" s="296">
        <v>2</v>
      </c>
      <c r="AN147" s="296"/>
      <c r="AO147" s="296"/>
      <c r="AP147" s="296"/>
      <c r="AQ147" s="296">
        <v>1</v>
      </c>
      <c r="AR147" s="296"/>
      <c r="AS147" s="296"/>
      <c r="AT147" s="296" t="s">
        <v>989</v>
      </c>
      <c r="AU147" s="296" t="s">
        <v>990</v>
      </c>
      <c r="AV147" s="296" t="s">
        <v>991</v>
      </c>
      <c r="AW147" s="296" t="s">
        <v>631</v>
      </c>
      <c r="AX147" s="296" t="s">
        <v>992</v>
      </c>
      <c r="AY147" s="296"/>
      <c r="AZ147" s="296"/>
      <c r="BA147" s="296" t="s">
        <v>643</v>
      </c>
      <c r="BB147" s="296" t="s">
        <v>993</v>
      </c>
      <c r="BC147" s="296" t="s">
        <v>994</v>
      </c>
      <c r="BD147" s="296" t="s">
        <v>995</v>
      </c>
      <c r="BE147" s="296" t="s">
        <v>996</v>
      </c>
      <c r="BF147" s="296" t="s">
        <v>997</v>
      </c>
      <c r="BG147" s="296" t="s">
        <v>998</v>
      </c>
      <c r="BH147" s="296" t="s">
        <v>999</v>
      </c>
      <c r="BI147" s="296"/>
      <c r="BJ147" s="296"/>
      <c r="BK147" s="296"/>
      <c r="BL147" s="296"/>
      <c r="BM147" s="296"/>
      <c r="BN147" s="296"/>
      <c r="BO147" s="296"/>
      <c r="BP147" s="296"/>
    </row>
    <row r="148" customHeight="1" spans="1:68">
      <c r="A148" s="253">
        <v>56</v>
      </c>
      <c r="B148" s="250" t="str">
        <f t="shared" si="2"/>
        <v/>
      </c>
      <c r="C148" s="253"/>
      <c r="D148" s="252" t="str">
        <f>IFERROR(VLOOKUP(B148,列表!$B:$T,17,FALSE),"")</f>
        <v/>
      </c>
      <c r="AK148" s="296" t="s">
        <v>590</v>
      </c>
      <c r="AL148" s="296">
        <v>1</v>
      </c>
      <c r="AM148" s="296"/>
      <c r="AN148" s="296">
        <v>1</v>
      </c>
      <c r="AO148" s="296"/>
      <c r="AP148" s="296"/>
      <c r="AQ148" s="296">
        <v>1</v>
      </c>
      <c r="AR148" s="296"/>
      <c r="AS148" s="296"/>
      <c r="AT148" s="296" t="s">
        <v>1000</v>
      </c>
      <c r="AU148" s="296" t="s">
        <v>1001</v>
      </c>
      <c r="AV148" s="296" t="s">
        <v>1002</v>
      </c>
      <c r="AW148" s="296" t="s">
        <v>1003</v>
      </c>
      <c r="AX148" s="296" t="s">
        <v>1004</v>
      </c>
      <c r="AY148" s="296"/>
      <c r="AZ148" s="296"/>
      <c r="BA148" s="296" t="s">
        <v>1005</v>
      </c>
      <c r="BB148" s="296" t="s">
        <v>1006</v>
      </c>
      <c r="BC148" s="296" t="s">
        <v>1007</v>
      </c>
      <c r="BD148" s="296" t="s">
        <v>1008</v>
      </c>
      <c r="BE148" s="296" t="s">
        <v>1009</v>
      </c>
      <c r="BF148" s="296" t="s">
        <v>1010</v>
      </c>
      <c r="BG148" s="296" t="s">
        <v>1011</v>
      </c>
      <c r="BH148" s="296" t="s">
        <v>1012</v>
      </c>
      <c r="BI148" s="296"/>
      <c r="BJ148" s="296"/>
      <c r="BK148" s="296"/>
      <c r="BL148" s="296"/>
      <c r="BM148" s="296"/>
      <c r="BN148" s="296"/>
      <c r="BO148" s="296"/>
      <c r="BP148" s="296"/>
    </row>
    <row r="149" customHeight="1" spans="1:68">
      <c r="A149" s="253">
        <v>57</v>
      </c>
      <c r="B149" s="250" t="str">
        <f t="shared" si="2"/>
        <v/>
      </c>
      <c r="C149" s="253"/>
      <c r="D149" s="252" t="str">
        <f>IFERROR(VLOOKUP(B149,列表!$B:$T,17,FALSE),"")</f>
        <v/>
      </c>
      <c r="AK149" s="296" t="s">
        <v>591</v>
      </c>
      <c r="AL149" s="296"/>
      <c r="AM149" s="296">
        <v>2</v>
      </c>
      <c r="AN149" s="296">
        <v>1</v>
      </c>
      <c r="AO149" s="296"/>
      <c r="AP149" s="296"/>
      <c r="AQ149" s="296"/>
      <c r="AR149" s="296"/>
      <c r="AS149" s="296"/>
      <c r="AT149" s="296" t="s">
        <v>1013</v>
      </c>
      <c r="AU149" s="296" t="s">
        <v>1014</v>
      </c>
      <c r="AV149" s="296" t="s">
        <v>1015</v>
      </c>
      <c r="AW149" s="296" t="s">
        <v>631</v>
      </c>
      <c r="AX149" s="296" t="s">
        <v>1016</v>
      </c>
      <c r="AY149" s="296"/>
      <c r="AZ149" s="296"/>
      <c r="BA149" s="296" t="s">
        <v>643</v>
      </c>
      <c r="BB149" s="296" t="s">
        <v>1017</v>
      </c>
      <c r="BC149" s="296" t="s">
        <v>1018</v>
      </c>
      <c r="BD149" s="296" t="s">
        <v>1019</v>
      </c>
      <c r="BE149" s="296" t="s">
        <v>1020</v>
      </c>
      <c r="BF149" s="296" t="s">
        <v>1021</v>
      </c>
      <c r="BG149" s="296"/>
      <c r="BH149" s="296"/>
      <c r="BI149" s="296"/>
      <c r="BJ149" s="296"/>
      <c r="BK149" s="296"/>
      <c r="BL149" s="296"/>
      <c r="BM149" s="296"/>
      <c r="BN149" s="296"/>
      <c r="BO149" s="296"/>
      <c r="BP149" s="296"/>
    </row>
    <row r="150" customHeight="1" spans="1:68">
      <c r="A150" s="253">
        <v>58</v>
      </c>
      <c r="B150" s="250" t="str">
        <f t="shared" si="2"/>
        <v/>
      </c>
      <c r="C150" s="253"/>
      <c r="D150" s="252" t="str">
        <f>IFERROR(VLOOKUP(B150,列表!$B:$T,17,FALSE),"")</f>
        <v/>
      </c>
      <c r="AK150" s="296" t="s">
        <v>592</v>
      </c>
      <c r="AL150" s="296">
        <v>2</v>
      </c>
      <c r="AM150" s="296"/>
      <c r="AN150" s="296">
        <v>1</v>
      </c>
      <c r="AO150" s="296"/>
      <c r="AP150" s="296"/>
      <c r="AQ150" s="296"/>
      <c r="AR150" s="296"/>
      <c r="AS150" s="296"/>
      <c r="AT150" s="296" t="s">
        <v>1022</v>
      </c>
      <c r="AU150" s="296" t="s">
        <v>1023</v>
      </c>
      <c r="AV150" s="296" t="s">
        <v>1024</v>
      </c>
      <c r="AW150" s="296" t="s">
        <v>1025</v>
      </c>
      <c r="AX150" s="296" t="s">
        <v>1016</v>
      </c>
      <c r="AY150" s="296"/>
      <c r="AZ150" s="296"/>
      <c r="BA150" s="296" t="s">
        <v>643</v>
      </c>
      <c r="BB150" s="296" t="s">
        <v>1017</v>
      </c>
      <c r="BC150" s="296" t="s">
        <v>1026</v>
      </c>
      <c r="BD150" s="296" t="s">
        <v>1027</v>
      </c>
      <c r="BE150" s="296" t="s">
        <v>1028</v>
      </c>
      <c r="BF150" s="296" t="s">
        <v>1029</v>
      </c>
      <c r="BG150" s="296" t="s">
        <v>1030</v>
      </c>
      <c r="BH150" s="296" t="s">
        <v>1031</v>
      </c>
      <c r="BI150" s="296"/>
      <c r="BJ150" s="296"/>
      <c r="BK150" s="296"/>
      <c r="BL150" s="296"/>
      <c r="BM150" s="296"/>
      <c r="BN150" s="296"/>
      <c r="BO150" s="296"/>
      <c r="BP150" s="296"/>
    </row>
    <row r="151" customHeight="1" spans="1:68">
      <c r="A151" s="253">
        <v>59</v>
      </c>
      <c r="B151" s="250" t="str">
        <f t="shared" si="2"/>
        <v/>
      </c>
      <c r="C151" s="253"/>
      <c r="D151" s="252" t="str">
        <f>IFERROR(VLOOKUP(B151,列表!$B:$T,17,FALSE),"")</f>
        <v/>
      </c>
      <c r="AK151" s="296" t="s">
        <v>593</v>
      </c>
      <c r="AL151" s="296"/>
      <c r="AM151" s="296"/>
      <c r="AN151" s="296">
        <v>2</v>
      </c>
      <c r="AO151" s="296">
        <v>1</v>
      </c>
      <c r="AP151" s="296"/>
      <c r="AQ151" s="296"/>
      <c r="AR151" s="296"/>
      <c r="AS151" s="296"/>
      <c r="AT151" s="296" t="s">
        <v>1032</v>
      </c>
      <c r="AU151" s="296" t="s">
        <v>1033</v>
      </c>
      <c r="AV151" s="296" t="s">
        <v>1034</v>
      </c>
      <c r="AW151" s="296" t="s">
        <v>1025</v>
      </c>
      <c r="AX151" s="296" t="s">
        <v>1016</v>
      </c>
      <c r="AY151" s="296"/>
      <c r="AZ151" s="296"/>
      <c r="BA151" s="296" t="s">
        <v>643</v>
      </c>
      <c r="BB151" s="296" t="s">
        <v>1017</v>
      </c>
      <c r="BC151" s="296" t="s">
        <v>1035</v>
      </c>
      <c r="BD151" s="296" t="s">
        <v>1036</v>
      </c>
      <c r="BE151" s="296" t="s">
        <v>1037</v>
      </c>
      <c r="BF151" s="296" t="s">
        <v>1038</v>
      </c>
      <c r="BG151" s="296"/>
      <c r="BH151" s="296"/>
      <c r="BI151" s="296"/>
      <c r="BJ151" s="296"/>
      <c r="BK151" s="296"/>
      <c r="BL151" s="296"/>
      <c r="BM151" s="296"/>
      <c r="BN151" s="296"/>
      <c r="BO151" s="296"/>
      <c r="BP151" s="296"/>
    </row>
    <row r="152" customHeight="1" spans="1:68">
      <c r="A152" s="253">
        <v>60</v>
      </c>
      <c r="B152" s="250" t="str">
        <f t="shared" si="2"/>
        <v/>
      </c>
      <c r="C152" s="253"/>
      <c r="D152" s="252" t="str">
        <f>IFERROR(VLOOKUP(B152,列表!$B:$T,17,FALSE),"")</f>
        <v/>
      </c>
      <c r="AK152" s="296" t="s">
        <v>594</v>
      </c>
      <c r="AL152" s="296">
        <v>-2</v>
      </c>
      <c r="AM152" s="296">
        <v>2</v>
      </c>
      <c r="AN152" s="296"/>
      <c r="AO152" s="296"/>
      <c r="AP152" s="296"/>
      <c r="AQ152" s="296"/>
      <c r="AR152" s="296"/>
      <c r="AS152" s="296"/>
      <c r="AT152" s="296" t="s">
        <v>1039</v>
      </c>
      <c r="AU152" s="296" t="s">
        <v>1040</v>
      </c>
      <c r="AV152" s="296" t="s">
        <v>1041</v>
      </c>
      <c r="AW152" s="296" t="s">
        <v>1025</v>
      </c>
      <c r="AX152" s="296" t="s">
        <v>1042</v>
      </c>
      <c r="AY152" s="296"/>
      <c r="AZ152" s="296"/>
      <c r="BA152" s="296" t="s">
        <v>643</v>
      </c>
      <c r="BB152" s="296" t="s">
        <v>1017</v>
      </c>
      <c r="BC152" s="296" t="s">
        <v>1043</v>
      </c>
      <c r="BD152" s="296" t="s">
        <v>1044</v>
      </c>
      <c r="BE152" s="296" t="s">
        <v>1045</v>
      </c>
      <c r="BF152" s="296" t="s">
        <v>1046</v>
      </c>
      <c r="BG152" s="296" t="s">
        <v>1047</v>
      </c>
      <c r="BH152" s="296" t="s">
        <v>1048</v>
      </c>
      <c r="BI152" s="296"/>
      <c r="BJ152" s="296"/>
      <c r="BK152" s="296"/>
      <c r="BL152" s="296"/>
      <c r="BM152" s="296"/>
      <c r="BN152" s="296"/>
      <c r="BO152" s="296"/>
      <c r="BP152" s="296"/>
    </row>
    <row r="153" customHeight="1" spans="1:68">
      <c r="A153" s="253">
        <v>61</v>
      </c>
      <c r="B153" s="250" t="str">
        <f t="shared" si="2"/>
        <v/>
      </c>
      <c r="C153" s="253"/>
      <c r="D153" s="252" t="str">
        <f>IFERROR(VLOOKUP(B153,列表!$B:$T,17,FALSE),"")</f>
        <v/>
      </c>
      <c r="AK153" s="296" t="s">
        <v>595</v>
      </c>
      <c r="AL153" s="296">
        <v>2</v>
      </c>
      <c r="AM153" s="296"/>
      <c r="AN153" s="296">
        <v>1</v>
      </c>
      <c r="AO153" s="296">
        <v>-2</v>
      </c>
      <c r="AP153" s="296"/>
      <c r="AQ153" s="296"/>
      <c r="AR153" s="296"/>
      <c r="AS153" s="296"/>
      <c r="AT153" s="296" t="s">
        <v>1049</v>
      </c>
      <c r="AU153" s="296" t="s">
        <v>1050</v>
      </c>
      <c r="AV153" s="296" t="s">
        <v>1051</v>
      </c>
      <c r="AW153" s="296" t="s">
        <v>1025</v>
      </c>
      <c r="AX153" s="296" t="s">
        <v>1052</v>
      </c>
      <c r="AY153" s="296"/>
      <c r="AZ153" s="296"/>
      <c r="BA153" s="296" t="s">
        <v>643</v>
      </c>
      <c r="BB153" s="296" t="s">
        <v>1017</v>
      </c>
      <c r="BC153" s="296" t="s">
        <v>1053</v>
      </c>
      <c r="BD153" s="296" t="s">
        <v>1054</v>
      </c>
      <c r="BE153" s="296" t="s">
        <v>1055</v>
      </c>
      <c r="BF153" s="296" t="s">
        <v>1056</v>
      </c>
      <c r="BG153" s="296" t="s">
        <v>1057</v>
      </c>
      <c r="BH153" s="296" t="s">
        <v>1058</v>
      </c>
      <c r="BI153" s="296"/>
      <c r="BJ153" s="296"/>
      <c r="BK153" s="296"/>
      <c r="BL153" s="296"/>
      <c r="BM153" s="296"/>
      <c r="BN153" s="296"/>
      <c r="BO153" s="296"/>
      <c r="BP153" s="296"/>
    </row>
    <row r="154" customHeight="1" spans="1:68">
      <c r="A154" s="253">
        <v>62</v>
      </c>
      <c r="B154" s="250" t="str">
        <f t="shared" si="2"/>
        <v/>
      </c>
      <c r="C154" s="253"/>
      <c r="D154" s="252" t="str">
        <f>IFERROR(VLOOKUP(B154,列表!$B:$T,17,FALSE),"")</f>
        <v/>
      </c>
      <c r="AK154" s="296" t="s">
        <v>596</v>
      </c>
      <c r="AL154" s="296"/>
      <c r="AM154" s="296"/>
      <c r="AN154" s="296"/>
      <c r="AO154" s="296">
        <v>1</v>
      </c>
      <c r="AP154" s="296"/>
      <c r="AQ154" s="296">
        <v>2</v>
      </c>
      <c r="AR154" s="296"/>
      <c r="AS154" s="296"/>
      <c r="AT154" s="296" t="s">
        <v>1059</v>
      </c>
      <c r="AU154" s="296" t="s">
        <v>1060</v>
      </c>
      <c r="AV154" s="296" t="s">
        <v>1061</v>
      </c>
      <c r="AW154" s="296" t="s">
        <v>1025</v>
      </c>
      <c r="AX154" s="296" t="s">
        <v>1062</v>
      </c>
      <c r="AY154" s="296"/>
      <c r="AZ154" s="296"/>
      <c r="BA154" s="296" t="s">
        <v>643</v>
      </c>
      <c r="BB154" s="296" t="s">
        <v>1017</v>
      </c>
      <c r="BC154" s="296" t="s">
        <v>1063</v>
      </c>
      <c r="BD154" s="296" t="s">
        <v>1064</v>
      </c>
      <c r="BE154" s="296" t="s">
        <v>1065</v>
      </c>
      <c r="BF154" s="296" t="s">
        <v>1066</v>
      </c>
      <c r="BG154" s="296" t="s">
        <v>1067</v>
      </c>
      <c r="BH154" s="296" t="s">
        <v>1068</v>
      </c>
      <c r="BI154" s="296"/>
      <c r="BJ154" s="296"/>
      <c r="BK154" s="296"/>
      <c r="BL154" s="296"/>
      <c r="BM154" s="296"/>
      <c r="BN154" s="296"/>
      <c r="BO154" s="296"/>
      <c r="BP154" s="296"/>
    </row>
    <row r="155" customHeight="1" spans="1:68">
      <c r="A155" s="253">
        <v>63</v>
      </c>
      <c r="B155" s="250" t="str">
        <f t="shared" si="2"/>
        <v/>
      </c>
      <c r="C155" s="253"/>
      <c r="D155" s="252" t="str">
        <f>IFERROR(VLOOKUP(B155,列表!$B:$T,17,FALSE),"")</f>
        <v/>
      </c>
      <c r="AK155" s="296" t="s">
        <v>598</v>
      </c>
      <c r="AL155" s="296"/>
      <c r="AM155" s="296"/>
      <c r="AN155" s="296"/>
      <c r="AO155" s="296">
        <v>1</v>
      </c>
      <c r="AP155" s="296"/>
      <c r="AQ155" s="296"/>
      <c r="AR155" s="296"/>
      <c r="AS155" s="296"/>
      <c r="AT155" s="296" t="s">
        <v>1069</v>
      </c>
      <c r="AU155" s="296"/>
      <c r="AV155" s="296" t="s">
        <v>1070</v>
      </c>
      <c r="AW155" s="296" t="s">
        <v>631</v>
      </c>
      <c r="AX155" s="296" t="s">
        <v>1071</v>
      </c>
      <c r="AY155" s="296"/>
      <c r="AZ155" s="296"/>
      <c r="BA155" s="296"/>
      <c r="BB155" s="296"/>
      <c r="BC155" s="296"/>
      <c r="BD155" s="296"/>
      <c r="BE155" s="296"/>
      <c r="BF155" s="296"/>
      <c r="BG155" s="296"/>
      <c r="BH155" s="296"/>
      <c r="BI155" s="296"/>
      <c r="BJ155" s="296"/>
      <c r="BK155" s="296"/>
      <c r="BL155" s="296"/>
      <c r="BM155" s="296"/>
      <c r="BN155" s="296"/>
      <c r="BO155" s="296"/>
      <c r="BP155" s="296"/>
    </row>
    <row r="156" customHeight="1" spans="1:68">
      <c r="A156" s="253">
        <v>64</v>
      </c>
      <c r="B156" s="250" t="str">
        <f t="shared" si="2"/>
        <v/>
      </c>
      <c r="C156" s="253"/>
      <c r="D156" s="252" t="str">
        <f>IFERROR(VLOOKUP(B156,列表!$B:$T,17,FALSE),"")</f>
        <v/>
      </c>
      <c r="AK156" s="296" t="s">
        <v>599</v>
      </c>
      <c r="AL156" s="296">
        <v>2</v>
      </c>
      <c r="AM156" s="296"/>
      <c r="AN156" s="296"/>
      <c r="AO156" s="296">
        <v>1</v>
      </c>
      <c r="AP156" s="296"/>
      <c r="AQ156" s="296"/>
      <c r="AR156" s="296"/>
      <c r="AS156" s="296"/>
      <c r="AT156" s="296" t="s">
        <v>1069</v>
      </c>
      <c r="AU156" s="296" t="s">
        <v>1072</v>
      </c>
      <c r="AV156" s="296" t="s">
        <v>1070</v>
      </c>
      <c r="AW156" s="296" t="s">
        <v>631</v>
      </c>
      <c r="AX156" s="296" t="s">
        <v>1071</v>
      </c>
      <c r="AY156" s="296"/>
      <c r="AZ156" s="296"/>
      <c r="BA156" s="296" t="s">
        <v>1073</v>
      </c>
      <c r="BB156" s="296" t="s">
        <v>1074</v>
      </c>
      <c r="BC156" s="296" t="s">
        <v>1075</v>
      </c>
      <c r="BD156" s="296" t="s">
        <v>1076</v>
      </c>
      <c r="BE156" s="296" t="s">
        <v>1077</v>
      </c>
      <c r="BF156" s="296" t="s">
        <v>1078</v>
      </c>
      <c r="BG156" s="296"/>
      <c r="BH156" s="296"/>
      <c r="BI156" s="296"/>
      <c r="BJ156" s="296"/>
      <c r="BK156" s="296"/>
      <c r="BL156" s="296"/>
      <c r="BM156" s="296"/>
      <c r="BN156" s="296"/>
      <c r="BO156" s="296"/>
      <c r="BP156" s="296"/>
    </row>
    <row r="157" customHeight="1" spans="1:68">
      <c r="A157" s="253">
        <v>65</v>
      </c>
      <c r="B157" s="250" t="str">
        <f t="shared" si="2"/>
        <v/>
      </c>
      <c r="C157" s="253"/>
      <c r="D157" s="252" t="str">
        <f>IFERROR(VLOOKUP(B157,列表!$B:$T,17,FALSE),"")</f>
        <v/>
      </c>
      <c r="AK157" s="296" t="s">
        <v>600</v>
      </c>
      <c r="AL157" s="296"/>
      <c r="AM157" s="296"/>
      <c r="AN157" s="296"/>
      <c r="AO157" s="296">
        <v>1</v>
      </c>
      <c r="AP157" s="296">
        <v>2</v>
      </c>
      <c r="AQ157" s="296"/>
      <c r="AR157" s="296"/>
      <c r="AS157" s="296"/>
      <c r="AT157" s="296" t="s">
        <v>1069</v>
      </c>
      <c r="AU157" s="296" t="s">
        <v>1079</v>
      </c>
      <c r="AV157" s="296" t="s">
        <v>1070</v>
      </c>
      <c r="AW157" s="296" t="s">
        <v>631</v>
      </c>
      <c r="AX157" s="296" t="s">
        <v>1071</v>
      </c>
      <c r="AY157" s="296"/>
      <c r="AZ157" s="296"/>
      <c r="BA157" s="296" t="s">
        <v>1080</v>
      </c>
      <c r="BB157" s="296" t="s">
        <v>1081</v>
      </c>
      <c r="BC157" s="296" t="s">
        <v>1082</v>
      </c>
      <c r="BD157" s="296" t="s">
        <v>1083</v>
      </c>
      <c r="BE157" s="296"/>
      <c r="BF157" s="296"/>
      <c r="BG157" s="296"/>
      <c r="BH157" s="296"/>
      <c r="BI157" s="296"/>
      <c r="BJ157" s="296"/>
      <c r="BK157" s="296"/>
      <c r="BL157" s="296"/>
      <c r="BM157" s="296"/>
      <c r="BN157" s="296"/>
      <c r="BO157" s="296"/>
      <c r="BP157" s="296"/>
    </row>
    <row r="158" customHeight="1" spans="1:68">
      <c r="A158" s="253">
        <v>66</v>
      </c>
      <c r="B158" s="250" t="str">
        <f t="shared" ref="B158:B189" si="3">B66</f>
        <v/>
      </c>
      <c r="C158" s="253"/>
      <c r="D158" s="252" t="str">
        <f>IFERROR(VLOOKUP(B158,列表!$B:$T,17,FALSE),"")</f>
        <v/>
      </c>
      <c r="AK158" s="296" t="s">
        <v>602</v>
      </c>
      <c r="AL158" s="296">
        <v>2</v>
      </c>
      <c r="AM158" s="296"/>
      <c r="AN158" s="296"/>
      <c r="AO158" s="296"/>
      <c r="AP158" s="296">
        <v>1</v>
      </c>
      <c r="AQ158" s="296"/>
      <c r="AR158" s="296"/>
      <c r="AS158" s="296"/>
      <c r="AT158" s="296" t="s">
        <v>1084</v>
      </c>
      <c r="AU158" s="296" t="s">
        <v>1085</v>
      </c>
      <c r="AV158" s="296" t="s">
        <v>1086</v>
      </c>
      <c r="AW158" s="296" t="s">
        <v>1087</v>
      </c>
      <c r="AX158" s="296" t="s">
        <v>1088</v>
      </c>
      <c r="AY158" s="296"/>
      <c r="AZ158" s="296"/>
      <c r="BA158" s="296" t="s">
        <v>1089</v>
      </c>
      <c r="BB158" s="296" t="s">
        <v>1090</v>
      </c>
      <c r="BC158" s="296" t="s">
        <v>1091</v>
      </c>
      <c r="BD158" s="296" t="s">
        <v>1092</v>
      </c>
      <c r="BE158" s="296" t="s">
        <v>1093</v>
      </c>
      <c r="BF158" s="296" t="s">
        <v>1094</v>
      </c>
      <c r="BG158" s="296" t="s">
        <v>1095</v>
      </c>
      <c r="BH158" s="296" t="s">
        <v>1096</v>
      </c>
      <c r="BI158" s="296"/>
      <c r="BJ158" s="296"/>
      <c r="BK158" s="296"/>
      <c r="BL158" s="296"/>
      <c r="BM158" s="296"/>
      <c r="BN158" s="296"/>
      <c r="BO158" s="296"/>
      <c r="BP158" s="296"/>
    </row>
    <row r="159" customHeight="1" spans="1:68">
      <c r="A159" s="253">
        <v>67</v>
      </c>
      <c r="B159" s="250" t="str">
        <f t="shared" si="3"/>
        <v/>
      </c>
      <c r="C159" s="253"/>
      <c r="D159" s="252" t="str">
        <f>IFERROR(VLOOKUP(B159,列表!$B:$T,17,FALSE),"")</f>
        <v/>
      </c>
      <c r="AK159" s="296" t="s">
        <v>603</v>
      </c>
      <c r="AL159" s="296">
        <v>2</v>
      </c>
      <c r="AM159" s="296"/>
      <c r="AN159" s="296">
        <v>1</v>
      </c>
      <c r="AO159" s="296"/>
      <c r="AP159" s="296"/>
      <c r="AQ159" s="296"/>
      <c r="AR159" s="296"/>
      <c r="AS159" s="296"/>
      <c r="AT159" s="296"/>
      <c r="AU159" s="296" t="s">
        <v>1097</v>
      </c>
      <c r="AV159" s="296" t="s">
        <v>1098</v>
      </c>
      <c r="AW159" s="296" t="s">
        <v>631</v>
      </c>
      <c r="AX159" s="296" t="s">
        <v>1099</v>
      </c>
      <c r="AY159" s="296"/>
      <c r="AZ159" s="296"/>
      <c r="BA159" s="296" t="s">
        <v>1100</v>
      </c>
      <c r="BB159" s="296" t="s">
        <v>1101</v>
      </c>
      <c r="BC159" s="296" t="s">
        <v>1102</v>
      </c>
      <c r="BD159" s="296" t="s">
        <v>1103</v>
      </c>
      <c r="BE159" s="296" t="s">
        <v>1104</v>
      </c>
      <c r="BF159" s="296" t="s">
        <v>1105</v>
      </c>
      <c r="BG159" s="296" t="s">
        <v>1106</v>
      </c>
      <c r="BH159" s="296" t="s">
        <v>1107</v>
      </c>
      <c r="BI159" s="296"/>
      <c r="BJ159" s="296"/>
      <c r="BK159" s="296"/>
      <c r="BL159" s="296"/>
      <c r="BM159" s="296"/>
      <c r="BN159" s="296"/>
      <c r="BO159" s="296"/>
      <c r="BP159" s="296"/>
    </row>
    <row r="160" customHeight="1" spans="1:68">
      <c r="A160" s="253">
        <v>68</v>
      </c>
      <c r="B160" s="250" t="str">
        <f t="shared" si="3"/>
        <v/>
      </c>
      <c r="C160" s="253"/>
      <c r="D160" s="252" t="str">
        <f>IFERROR(VLOOKUP(B160,列表!$B:$T,17,FALSE),"")</f>
        <v/>
      </c>
      <c r="AK160" s="296" t="s">
        <v>604</v>
      </c>
      <c r="AL160" s="296"/>
      <c r="AM160" s="296"/>
      <c r="AN160" s="296">
        <v>2</v>
      </c>
      <c r="AO160" s="296"/>
      <c r="AP160" s="296">
        <v>1</v>
      </c>
      <c r="AQ160" s="296"/>
      <c r="AR160" s="296"/>
      <c r="AS160" s="296"/>
      <c r="AT160" s="296" t="s">
        <v>1108</v>
      </c>
      <c r="AU160" s="296" t="s">
        <v>1109</v>
      </c>
      <c r="AV160" s="296" t="s">
        <v>1110</v>
      </c>
      <c r="AW160" s="296" t="s">
        <v>631</v>
      </c>
      <c r="AX160" s="296" t="s">
        <v>1111</v>
      </c>
      <c r="AY160" s="296"/>
      <c r="AZ160" s="296"/>
      <c r="BA160" s="296" t="s">
        <v>1112</v>
      </c>
      <c r="BB160" s="296" t="s">
        <v>1113</v>
      </c>
      <c r="BC160" s="296" t="s">
        <v>1114</v>
      </c>
      <c r="BD160" s="296" t="s">
        <v>1115</v>
      </c>
      <c r="BE160" s="296" t="s">
        <v>985</v>
      </c>
      <c r="BF160" s="296" t="s">
        <v>1116</v>
      </c>
      <c r="BG160" s="296" t="s">
        <v>1117</v>
      </c>
      <c r="BH160" s="296" t="s">
        <v>1118</v>
      </c>
      <c r="BI160" s="296" t="s">
        <v>1119</v>
      </c>
      <c r="BJ160" s="296" t="s">
        <v>1120</v>
      </c>
      <c r="BK160" s="296"/>
      <c r="BL160" s="296"/>
      <c r="BM160" s="296"/>
      <c r="BN160" s="296"/>
      <c r="BO160" s="296"/>
      <c r="BP160" s="296"/>
    </row>
    <row r="161" customHeight="1" spans="1:68">
      <c r="A161" s="253">
        <v>69</v>
      </c>
      <c r="B161" s="250" t="str">
        <f t="shared" si="3"/>
        <v/>
      </c>
      <c r="C161" s="253"/>
      <c r="D161" s="252" t="str">
        <f>IFERROR(VLOOKUP(B161,列表!$B:$T,17,FALSE),"")</f>
        <v/>
      </c>
      <c r="AK161" s="296" t="s">
        <v>605</v>
      </c>
      <c r="AL161" s="296"/>
      <c r="AM161" s="296"/>
      <c r="AN161" s="296">
        <v>2</v>
      </c>
      <c r="AO161" s="296"/>
      <c r="AP161" s="296"/>
      <c r="AQ161" s="296"/>
      <c r="AR161" s="296">
        <v>1</v>
      </c>
      <c r="AS161" s="296">
        <v>1</v>
      </c>
      <c r="AT161" s="296" t="s">
        <v>1121</v>
      </c>
      <c r="AU161" s="296" t="s">
        <v>1122</v>
      </c>
      <c r="AV161" s="296" t="s">
        <v>1123</v>
      </c>
      <c r="AW161" s="296" t="s">
        <v>631</v>
      </c>
      <c r="AX161" s="296" t="s">
        <v>1124</v>
      </c>
      <c r="AY161" s="296"/>
      <c r="AZ161" s="296"/>
      <c r="BA161" s="296" t="s">
        <v>643</v>
      </c>
      <c r="BB161" s="296" t="s">
        <v>1125</v>
      </c>
      <c r="BC161" s="296" t="s">
        <v>1126</v>
      </c>
      <c r="BD161" s="296" t="s">
        <v>1127</v>
      </c>
      <c r="BE161" s="296"/>
      <c r="BF161" s="296"/>
      <c r="BG161" s="296"/>
      <c r="BH161" s="296"/>
      <c r="BI161" s="296"/>
      <c r="BJ161" s="296"/>
      <c r="BK161" s="296"/>
      <c r="BL161" s="296"/>
      <c r="BM161" s="296"/>
      <c r="BN161" s="296"/>
      <c r="BO161" s="296"/>
      <c r="BP161" s="296"/>
    </row>
    <row r="162" customHeight="1" spans="1:68">
      <c r="A162" s="253">
        <v>70</v>
      </c>
      <c r="B162" s="250" t="str">
        <f t="shared" si="3"/>
        <v/>
      </c>
      <c r="C162" s="253"/>
      <c r="D162" s="252" t="str">
        <f>IFERROR(VLOOKUP(B162,列表!$B:$T,17,FALSE),"")</f>
        <v/>
      </c>
      <c r="AK162" s="296" t="s">
        <v>606</v>
      </c>
      <c r="AL162" s="296"/>
      <c r="AM162" s="296"/>
      <c r="AN162" s="296">
        <v>2</v>
      </c>
      <c r="AO162" s="296"/>
      <c r="AP162" s="296"/>
      <c r="AQ162" s="296"/>
      <c r="AR162" s="296">
        <v>1</v>
      </c>
      <c r="AS162" s="296">
        <v>1</v>
      </c>
      <c r="AT162" s="296" t="s">
        <v>1121</v>
      </c>
      <c r="AU162" s="296" t="s">
        <v>1122</v>
      </c>
      <c r="AV162" s="296" t="s">
        <v>1123</v>
      </c>
      <c r="AW162" s="296" t="s">
        <v>631</v>
      </c>
      <c r="AX162" s="296" t="s">
        <v>1124</v>
      </c>
      <c r="AY162" s="296"/>
      <c r="AZ162" s="296"/>
      <c r="BA162" s="296" t="s">
        <v>643</v>
      </c>
      <c r="BB162" s="296" t="s">
        <v>1125</v>
      </c>
      <c r="BC162" s="296" t="s">
        <v>1126</v>
      </c>
      <c r="BD162" s="296" t="s">
        <v>1127</v>
      </c>
      <c r="BE162" s="296" t="s">
        <v>1128</v>
      </c>
      <c r="BF162" s="296" t="s">
        <v>1129</v>
      </c>
      <c r="BG162" s="296"/>
      <c r="BH162" s="296"/>
      <c r="BI162" s="296"/>
      <c r="BJ162" s="296"/>
      <c r="BK162" s="296"/>
      <c r="BL162" s="296"/>
      <c r="BM162" s="296"/>
      <c r="BN162" s="296"/>
      <c r="BO162" s="296"/>
      <c r="BP162" s="296"/>
    </row>
    <row r="163" customHeight="1" spans="1:68">
      <c r="A163" s="253">
        <v>71</v>
      </c>
      <c r="B163" s="250" t="str">
        <f t="shared" si="3"/>
        <v/>
      </c>
      <c r="C163" s="253"/>
      <c r="D163" s="252" t="str">
        <f>IFERROR(VLOOKUP(B163,列表!$B:$T,17,FALSE),"")</f>
        <v/>
      </c>
      <c r="AK163" s="296" t="s">
        <v>607</v>
      </c>
      <c r="AL163" s="296"/>
      <c r="AM163" s="296"/>
      <c r="AN163" s="296">
        <v>2</v>
      </c>
      <c r="AO163" s="296"/>
      <c r="AP163" s="296"/>
      <c r="AQ163" s="296"/>
      <c r="AR163" s="296">
        <v>1</v>
      </c>
      <c r="AS163" s="296">
        <v>1</v>
      </c>
      <c r="AT163" s="296" t="s">
        <v>1121</v>
      </c>
      <c r="AU163" s="296" t="s">
        <v>1122</v>
      </c>
      <c r="AV163" s="296" t="s">
        <v>1123</v>
      </c>
      <c r="AW163" s="296" t="s">
        <v>631</v>
      </c>
      <c r="AX163" s="296" t="s">
        <v>1124</v>
      </c>
      <c r="AY163" s="296"/>
      <c r="AZ163" s="296"/>
      <c r="BA163" s="296" t="s">
        <v>643</v>
      </c>
      <c r="BB163" s="296" t="s">
        <v>1125</v>
      </c>
      <c r="BC163" s="296" t="s">
        <v>1126</v>
      </c>
      <c r="BD163" s="296" t="s">
        <v>1127</v>
      </c>
      <c r="BE163" s="296" t="s">
        <v>1130</v>
      </c>
      <c r="BF163" s="296" t="s">
        <v>1131</v>
      </c>
      <c r="BG163" s="296"/>
      <c r="BH163" s="296"/>
      <c r="BI163" s="296"/>
      <c r="BJ163" s="296"/>
      <c r="BK163" s="296"/>
      <c r="BL163" s="296"/>
      <c r="BM163" s="296"/>
      <c r="BN163" s="296"/>
      <c r="BO163" s="296"/>
      <c r="BP163" s="296"/>
    </row>
    <row r="164" customHeight="1" spans="1:68">
      <c r="A164" s="253">
        <v>72</v>
      </c>
      <c r="B164" s="250" t="str">
        <f t="shared" si="3"/>
        <v/>
      </c>
      <c r="C164" s="253"/>
      <c r="D164" s="252" t="str">
        <f>IFERROR(VLOOKUP(B164,列表!$B:$T,17,FALSE),"")</f>
        <v/>
      </c>
      <c r="AK164" s="296" t="s">
        <v>608</v>
      </c>
      <c r="AL164" s="296"/>
      <c r="AM164" s="296"/>
      <c r="AN164" s="296">
        <v>2</v>
      </c>
      <c r="AO164" s="296"/>
      <c r="AP164" s="296"/>
      <c r="AQ164" s="296"/>
      <c r="AR164" s="296">
        <v>1</v>
      </c>
      <c r="AS164" s="296">
        <v>1</v>
      </c>
      <c r="AT164" s="296" t="s">
        <v>1121</v>
      </c>
      <c r="AU164" s="296" t="s">
        <v>1122</v>
      </c>
      <c r="AV164" s="296" t="s">
        <v>1123</v>
      </c>
      <c r="AW164" s="296" t="s">
        <v>631</v>
      </c>
      <c r="AX164" s="296" t="s">
        <v>1124</v>
      </c>
      <c r="AY164" s="296"/>
      <c r="AZ164" s="296"/>
      <c r="BA164" s="296" t="s">
        <v>643</v>
      </c>
      <c r="BB164" s="296" t="s">
        <v>1125</v>
      </c>
      <c r="BC164" s="296" t="s">
        <v>1126</v>
      </c>
      <c r="BD164" s="296" t="s">
        <v>1127</v>
      </c>
      <c r="BE164" s="296" t="s">
        <v>1132</v>
      </c>
      <c r="BF164" s="296" t="s">
        <v>1133</v>
      </c>
      <c r="BG164" s="296"/>
      <c r="BH164" s="296"/>
      <c r="BI164" s="296"/>
      <c r="BJ164" s="296"/>
      <c r="BK164" s="296"/>
      <c r="BL164" s="296"/>
      <c r="BM164" s="296"/>
      <c r="BN164" s="296"/>
      <c r="BO164" s="296"/>
      <c r="BP164" s="296"/>
    </row>
    <row r="165" customHeight="1" spans="1:68">
      <c r="A165" s="253">
        <v>73</v>
      </c>
      <c r="B165" s="250" t="str">
        <f t="shared" si="3"/>
        <v/>
      </c>
      <c r="C165" s="253"/>
      <c r="D165" s="252" t="str">
        <f>IFERROR(VLOOKUP(B165,列表!$B:$T,17,FALSE),"")</f>
        <v/>
      </c>
      <c r="AK165" s="296" t="s">
        <v>609</v>
      </c>
      <c r="AL165" s="296"/>
      <c r="AM165" s="296"/>
      <c r="AN165" s="296">
        <v>2</v>
      </c>
      <c r="AO165" s="296"/>
      <c r="AP165" s="296"/>
      <c r="AQ165" s="296"/>
      <c r="AR165" s="296">
        <v>1</v>
      </c>
      <c r="AS165" s="296">
        <v>1</v>
      </c>
      <c r="AT165" s="296" t="s">
        <v>1121</v>
      </c>
      <c r="AU165" s="296" t="s">
        <v>1122</v>
      </c>
      <c r="AV165" s="296" t="s">
        <v>1123</v>
      </c>
      <c r="AW165" s="296" t="s">
        <v>631</v>
      </c>
      <c r="AX165" s="296" t="s">
        <v>1124</v>
      </c>
      <c r="AY165" s="296"/>
      <c r="AZ165" s="296"/>
      <c r="BA165" s="296" t="s">
        <v>643</v>
      </c>
      <c r="BB165" s="296" t="s">
        <v>1125</v>
      </c>
      <c r="BC165" s="296" t="s">
        <v>1126</v>
      </c>
      <c r="BD165" s="296" t="s">
        <v>1127</v>
      </c>
      <c r="BE165" s="296" t="s">
        <v>1134</v>
      </c>
      <c r="BF165" s="296" t="s">
        <v>1135</v>
      </c>
      <c r="BG165" s="296"/>
      <c r="BH165" s="296"/>
      <c r="BI165" s="296"/>
      <c r="BJ165" s="296"/>
      <c r="BK165" s="296"/>
      <c r="BL165" s="296"/>
      <c r="BM165" s="296"/>
      <c r="BN165" s="296"/>
      <c r="BO165" s="296"/>
      <c r="BP165" s="296"/>
    </row>
    <row r="166" customHeight="1" spans="1:68">
      <c r="A166" s="253">
        <v>74</v>
      </c>
      <c r="B166" s="250" t="str">
        <f t="shared" si="3"/>
        <v/>
      </c>
      <c r="C166" s="253"/>
      <c r="D166" s="252" t="str">
        <f>IFERROR(VLOOKUP(B166,列表!$B:$T,17,FALSE),"")</f>
        <v/>
      </c>
      <c r="AK166" s="296" t="s">
        <v>610</v>
      </c>
      <c r="AL166" s="296"/>
      <c r="AM166" s="296"/>
      <c r="AN166" s="296">
        <v>2</v>
      </c>
      <c r="AO166" s="296"/>
      <c r="AP166" s="296"/>
      <c r="AQ166" s="296"/>
      <c r="AR166" s="296">
        <v>1</v>
      </c>
      <c r="AS166" s="296">
        <v>1</v>
      </c>
      <c r="AT166" s="296" t="s">
        <v>1121</v>
      </c>
      <c r="AU166" s="296" t="s">
        <v>1122</v>
      </c>
      <c r="AV166" s="296" t="s">
        <v>1123</v>
      </c>
      <c r="AW166" s="296" t="s">
        <v>631</v>
      </c>
      <c r="AX166" s="296" t="s">
        <v>1124</v>
      </c>
      <c r="AY166" s="296"/>
      <c r="AZ166" s="296"/>
      <c r="BA166" s="296" t="s">
        <v>643</v>
      </c>
      <c r="BB166" s="296" t="s">
        <v>1125</v>
      </c>
      <c r="BC166" s="296" t="s">
        <v>1126</v>
      </c>
      <c r="BD166" s="296" t="s">
        <v>1127</v>
      </c>
      <c r="BE166" s="296" t="s">
        <v>1136</v>
      </c>
      <c r="BF166" s="296" t="s">
        <v>1137</v>
      </c>
      <c r="BG166" s="296"/>
      <c r="BH166" s="296"/>
      <c r="BI166" s="296"/>
      <c r="BJ166" s="296"/>
      <c r="BK166" s="296"/>
      <c r="BL166" s="296"/>
      <c r="BM166" s="296"/>
      <c r="BN166" s="296"/>
      <c r="BO166" s="296"/>
      <c r="BP166" s="296"/>
    </row>
    <row r="167" customHeight="1" spans="1:68">
      <c r="A167" s="253">
        <v>75</v>
      </c>
      <c r="B167" s="250" t="str">
        <f t="shared" si="3"/>
        <v/>
      </c>
      <c r="C167" s="253"/>
      <c r="D167" s="252" t="str">
        <f>IFERROR(VLOOKUP(B167,列表!$B:$T,17,FALSE),"")</f>
        <v/>
      </c>
      <c r="AK167" s="296" t="s">
        <v>611</v>
      </c>
      <c r="AL167" s="296"/>
      <c r="AM167" s="296"/>
      <c r="AN167" s="296">
        <v>2</v>
      </c>
      <c r="AO167" s="296"/>
      <c r="AP167" s="296"/>
      <c r="AQ167" s="296"/>
      <c r="AR167" s="296">
        <v>1</v>
      </c>
      <c r="AS167" s="296">
        <v>1</v>
      </c>
      <c r="AT167" s="296" t="s">
        <v>1121</v>
      </c>
      <c r="AU167" s="296" t="s">
        <v>1122</v>
      </c>
      <c r="AV167" s="296" t="s">
        <v>1123</v>
      </c>
      <c r="AW167" s="296" t="s">
        <v>631</v>
      </c>
      <c r="AX167" s="296" t="s">
        <v>1124</v>
      </c>
      <c r="AY167" s="296"/>
      <c r="AZ167" s="296"/>
      <c r="BA167" s="296" t="s">
        <v>643</v>
      </c>
      <c r="BB167" s="296" t="s">
        <v>1125</v>
      </c>
      <c r="BC167" s="296" t="s">
        <v>1126</v>
      </c>
      <c r="BD167" s="296" t="s">
        <v>1127</v>
      </c>
      <c r="BE167" s="296" t="s">
        <v>1138</v>
      </c>
      <c r="BF167" s="296" t="s">
        <v>1139</v>
      </c>
      <c r="BG167" s="296"/>
      <c r="BH167" s="296"/>
      <c r="BI167" s="296"/>
      <c r="BJ167" s="296"/>
      <c r="BK167" s="296"/>
      <c r="BL167" s="296"/>
      <c r="BM167" s="296"/>
      <c r="BN167" s="296"/>
      <c r="BO167" s="296"/>
      <c r="BP167" s="296"/>
    </row>
    <row r="168" customHeight="1" spans="1:68">
      <c r="A168" s="253">
        <v>76</v>
      </c>
      <c r="B168" s="250" t="str">
        <f t="shared" si="3"/>
        <v/>
      </c>
      <c r="C168" s="253"/>
      <c r="D168" s="252" t="str">
        <f>IFERROR(VLOOKUP(B168,列表!$B:$T,17,FALSE),"")</f>
        <v/>
      </c>
      <c r="AK168" s="296" t="s">
        <v>612</v>
      </c>
      <c r="AL168" s="296"/>
      <c r="AM168" s="296"/>
      <c r="AN168" s="296"/>
      <c r="AO168" s="296">
        <v>2</v>
      </c>
      <c r="AP168" s="296">
        <v>1</v>
      </c>
      <c r="AQ168" s="296"/>
      <c r="AR168" s="296"/>
      <c r="AS168" s="296"/>
      <c r="AT168" s="296" t="s">
        <v>1140</v>
      </c>
      <c r="AU168" s="296" t="s">
        <v>1141</v>
      </c>
      <c r="AV168" s="296" t="s">
        <v>1142</v>
      </c>
      <c r="AW168" s="296" t="s">
        <v>631</v>
      </c>
      <c r="AX168" s="296" t="s">
        <v>1143</v>
      </c>
      <c r="AY168" s="296"/>
      <c r="AZ168" s="296"/>
      <c r="BA168" s="296" t="s">
        <v>1144</v>
      </c>
      <c r="BB168" s="296" t="s">
        <v>1145</v>
      </c>
      <c r="BC168" s="296" t="s">
        <v>1146</v>
      </c>
      <c r="BD168" s="296" t="s">
        <v>1147</v>
      </c>
      <c r="BE168" s="296" t="s">
        <v>1148</v>
      </c>
      <c r="BF168" s="296" t="s">
        <v>1149</v>
      </c>
      <c r="BG168" s="296"/>
      <c r="BH168" s="296"/>
      <c r="BI168" s="296"/>
      <c r="BJ168" s="296"/>
      <c r="BK168" s="296"/>
      <c r="BL168" s="296"/>
      <c r="BM168" s="296"/>
      <c r="BN168" s="296"/>
      <c r="BO168" s="296"/>
      <c r="BP168" s="296"/>
    </row>
    <row r="169" customHeight="1" spans="1:68">
      <c r="A169" s="253">
        <v>77</v>
      </c>
      <c r="B169" s="250" t="str">
        <f t="shared" si="3"/>
        <v/>
      </c>
      <c r="C169" s="253"/>
      <c r="D169" s="252" t="str">
        <f>IFERROR(VLOOKUP(B169,列表!$B:$T,17,FALSE),"")</f>
        <v/>
      </c>
      <c r="AK169" s="296" t="s">
        <v>614</v>
      </c>
      <c r="AL169" s="296"/>
      <c r="AM169" s="296"/>
      <c r="AN169" s="296"/>
      <c r="AO169" s="296">
        <v>1</v>
      </c>
      <c r="AP169" s="296"/>
      <c r="AQ169" s="296">
        <v>2</v>
      </c>
      <c r="AR169" s="296"/>
      <c r="AS169" s="296"/>
      <c r="AT169" s="296" t="s">
        <v>1150</v>
      </c>
      <c r="AU169" s="296" t="s">
        <v>1151</v>
      </c>
      <c r="AV169" s="296" t="s">
        <v>1152</v>
      </c>
      <c r="AW169" s="296" t="s">
        <v>631</v>
      </c>
      <c r="AX169" s="296" t="s">
        <v>1153</v>
      </c>
      <c r="AY169" s="296"/>
      <c r="AZ169" s="296"/>
      <c r="BA169" s="296" t="s">
        <v>1154</v>
      </c>
      <c r="BB169" s="296" t="s">
        <v>1155</v>
      </c>
      <c r="BC169" s="296" t="s">
        <v>1156</v>
      </c>
      <c r="BD169" s="296" t="s">
        <v>1157</v>
      </c>
      <c r="BE169" s="296" t="s">
        <v>1158</v>
      </c>
      <c r="BF169" s="296" t="s">
        <v>1159</v>
      </c>
      <c r="BG169" s="296" t="s">
        <v>1160</v>
      </c>
      <c r="BH169" s="296" t="s">
        <v>1161</v>
      </c>
      <c r="BI169" s="296"/>
      <c r="BJ169" s="296"/>
      <c r="BK169" s="296"/>
      <c r="BL169" s="296"/>
      <c r="BM169" s="296"/>
      <c r="BN169" s="296"/>
      <c r="BO169" s="296"/>
      <c r="BP169" s="296"/>
    </row>
    <row r="170" customHeight="1" spans="1:68">
      <c r="A170" s="253">
        <v>78</v>
      </c>
      <c r="B170" s="250" t="str">
        <f t="shared" si="3"/>
        <v/>
      </c>
      <c r="C170" s="253"/>
      <c r="D170" s="252" t="str">
        <f>IFERROR(VLOOKUP(B170,列表!$B:$T,17,FALSE),"")</f>
        <v/>
      </c>
      <c r="AK170" s="296" t="s">
        <v>615</v>
      </c>
      <c r="AL170" s="296"/>
      <c r="AM170" s="296">
        <v>1</v>
      </c>
      <c r="AN170" s="296"/>
      <c r="AO170" s="296"/>
      <c r="AP170" s="296"/>
      <c r="AQ170" s="296">
        <v>2</v>
      </c>
      <c r="AR170" s="296"/>
      <c r="AS170" s="296"/>
      <c r="AT170" s="296" t="s">
        <v>1150</v>
      </c>
      <c r="AU170" s="296" t="s">
        <v>1151</v>
      </c>
      <c r="AV170" s="296" t="s">
        <v>1152</v>
      </c>
      <c r="AW170" s="296" t="s">
        <v>631</v>
      </c>
      <c r="AX170" s="296" t="s">
        <v>1153</v>
      </c>
      <c r="AY170" s="296"/>
      <c r="AZ170" s="296"/>
      <c r="BA170" s="296" t="s">
        <v>1154</v>
      </c>
      <c r="BB170" s="296" t="s">
        <v>1155</v>
      </c>
      <c r="BC170" s="296" t="s">
        <v>1156</v>
      </c>
      <c r="BD170" s="296" t="s">
        <v>1157</v>
      </c>
      <c r="BE170" s="296" t="s">
        <v>1158</v>
      </c>
      <c r="BF170" s="296" t="s">
        <v>1159</v>
      </c>
      <c r="BG170" s="296" t="s">
        <v>1160</v>
      </c>
      <c r="BH170" s="296" t="s">
        <v>1161</v>
      </c>
      <c r="BI170" s="296"/>
      <c r="BJ170" s="296"/>
      <c r="BK170" s="296"/>
      <c r="BL170" s="296"/>
      <c r="BM170" s="296"/>
      <c r="BN170" s="296"/>
      <c r="BO170" s="296"/>
      <c r="BP170" s="296"/>
    </row>
    <row r="171" customHeight="1" spans="1:68">
      <c r="A171" s="253">
        <v>79</v>
      </c>
      <c r="B171" s="250" t="str">
        <f t="shared" si="3"/>
        <v/>
      </c>
      <c r="C171" s="253"/>
      <c r="D171" s="252" t="str">
        <f>IFERROR(VLOOKUP(B171,列表!$B:$T,17,FALSE),"")</f>
        <v/>
      </c>
      <c r="AK171" s="296" t="s">
        <v>616</v>
      </c>
      <c r="AL171" s="296"/>
      <c r="AM171" s="296"/>
      <c r="AN171" s="296"/>
      <c r="AO171" s="296"/>
      <c r="AP171" s="296">
        <v>1</v>
      </c>
      <c r="AQ171" s="296">
        <v>1</v>
      </c>
      <c r="AR171" s="296">
        <v>1</v>
      </c>
      <c r="AS171" s="296">
        <v>1</v>
      </c>
      <c r="AT171" s="296" t="s">
        <v>1162</v>
      </c>
      <c r="AU171" s="296" t="s">
        <v>1163</v>
      </c>
      <c r="AV171" s="296" t="s">
        <v>1164</v>
      </c>
      <c r="AW171" s="296" t="s">
        <v>631</v>
      </c>
      <c r="AX171" s="296" t="s">
        <v>1165</v>
      </c>
      <c r="AY171" s="296"/>
      <c r="AZ171" s="296"/>
      <c r="BA171" s="296" t="s">
        <v>1166</v>
      </c>
      <c r="BB171" s="296" t="s">
        <v>1167</v>
      </c>
      <c r="BC171" s="296" t="s">
        <v>1168</v>
      </c>
      <c r="BD171" s="296" t="s">
        <v>1169</v>
      </c>
      <c r="BE171" s="296" t="s">
        <v>1170</v>
      </c>
      <c r="BF171" s="296" t="s">
        <v>1171</v>
      </c>
      <c r="BG171" s="296" t="s">
        <v>1172</v>
      </c>
      <c r="BH171" s="296" t="s">
        <v>1173</v>
      </c>
      <c r="BI171" s="296" t="s">
        <v>1174</v>
      </c>
      <c r="BJ171" s="296" t="s">
        <v>1175</v>
      </c>
      <c r="BK171" s="296"/>
      <c r="BL171" s="296"/>
      <c r="BM171" s="296"/>
      <c r="BN171" s="296"/>
      <c r="BO171" s="296"/>
      <c r="BP171" s="296"/>
    </row>
    <row r="172" customHeight="1" spans="1:68">
      <c r="A172" s="253">
        <v>80</v>
      </c>
      <c r="B172" s="250" t="str">
        <f t="shared" si="3"/>
        <v/>
      </c>
      <c r="C172" s="253"/>
      <c r="D172" s="252" t="str">
        <f>IFERROR(VLOOKUP(B172,列表!$B:$T,17,FALSE),"")</f>
        <v/>
      </c>
      <c r="AK172" s="296" t="s">
        <v>617</v>
      </c>
      <c r="AL172" s="296"/>
      <c r="AM172" s="296">
        <v>1</v>
      </c>
      <c r="AN172" s="296"/>
      <c r="AO172" s="296"/>
      <c r="AP172" s="296"/>
      <c r="AQ172" s="296"/>
      <c r="AR172" s="296"/>
      <c r="AS172" s="296"/>
      <c r="AT172" s="296" t="s">
        <v>1176</v>
      </c>
      <c r="AU172" s="296" t="s">
        <v>1177</v>
      </c>
      <c r="AV172" s="296" t="s">
        <v>1178</v>
      </c>
      <c r="AW172" s="296" t="s">
        <v>631</v>
      </c>
      <c r="AX172" s="296" t="s">
        <v>1179</v>
      </c>
      <c r="AY172" s="296"/>
      <c r="AZ172" s="296"/>
      <c r="BA172" s="296" t="s">
        <v>643</v>
      </c>
      <c r="BB172" s="296" t="s">
        <v>735</v>
      </c>
      <c r="BC172" s="296" t="s">
        <v>665</v>
      </c>
      <c r="BD172" s="296" t="s">
        <v>1180</v>
      </c>
      <c r="BE172" s="296" t="s">
        <v>1181</v>
      </c>
      <c r="BF172" s="296" t="s">
        <v>1182</v>
      </c>
      <c r="BG172" s="296"/>
      <c r="BH172" s="296"/>
      <c r="BI172" s="296"/>
      <c r="BJ172" s="296"/>
      <c r="BK172" s="296"/>
      <c r="BL172" s="296"/>
      <c r="BM172" s="296"/>
      <c r="BN172" s="296"/>
      <c r="BO172" s="296"/>
      <c r="BP172" s="296"/>
    </row>
    <row r="173" customHeight="1" spans="1:68">
      <c r="A173" s="253">
        <v>81</v>
      </c>
      <c r="B173" s="250" t="str">
        <f t="shared" si="3"/>
        <v/>
      </c>
      <c r="C173" s="253"/>
      <c r="D173" s="252" t="str">
        <f>IFERROR(VLOOKUP(B173,列表!$B:$T,17,FALSE),"")</f>
        <v/>
      </c>
      <c r="AK173" s="296" t="s">
        <v>618</v>
      </c>
      <c r="AL173" s="296"/>
      <c r="AM173" s="296">
        <v>1</v>
      </c>
      <c r="AN173" s="296">
        <v>2</v>
      </c>
      <c r="AO173" s="296"/>
      <c r="AP173" s="296"/>
      <c r="AQ173" s="296"/>
      <c r="AR173" s="296"/>
      <c r="AS173" s="296"/>
      <c r="AT173" s="296" t="s">
        <v>1176</v>
      </c>
      <c r="AU173" s="296" t="s">
        <v>1177</v>
      </c>
      <c r="AV173" s="296" t="s">
        <v>1178</v>
      </c>
      <c r="AW173" s="296" t="s">
        <v>631</v>
      </c>
      <c r="AX173" s="296" t="s">
        <v>1179</v>
      </c>
      <c r="AY173" s="296"/>
      <c r="AZ173" s="296"/>
      <c r="BA173" s="296" t="s">
        <v>643</v>
      </c>
      <c r="BB173" s="296" t="s">
        <v>735</v>
      </c>
      <c r="BC173" s="296" t="s">
        <v>665</v>
      </c>
      <c r="BD173" s="296" t="s">
        <v>1180</v>
      </c>
      <c r="BE173" s="296" t="s">
        <v>1181</v>
      </c>
      <c r="BF173" s="296" t="s">
        <v>1182</v>
      </c>
      <c r="BG173" s="296" t="s">
        <v>1183</v>
      </c>
      <c r="BH173" s="296" t="s">
        <v>1184</v>
      </c>
      <c r="BI173" s="296" t="s">
        <v>1185</v>
      </c>
      <c r="BJ173" s="296" t="s">
        <v>1186</v>
      </c>
      <c r="BK173" s="296"/>
      <c r="BL173" s="296"/>
      <c r="BM173" s="296"/>
      <c r="BN173" s="296"/>
      <c r="BO173" s="296"/>
      <c r="BP173" s="296"/>
    </row>
    <row r="174" customHeight="1" spans="1:68">
      <c r="A174" s="253">
        <v>82</v>
      </c>
      <c r="B174" s="250" t="str">
        <f t="shared" si="3"/>
        <v/>
      </c>
      <c r="C174" s="253"/>
      <c r="D174" s="252" t="str">
        <f>IFERROR(VLOOKUP(B174,列表!$B:$T,17,FALSE),"")</f>
        <v/>
      </c>
      <c r="AK174" s="296" t="s">
        <v>619</v>
      </c>
      <c r="AL174" s="296">
        <v>2</v>
      </c>
      <c r="AM174" s="296">
        <v>1</v>
      </c>
      <c r="AN174" s="296"/>
      <c r="AO174" s="296"/>
      <c r="AP174" s="296"/>
      <c r="AQ174" s="296"/>
      <c r="AR174" s="296"/>
      <c r="AS174" s="296"/>
      <c r="AT174" s="296" t="s">
        <v>1176</v>
      </c>
      <c r="AU174" s="296" t="s">
        <v>1177</v>
      </c>
      <c r="AV174" s="296" t="s">
        <v>1178</v>
      </c>
      <c r="AW174" s="296" t="s">
        <v>631</v>
      </c>
      <c r="AX174" s="296" t="s">
        <v>1179</v>
      </c>
      <c r="AY174" s="296"/>
      <c r="AZ174" s="296"/>
      <c r="BA174" s="296" t="s">
        <v>643</v>
      </c>
      <c r="BB174" s="296" t="s">
        <v>735</v>
      </c>
      <c r="BC174" s="296" t="s">
        <v>665</v>
      </c>
      <c r="BD174" s="296" t="s">
        <v>1180</v>
      </c>
      <c r="BE174" s="296" t="s">
        <v>1181</v>
      </c>
      <c r="BF174" s="296" t="s">
        <v>1182</v>
      </c>
      <c r="BG174" s="296" t="s">
        <v>1187</v>
      </c>
      <c r="BH174" s="296" t="s">
        <v>1188</v>
      </c>
      <c r="BI174" s="296" t="s">
        <v>1185</v>
      </c>
      <c r="BJ174" s="296" t="s">
        <v>1189</v>
      </c>
      <c r="BK174" s="296"/>
      <c r="BL174" s="296"/>
      <c r="BM174" s="296"/>
      <c r="BN174" s="296"/>
      <c r="BO174" s="296"/>
      <c r="BP174" s="296"/>
    </row>
    <row r="175" customHeight="1" spans="1:68">
      <c r="A175" s="253">
        <v>83</v>
      </c>
      <c r="B175" s="250" t="str">
        <f t="shared" si="3"/>
        <v/>
      </c>
      <c r="C175" s="253"/>
      <c r="D175" s="252" t="str">
        <f>IFERROR(VLOOKUP(B175,列表!$B:$T,17,FALSE),"")</f>
        <v/>
      </c>
      <c r="AK175" s="296" t="s">
        <v>620</v>
      </c>
      <c r="AL175" s="296"/>
      <c r="AM175" s="296">
        <v>2</v>
      </c>
      <c r="AN175" s="296"/>
      <c r="AO175" s="296"/>
      <c r="AP175" s="296"/>
      <c r="AQ175" s="296">
        <v>1</v>
      </c>
      <c r="AR175" s="296"/>
      <c r="AS175" s="296"/>
      <c r="AT175" s="296" t="s">
        <v>1176</v>
      </c>
      <c r="AU175" s="296" t="s">
        <v>1177</v>
      </c>
      <c r="AV175" s="296" t="s">
        <v>1178</v>
      </c>
      <c r="AW175" s="296" t="s">
        <v>631</v>
      </c>
      <c r="AX175" s="296" t="s">
        <v>1179</v>
      </c>
      <c r="AY175" s="296"/>
      <c r="AZ175" s="296"/>
      <c r="BA175" s="296" t="s">
        <v>643</v>
      </c>
      <c r="BB175" s="296" t="s">
        <v>735</v>
      </c>
      <c r="BC175" s="296" t="s">
        <v>665</v>
      </c>
      <c r="BD175" s="296" t="s">
        <v>1180</v>
      </c>
      <c r="BE175" s="296" t="s">
        <v>1181</v>
      </c>
      <c r="BF175" s="296" t="s">
        <v>1182</v>
      </c>
      <c r="BG175" s="296" t="s">
        <v>1190</v>
      </c>
      <c r="BH175" s="296" t="s">
        <v>1191</v>
      </c>
      <c r="BI175" s="296" t="s">
        <v>1185</v>
      </c>
      <c r="BJ175" s="296" t="s">
        <v>1192</v>
      </c>
      <c r="BK175" s="296" t="s">
        <v>1193</v>
      </c>
      <c r="BL175" s="296" t="s">
        <v>1194</v>
      </c>
      <c r="BM175" s="296"/>
      <c r="BN175" s="296"/>
      <c r="BO175" s="296"/>
      <c r="BP175" s="296"/>
    </row>
    <row r="176" customHeight="1" spans="1:68">
      <c r="A176" s="253">
        <v>84</v>
      </c>
      <c r="B176" s="250" t="str">
        <f t="shared" si="3"/>
        <v/>
      </c>
      <c r="C176" s="253"/>
      <c r="D176" s="252" t="str">
        <f>IFERROR(VLOOKUP(B176,列表!$B:$T,17,FALSE),"")</f>
        <v/>
      </c>
      <c r="AK176" s="296" t="s">
        <v>621</v>
      </c>
      <c r="AL176" s="296"/>
      <c r="AM176" s="296">
        <v>1</v>
      </c>
      <c r="AN176" s="296"/>
      <c r="AO176" s="296"/>
      <c r="AP176" s="296">
        <v>2</v>
      </c>
      <c r="AQ176" s="296"/>
      <c r="AR176" s="296"/>
      <c r="AS176" s="296"/>
      <c r="AT176" s="296" t="s">
        <v>1176</v>
      </c>
      <c r="AU176" s="296" t="s">
        <v>1177</v>
      </c>
      <c r="AV176" s="296" t="s">
        <v>1178</v>
      </c>
      <c r="AW176" s="296" t="s">
        <v>631</v>
      </c>
      <c r="AX176" s="296" t="s">
        <v>1179</v>
      </c>
      <c r="AY176" s="296"/>
      <c r="AZ176" s="296"/>
      <c r="BA176" s="296" t="s">
        <v>643</v>
      </c>
      <c r="BB176" s="296" t="s">
        <v>735</v>
      </c>
      <c r="BC176" s="296" t="s">
        <v>665</v>
      </c>
      <c r="BD176" s="296" t="s">
        <v>1180</v>
      </c>
      <c r="BE176" s="296" t="s">
        <v>1181</v>
      </c>
      <c r="BF176" s="296" t="s">
        <v>1182</v>
      </c>
      <c r="BG176" s="296" t="s">
        <v>1195</v>
      </c>
      <c r="BH176" s="296" t="s">
        <v>1196</v>
      </c>
      <c r="BI176" s="296" t="s">
        <v>1185</v>
      </c>
      <c r="BJ176" s="296" t="s">
        <v>1197</v>
      </c>
      <c r="BK176" s="296" t="s">
        <v>1198</v>
      </c>
      <c r="BL176" s="296" t="s">
        <v>1199</v>
      </c>
      <c r="BM176" s="296"/>
      <c r="BN176" s="296"/>
      <c r="BO176" s="296"/>
      <c r="BP176" s="296"/>
    </row>
    <row r="177" customHeight="1" spans="1:68">
      <c r="A177" s="253">
        <v>85</v>
      </c>
      <c r="B177" s="250" t="str">
        <f t="shared" si="3"/>
        <v/>
      </c>
      <c r="C177" s="253"/>
      <c r="D177" s="252" t="str">
        <f>IFERROR(VLOOKUP(B177,列表!$B:$T,17,FALSE),"")</f>
        <v/>
      </c>
      <c r="AK177" s="296" t="s">
        <v>622</v>
      </c>
      <c r="AL177" s="296"/>
      <c r="AM177" s="296"/>
      <c r="AN177" s="296">
        <v>1</v>
      </c>
      <c r="AO177" s="296"/>
      <c r="AP177" s="296"/>
      <c r="AQ177" s="296"/>
      <c r="AR177" s="296"/>
      <c r="AS177" s="296"/>
      <c r="AT177" s="296" t="s">
        <v>1200</v>
      </c>
      <c r="AU177" s="296" t="s">
        <v>1201</v>
      </c>
      <c r="AV177" s="296" t="s">
        <v>1202</v>
      </c>
      <c r="AW177" s="296" t="s">
        <v>631</v>
      </c>
      <c r="AX177" s="296" t="s">
        <v>1179</v>
      </c>
      <c r="AY177" s="296"/>
      <c r="AZ177" s="296"/>
      <c r="BA177" s="296" t="s">
        <v>1203</v>
      </c>
      <c r="BB177" s="296" t="s">
        <v>1204</v>
      </c>
      <c r="BC177" s="296" t="s">
        <v>1205</v>
      </c>
      <c r="BD177" s="296" t="s">
        <v>1206</v>
      </c>
      <c r="BE177" s="296" t="s">
        <v>1207</v>
      </c>
      <c r="BF177" s="296" t="s">
        <v>1208</v>
      </c>
      <c r="BG177" s="296"/>
      <c r="BH177" s="296"/>
      <c r="BI177" s="296"/>
      <c r="BJ177" s="296"/>
      <c r="BK177" s="296"/>
      <c r="BL177" s="296"/>
      <c r="BM177" s="296"/>
      <c r="BN177" s="296"/>
      <c r="BO177" s="296"/>
      <c r="BP177" s="296"/>
    </row>
    <row r="178" customHeight="1" spans="1:68">
      <c r="A178" s="253">
        <v>86</v>
      </c>
      <c r="B178" s="250" t="str">
        <f t="shared" si="3"/>
        <v/>
      </c>
      <c r="C178" s="253"/>
      <c r="D178" s="252" t="str">
        <f>IFERROR(VLOOKUP(B178,列表!$B:$T,17,FALSE),"")</f>
        <v/>
      </c>
      <c r="AK178" s="296" t="s">
        <v>623</v>
      </c>
      <c r="AL178" s="296"/>
      <c r="AM178" s="296"/>
      <c r="AN178" s="296">
        <v>1</v>
      </c>
      <c r="AO178" s="296"/>
      <c r="AP178" s="296"/>
      <c r="AQ178" s="296"/>
      <c r="AR178" s="296">
        <v>2</v>
      </c>
      <c r="AS178" s="296">
        <v>1</v>
      </c>
      <c r="AT178" s="296" t="s">
        <v>1200</v>
      </c>
      <c r="AU178" s="296" t="s">
        <v>1201</v>
      </c>
      <c r="AV178" s="296" t="s">
        <v>1202</v>
      </c>
      <c r="AW178" s="296" t="s">
        <v>631</v>
      </c>
      <c r="AX178" s="296" t="s">
        <v>1179</v>
      </c>
      <c r="AY178" s="296"/>
      <c r="AZ178" s="296"/>
      <c r="BA178" s="296" t="s">
        <v>1203</v>
      </c>
      <c r="BB178" s="296" t="s">
        <v>1204</v>
      </c>
      <c r="BC178" s="296" t="s">
        <v>1205</v>
      </c>
      <c r="BD178" s="296" t="s">
        <v>1206</v>
      </c>
      <c r="BE178" s="296" t="s">
        <v>1207</v>
      </c>
      <c r="BF178" s="296" t="s">
        <v>1208</v>
      </c>
      <c r="BG178" s="296" t="s">
        <v>1209</v>
      </c>
      <c r="BH178" s="296" t="s">
        <v>1210</v>
      </c>
      <c r="BI178" s="296" t="s">
        <v>1211</v>
      </c>
      <c r="BJ178" s="296" t="s">
        <v>1212</v>
      </c>
      <c r="BK178" s="296"/>
      <c r="BL178" s="296"/>
      <c r="BM178" s="296"/>
      <c r="BN178" s="296"/>
      <c r="BO178" s="296"/>
      <c r="BP178" s="296"/>
    </row>
    <row r="179" customHeight="1" spans="1:68">
      <c r="A179" s="253">
        <v>87</v>
      </c>
      <c r="B179" s="250" t="str">
        <f t="shared" si="3"/>
        <v/>
      </c>
      <c r="C179" s="253"/>
      <c r="D179" s="252" t="str">
        <f>IFERROR(VLOOKUP(B179,列表!$B:$T,17,FALSE),"")</f>
        <v/>
      </c>
      <c r="AK179" s="296" t="s">
        <v>624</v>
      </c>
      <c r="AL179" s="296">
        <v>2</v>
      </c>
      <c r="AM179" s="296"/>
      <c r="AN179" s="296">
        <v>1</v>
      </c>
      <c r="AO179" s="296"/>
      <c r="AP179" s="296"/>
      <c r="AQ179" s="296"/>
      <c r="AR179" s="296"/>
      <c r="AS179" s="296"/>
      <c r="AT179" s="296" t="s">
        <v>1200</v>
      </c>
      <c r="AU179" s="296" t="s">
        <v>1201</v>
      </c>
      <c r="AV179" s="296" t="s">
        <v>1202</v>
      </c>
      <c r="AW179" s="296" t="s">
        <v>631</v>
      </c>
      <c r="AX179" s="296" t="s">
        <v>1179</v>
      </c>
      <c r="AY179" s="296"/>
      <c r="AZ179" s="296"/>
      <c r="BA179" s="296" t="s">
        <v>1203</v>
      </c>
      <c r="BB179" s="296" t="s">
        <v>1204</v>
      </c>
      <c r="BC179" s="296" t="s">
        <v>1205</v>
      </c>
      <c r="BD179" s="296" t="s">
        <v>1206</v>
      </c>
      <c r="BE179" s="296" t="s">
        <v>1207</v>
      </c>
      <c r="BF179" s="296" t="s">
        <v>1208</v>
      </c>
      <c r="BG179" s="296" t="s">
        <v>1213</v>
      </c>
      <c r="BH179" s="296" t="s">
        <v>1214</v>
      </c>
      <c r="BI179" s="296" t="s">
        <v>1215</v>
      </c>
      <c r="BJ179" s="296" t="s">
        <v>1216</v>
      </c>
      <c r="BK179" s="296"/>
      <c r="BL179" s="296"/>
      <c r="BM179" s="296"/>
      <c r="BN179" s="296"/>
      <c r="BO179" s="296"/>
      <c r="BP179" s="296"/>
    </row>
    <row r="180" customHeight="1" spans="1:68">
      <c r="A180" s="253">
        <v>88</v>
      </c>
      <c r="B180" s="250" t="str">
        <f t="shared" si="3"/>
        <v/>
      </c>
      <c r="C180" s="253"/>
      <c r="D180" s="252" t="str">
        <f>IFERROR(VLOOKUP(B180,列表!$B:$T,17,FALSE),"")</f>
        <v/>
      </c>
      <c r="AK180" s="296" t="s">
        <v>625</v>
      </c>
      <c r="AL180" s="296"/>
      <c r="AM180" s="296">
        <v>2</v>
      </c>
      <c r="AN180" s="296">
        <v>1</v>
      </c>
      <c r="AO180" s="296"/>
      <c r="AP180" s="296"/>
      <c r="AQ180" s="296"/>
      <c r="AR180" s="296"/>
      <c r="AS180" s="296"/>
      <c r="AT180" s="296" t="s">
        <v>1200</v>
      </c>
      <c r="AU180" s="296" t="s">
        <v>1201</v>
      </c>
      <c r="AV180" s="296" t="s">
        <v>1202</v>
      </c>
      <c r="AW180" s="296" t="s">
        <v>631</v>
      </c>
      <c r="AX180" s="296" t="s">
        <v>1179</v>
      </c>
      <c r="AY180" s="296"/>
      <c r="AZ180" s="296"/>
      <c r="BA180" s="296" t="s">
        <v>1203</v>
      </c>
      <c r="BB180" s="296" t="s">
        <v>1204</v>
      </c>
      <c r="BC180" s="296" t="s">
        <v>1205</v>
      </c>
      <c r="BD180" s="296" t="s">
        <v>1206</v>
      </c>
      <c r="BE180" s="296" t="s">
        <v>1207</v>
      </c>
      <c r="BF180" s="296" t="s">
        <v>1208</v>
      </c>
      <c r="BG180" s="296" t="s">
        <v>1217</v>
      </c>
      <c r="BH180" s="296" t="s">
        <v>1194</v>
      </c>
      <c r="BI180" s="296" t="s">
        <v>1218</v>
      </c>
      <c r="BJ180" s="296" t="s">
        <v>1219</v>
      </c>
      <c r="BK180" s="296"/>
      <c r="BL180" s="296"/>
      <c r="BM180" s="296"/>
      <c r="BN180" s="296"/>
      <c r="BO180" s="296"/>
      <c r="BP180" s="296"/>
    </row>
    <row r="181" customHeight="1" spans="1:68">
      <c r="A181" s="253">
        <v>89</v>
      </c>
      <c r="B181" s="250" t="str">
        <f t="shared" si="3"/>
        <v/>
      </c>
      <c r="C181" s="253"/>
      <c r="D181" s="252" t="str">
        <f>IFERROR(VLOOKUP(B181,列表!$B:$T,17,FALSE),"")</f>
        <v/>
      </c>
    </row>
    <row r="182" customHeight="1" spans="1:68">
      <c r="A182" s="253">
        <v>90</v>
      </c>
      <c r="B182" s="250" t="str">
        <f t="shared" si="3"/>
        <v/>
      </c>
      <c r="C182" s="253"/>
      <c r="D182" s="252" t="str">
        <f>IFERROR(VLOOKUP(B182,列表!$B:$T,17,FALSE),"")</f>
        <v/>
      </c>
    </row>
    <row r="183" customHeight="1" spans="1:68">
      <c r="A183" s="253">
        <v>91</v>
      </c>
      <c r="B183" s="250" t="str">
        <f>F1</f>
        <v/>
      </c>
      <c r="C183" s="253"/>
      <c r="D183" s="252" t="str">
        <f>IFERROR(VLOOKUP(B183,列表!$B:$T,17,FALSE),"")</f>
        <v/>
      </c>
    </row>
    <row r="184" customHeight="1" spans="1:68">
      <c r="A184" s="253">
        <v>92</v>
      </c>
      <c r="B184" s="250" t="str">
        <f t="shared" ref="B184:B219" si="4">F2</f>
        <v/>
      </c>
      <c r="C184" s="253"/>
      <c r="D184" s="252" t="str">
        <f>IFERROR(VLOOKUP(B184,列表!$B:$T,17,FALSE),"")</f>
        <v/>
      </c>
    </row>
    <row r="185" customHeight="1" spans="1:68">
      <c r="A185" s="253">
        <v>93</v>
      </c>
      <c r="B185" s="250" t="str">
        <f t="shared" si="4"/>
        <v/>
      </c>
      <c r="C185" s="253"/>
      <c r="D185" s="252" t="str">
        <f>IFERROR(VLOOKUP(B185,列表!$B:$T,17,FALSE),"")</f>
        <v/>
      </c>
    </row>
    <row r="186" customHeight="1" spans="1:68">
      <c r="A186" s="253">
        <v>94</v>
      </c>
      <c r="B186" s="250" t="str">
        <f t="shared" si="4"/>
        <v/>
      </c>
      <c r="C186" s="253"/>
      <c r="D186" s="252" t="str">
        <f>IFERROR(VLOOKUP(B186,列表!$B:$T,17,FALSE),"")</f>
        <v/>
      </c>
    </row>
    <row r="187" customHeight="1" spans="1:68">
      <c r="A187" s="253">
        <v>95</v>
      </c>
      <c r="B187" s="250" t="str">
        <f t="shared" si="4"/>
        <v/>
      </c>
      <c r="C187" s="253"/>
      <c r="D187" s="252" t="str">
        <f>IFERROR(VLOOKUP(B187,列表!$B:$T,17,FALSE),"")</f>
        <v/>
      </c>
    </row>
    <row r="188" customHeight="1" spans="1:68">
      <c r="A188" s="253">
        <v>96</v>
      </c>
      <c r="B188" s="250" t="str">
        <f t="shared" si="4"/>
        <v/>
      </c>
      <c r="C188" s="253"/>
      <c r="D188" s="252" t="str">
        <f>IFERROR(VLOOKUP(B188,列表!$B:$T,17,FALSE),"")</f>
        <v/>
      </c>
    </row>
    <row r="189" customHeight="1" spans="1:68">
      <c r="A189" s="253">
        <v>97</v>
      </c>
      <c r="B189" s="250" t="str">
        <f t="shared" si="4"/>
        <v/>
      </c>
      <c r="C189" s="253"/>
      <c r="D189" s="252" t="str">
        <f>IFERROR(VLOOKUP(B189,列表!$B:$T,17,FALSE),"")</f>
        <v/>
      </c>
    </row>
    <row r="190" customHeight="1" spans="1:68">
      <c r="A190" s="253">
        <v>98</v>
      </c>
      <c r="B190" s="250" t="str">
        <f t="shared" si="4"/>
        <v/>
      </c>
      <c r="C190" s="253"/>
      <c r="D190" s="252" t="str">
        <f>IFERROR(VLOOKUP(B190,列表!$B:$T,17,FALSE),"")</f>
        <v/>
      </c>
    </row>
    <row r="191" customHeight="1" spans="1:68">
      <c r="A191" s="253">
        <v>99</v>
      </c>
      <c r="B191" s="250" t="str">
        <f t="shared" si="4"/>
        <v/>
      </c>
      <c r="C191" s="253"/>
      <c r="D191" s="252" t="str">
        <f>IFERROR(VLOOKUP(B191,列表!$B:$T,17,FALSE),"")</f>
        <v/>
      </c>
    </row>
    <row r="192" customHeight="1" spans="1:68">
      <c r="A192" s="253">
        <v>100</v>
      </c>
      <c r="B192" s="250" t="str">
        <f t="shared" si="4"/>
        <v/>
      </c>
      <c r="C192" s="253"/>
      <c r="D192" s="252" t="str">
        <f>IFERROR(VLOOKUP(B192,列表!$B:$T,17,FALSE),"")</f>
        <v/>
      </c>
    </row>
    <row r="193" customHeight="1" spans="1:4">
      <c r="A193" s="253">
        <v>101</v>
      </c>
      <c r="B193" s="250" t="str">
        <f t="shared" si="4"/>
        <v/>
      </c>
      <c r="C193" s="253"/>
      <c r="D193" s="252" t="str">
        <f>IFERROR(VLOOKUP(B193,列表!$B:$T,17,FALSE),"")</f>
        <v/>
      </c>
    </row>
    <row r="194" customHeight="1" spans="1:4">
      <c r="A194" s="253">
        <v>102</v>
      </c>
      <c r="B194" s="250" t="str">
        <f t="shared" si="4"/>
        <v/>
      </c>
      <c r="C194" s="253"/>
      <c r="D194" s="252" t="str">
        <f>IFERROR(VLOOKUP(B194,列表!$B:$T,17,FALSE),"")</f>
        <v/>
      </c>
    </row>
    <row r="195" customHeight="1" spans="1:4">
      <c r="A195" s="253">
        <v>103</v>
      </c>
      <c r="B195" s="250" t="str">
        <f t="shared" si="4"/>
        <v/>
      </c>
      <c r="C195" s="253"/>
      <c r="D195" s="252" t="str">
        <f>IFERROR(VLOOKUP(B195,列表!$B:$T,17,FALSE),"")</f>
        <v/>
      </c>
    </row>
    <row r="196" customHeight="1" spans="1:4">
      <c r="A196" s="253">
        <v>104</v>
      </c>
      <c r="B196" s="250" t="str">
        <f t="shared" si="4"/>
        <v/>
      </c>
      <c r="C196" s="253"/>
      <c r="D196" s="252" t="str">
        <f>IFERROR(VLOOKUP(B196,列表!$B:$T,17,FALSE),"")</f>
        <v/>
      </c>
    </row>
    <row r="197" customHeight="1" spans="1:4">
      <c r="A197" s="253">
        <v>105</v>
      </c>
      <c r="B197" s="250" t="str">
        <f t="shared" si="4"/>
        <v/>
      </c>
      <c r="C197" s="253"/>
      <c r="D197" s="252" t="str">
        <f>IFERROR(VLOOKUP(B197,列表!$B:$T,17,FALSE),"")</f>
        <v/>
      </c>
    </row>
    <row r="198" customHeight="1" spans="1:4">
      <c r="A198" s="253">
        <v>106</v>
      </c>
      <c r="B198" s="250" t="str">
        <f t="shared" si="4"/>
        <v/>
      </c>
      <c r="C198" s="253"/>
      <c r="D198" s="252" t="str">
        <f>IFERROR(VLOOKUP(B198,列表!$B:$T,17,FALSE),"")</f>
        <v/>
      </c>
    </row>
    <row r="199" customHeight="1" spans="1:4">
      <c r="A199" s="253">
        <v>107</v>
      </c>
      <c r="B199" s="250" t="str">
        <f t="shared" si="4"/>
        <v/>
      </c>
      <c r="C199" s="253"/>
      <c r="D199" s="252" t="str">
        <f>IFERROR(VLOOKUP(B199,列表!$B:$T,17,FALSE),"")</f>
        <v/>
      </c>
    </row>
    <row r="200" customHeight="1" spans="1:4">
      <c r="A200" s="253">
        <v>108</v>
      </c>
      <c r="B200" s="250" t="str">
        <f t="shared" si="4"/>
        <v/>
      </c>
      <c r="C200" s="253"/>
      <c r="D200" s="252" t="str">
        <f>IFERROR(VLOOKUP(B200,列表!$B:$T,17,FALSE),"")</f>
        <v/>
      </c>
    </row>
    <row r="201" customHeight="1" spans="1:4">
      <c r="A201" s="253">
        <v>109</v>
      </c>
      <c r="B201" s="250" t="str">
        <f t="shared" si="4"/>
        <v/>
      </c>
      <c r="C201" s="253"/>
      <c r="D201" s="252" t="str">
        <f>IFERROR(VLOOKUP(B201,列表!$B:$T,17,FALSE),"")</f>
        <v/>
      </c>
    </row>
    <row r="202" customHeight="1" spans="1:4">
      <c r="A202" s="253">
        <v>110</v>
      </c>
      <c r="B202" s="250" t="str">
        <f t="shared" si="4"/>
        <v/>
      </c>
      <c r="C202" s="253"/>
      <c r="D202" s="252" t="str">
        <f>IFERROR(VLOOKUP(B202,列表!$B:$T,17,FALSE),"")</f>
        <v/>
      </c>
    </row>
    <row r="203" customHeight="1" spans="1:4">
      <c r="A203" s="253">
        <v>111</v>
      </c>
      <c r="B203" s="250" t="str">
        <f t="shared" si="4"/>
        <v/>
      </c>
      <c r="C203" s="253"/>
      <c r="D203" s="252" t="str">
        <f>IFERROR(VLOOKUP(B203,列表!$B:$T,17,FALSE),"")</f>
        <v/>
      </c>
    </row>
    <row r="204" customHeight="1" spans="1:4">
      <c r="A204" s="253">
        <v>112</v>
      </c>
      <c r="B204" s="250" t="str">
        <f t="shared" si="4"/>
        <v/>
      </c>
      <c r="C204" s="253"/>
      <c r="D204" s="252" t="str">
        <f>IFERROR(VLOOKUP(B204,列表!$B:$T,17,FALSE),"")</f>
        <v/>
      </c>
    </row>
    <row r="205" customHeight="1" spans="1:4">
      <c r="A205" s="253">
        <v>113</v>
      </c>
      <c r="B205" s="250" t="str">
        <f t="shared" si="4"/>
        <v/>
      </c>
      <c r="C205" s="253"/>
      <c r="D205" s="252" t="str">
        <f>IFERROR(VLOOKUP(B205,列表!$B:$T,17,FALSE),"")</f>
        <v/>
      </c>
    </row>
    <row r="206" customHeight="1" spans="1:4">
      <c r="A206" s="253">
        <v>114</v>
      </c>
      <c r="B206" s="250" t="str">
        <f t="shared" si="4"/>
        <v/>
      </c>
      <c r="C206" s="253"/>
      <c r="D206" s="252" t="str">
        <f>IFERROR(VLOOKUP(B206,列表!$B:$T,17,FALSE),"")</f>
        <v/>
      </c>
    </row>
    <row r="207" customHeight="1" spans="1:4">
      <c r="A207" s="253">
        <v>115</v>
      </c>
      <c r="B207" s="250" t="str">
        <f t="shared" si="4"/>
        <v/>
      </c>
      <c r="C207" s="253"/>
      <c r="D207" s="252" t="str">
        <f>IFERROR(VLOOKUP(B207,列表!$B:$T,17,FALSE),"")</f>
        <v/>
      </c>
    </row>
    <row r="208" customHeight="1" spans="1:4">
      <c r="A208" s="253">
        <v>116</v>
      </c>
      <c r="B208" s="250" t="str">
        <f t="shared" si="4"/>
        <v/>
      </c>
      <c r="C208" s="253"/>
      <c r="D208" s="252" t="str">
        <f>IFERROR(VLOOKUP(B208,列表!$B:$T,17,FALSE),"")</f>
        <v/>
      </c>
    </row>
    <row r="209" customHeight="1" spans="1:4">
      <c r="A209" s="253">
        <v>117</v>
      </c>
      <c r="B209" s="250" t="str">
        <f t="shared" si="4"/>
        <v/>
      </c>
      <c r="C209" s="253"/>
      <c r="D209" s="252" t="str">
        <f>IFERROR(VLOOKUP(B209,列表!$B:$T,17,FALSE),"")</f>
        <v/>
      </c>
    </row>
    <row r="210" customHeight="1" spans="1:4">
      <c r="A210" s="253">
        <v>118</v>
      </c>
      <c r="B210" s="250" t="str">
        <f t="shared" si="4"/>
        <v/>
      </c>
      <c r="C210" s="253"/>
      <c r="D210" s="252" t="str">
        <f>IFERROR(VLOOKUP(B210,列表!$B:$T,17,FALSE),"")</f>
        <v/>
      </c>
    </row>
    <row r="211" customHeight="1" spans="1:4">
      <c r="A211" s="253">
        <v>119</v>
      </c>
      <c r="B211" s="250" t="str">
        <f t="shared" si="4"/>
        <v/>
      </c>
      <c r="C211" s="253"/>
      <c r="D211" s="252" t="str">
        <f>IFERROR(VLOOKUP(B211,列表!$B:$T,17,FALSE),"")</f>
        <v/>
      </c>
    </row>
    <row r="212" customHeight="1" spans="1:4">
      <c r="A212" s="253">
        <v>120</v>
      </c>
      <c r="B212" s="250" t="str">
        <f t="shared" si="4"/>
        <v/>
      </c>
      <c r="C212" s="253"/>
      <c r="D212" s="252" t="str">
        <f>IFERROR(VLOOKUP(B212,列表!$B:$T,17,FALSE),"")</f>
        <v/>
      </c>
    </row>
    <row r="213" customHeight="1" spans="1:4">
      <c r="A213" s="253">
        <v>121</v>
      </c>
      <c r="B213" s="250" t="str">
        <f t="shared" si="4"/>
        <v/>
      </c>
      <c r="C213" s="253"/>
      <c r="D213" s="252" t="str">
        <f>IFERROR(VLOOKUP(B213,列表!$B:$T,17,FALSE),"")</f>
        <v/>
      </c>
    </row>
    <row r="214" customHeight="1" spans="1:4">
      <c r="A214" s="253">
        <v>122</v>
      </c>
      <c r="B214" s="250" t="str">
        <f t="shared" si="4"/>
        <v/>
      </c>
      <c r="C214" s="253"/>
      <c r="D214" s="252" t="str">
        <f>IFERROR(VLOOKUP(B214,列表!$B:$T,17,FALSE),"")</f>
        <v/>
      </c>
    </row>
    <row r="215" customHeight="1" spans="1:4">
      <c r="A215" s="253">
        <v>123</v>
      </c>
      <c r="B215" s="250" t="str">
        <f t="shared" si="4"/>
        <v/>
      </c>
      <c r="C215" s="253"/>
      <c r="D215" s="252" t="str">
        <f>IFERROR(VLOOKUP(B215,列表!$B:$T,17,FALSE),"")</f>
        <v/>
      </c>
    </row>
    <row r="216" customHeight="1" spans="1:4">
      <c r="A216" s="253">
        <v>124</v>
      </c>
      <c r="B216" s="250" t="str">
        <f t="shared" si="4"/>
        <v/>
      </c>
      <c r="C216" s="253"/>
      <c r="D216" s="252" t="str">
        <f>IFERROR(VLOOKUP(B216,列表!$B:$T,17,FALSE),"")</f>
        <v/>
      </c>
    </row>
    <row r="217" customHeight="1" spans="1:4">
      <c r="A217" s="253">
        <v>125</v>
      </c>
      <c r="B217" s="250" t="str">
        <f t="shared" si="4"/>
        <v/>
      </c>
      <c r="C217" s="253"/>
      <c r="D217" s="252" t="str">
        <f>IFERROR(VLOOKUP(B217,列表!$B:$T,17,FALSE),"")</f>
        <v/>
      </c>
    </row>
    <row r="218" customHeight="1" spans="1:4">
      <c r="A218" s="253">
        <v>126</v>
      </c>
      <c r="B218" s="250" t="str">
        <f t="shared" si="4"/>
        <v/>
      </c>
      <c r="C218" s="253"/>
      <c r="D218" s="252" t="str">
        <f>IFERROR(VLOOKUP(B218,列表!$B:$T,17,FALSE),"")</f>
        <v/>
      </c>
    </row>
    <row r="219" customHeight="1" spans="1:4">
      <c r="A219" s="253">
        <v>127</v>
      </c>
      <c r="B219" s="250" t="str">
        <f t="shared" si="4"/>
        <v/>
      </c>
      <c r="C219" s="253"/>
      <c r="D219" s="252" t="str">
        <f>IFERROR(VLOOKUP(B219,列表!$B:$T,17,FALSE),"")</f>
        <v/>
      </c>
    </row>
    <row r="220" customHeight="1" spans="1:4">
      <c r="A220" s="253">
        <v>128</v>
      </c>
      <c r="B220" s="250" t="str">
        <f t="shared" ref="B220:B239" si="5">F38</f>
        <v/>
      </c>
      <c r="C220" s="253"/>
      <c r="D220" s="252" t="str">
        <f>IFERROR(VLOOKUP(B220,列表!$B:$T,17,FALSE),"")</f>
        <v/>
      </c>
    </row>
    <row r="221" customHeight="1" spans="1:4">
      <c r="A221" s="253">
        <v>129</v>
      </c>
      <c r="B221" s="250" t="str">
        <f t="shared" si="5"/>
        <v/>
      </c>
      <c r="C221" s="253"/>
      <c r="D221" s="252" t="str">
        <f>IFERROR(VLOOKUP(B221,列表!$B:$T,17,FALSE),"")</f>
        <v/>
      </c>
    </row>
    <row r="222" customHeight="1" spans="1:4">
      <c r="A222" s="253">
        <v>130</v>
      </c>
      <c r="B222" s="250" t="str">
        <f t="shared" si="5"/>
        <v/>
      </c>
      <c r="C222" s="253"/>
      <c r="D222" s="252" t="str">
        <f>IFERROR(VLOOKUP(B222,列表!$B:$T,17,FALSE),"")</f>
        <v/>
      </c>
    </row>
    <row r="223" customHeight="1" spans="1:4">
      <c r="A223" s="253">
        <v>131</v>
      </c>
      <c r="B223" s="250" t="str">
        <f t="shared" si="5"/>
        <v/>
      </c>
      <c r="C223" s="253"/>
      <c r="D223" s="252" t="str">
        <f>IFERROR(VLOOKUP(B223,列表!$B:$T,17,FALSE),"")</f>
        <v/>
      </c>
    </row>
    <row r="224" customHeight="1" spans="1:4">
      <c r="A224" s="253">
        <v>132</v>
      </c>
      <c r="B224" s="250" t="str">
        <f t="shared" si="5"/>
        <v/>
      </c>
      <c r="C224" s="253"/>
      <c r="D224" s="252" t="str">
        <f>IFERROR(VLOOKUP(B224,列表!$B:$T,17,FALSE),"")</f>
        <v/>
      </c>
    </row>
    <row r="225" customHeight="1" spans="1:4">
      <c r="A225" s="253">
        <v>133</v>
      </c>
      <c r="B225" s="250" t="str">
        <f t="shared" si="5"/>
        <v/>
      </c>
      <c r="C225" s="253"/>
      <c r="D225" s="252" t="str">
        <f>IFERROR(VLOOKUP(B225,列表!$B:$T,17,FALSE),"")</f>
        <v/>
      </c>
    </row>
    <row r="226" customHeight="1" spans="1:4">
      <c r="A226" s="253">
        <v>134</v>
      </c>
      <c r="B226" s="250" t="str">
        <f t="shared" si="5"/>
        <v/>
      </c>
      <c r="C226" s="253"/>
      <c r="D226" s="252" t="str">
        <f>IFERROR(VLOOKUP(B226,列表!$B:$T,17,FALSE),"")</f>
        <v/>
      </c>
    </row>
    <row r="227" customHeight="1" spans="1:4">
      <c r="A227" s="253">
        <v>135</v>
      </c>
      <c r="B227" s="250" t="str">
        <f t="shared" si="5"/>
        <v/>
      </c>
      <c r="C227" s="253"/>
      <c r="D227" s="252" t="str">
        <f>IFERROR(VLOOKUP(B227,列表!$B:$T,17,FALSE),"")</f>
        <v/>
      </c>
    </row>
    <row r="228" customHeight="1" spans="1:4">
      <c r="A228" s="253">
        <v>136</v>
      </c>
      <c r="B228" s="250" t="str">
        <f t="shared" si="5"/>
        <v/>
      </c>
      <c r="C228" s="253"/>
      <c r="D228" s="252" t="str">
        <f>IFERROR(VLOOKUP(B228,列表!$B:$T,17,FALSE),"")</f>
        <v/>
      </c>
    </row>
    <row r="229" customHeight="1" spans="1:4">
      <c r="A229" s="253">
        <v>137</v>
      </c>
      <c r="B229" s="250" t="str">
        <f t="shared" si="5"/>
        <v/>
      </c>
      <c r="C229" s="253"/>
      <c r="D229" s="252" t="str">
        <f>IFERROR(VLOOKUP(B229,列表!$B:$T,17,FALSE),"")</f>
        <v/>
      </c>
    </row>
    <row r="230" customHeight="1" spans="1:4">
      <c r="A230" s="253">
        <v>138</v>
      </c>
      <c r="B230" s="250" t="str">
        <f t="shared" si="5"/>
        <v/>
      </c>
      <c r="C230" s="253"/>
      <c r="D230" s="252" t="str">
        <f>IFERROR(VLOOKUP(B230,列表!$B:$T,17,FALSE),"")</f>
        <v/>
      </c>
    </row>
    <row r="231" customHeight="1" spans="1:4">
      <c r="A231" s="253">
        <v>139</v>
      </c>
      <c r="B231" s="250" t="str">
        <f t="shared" si="5"/>
        <v/>
      </c>
      <c r="C231" s="253"/>
      <c r="D231" s="252" t="str">
        <f>IFERROR(VLOOKUP(B231,列表!$B:$T,17,FALSE),"")</f>
        <v/>
      </c>
    </row>
    <row r="232" customHeight="1" spans="1:4">
      <c r="A232" s="253">
        <v>140</v>
      </c>
      <c r="B232" s="250" t="str">
        <f t="shared" si="5"/>
        <v/>
      </c>
      <c r="C232" s="253"/>
      <c r="D232" s="252" t="str">
        <f>IFERROR(VLOOKUP(B232,列表!$B:$T,17,FALSE),"")</f>
        <v/>
      </c>
    </row>
    <row r="233" customHeight="1" spans="1:4">
      <c r="A233" s="253">
        <v>141</v>
      </c>
      <c r="B233" s="250" t="str">
        <f t="shared" si="5"/>
        <v/>
      </c>
      <c r="C233" s="253"/>
      <c r="D233" s="252" t="str">
        <f>IFERROR(VLOOKUP(B233,列表!$B:$T,17,FALSE),"")</f>
        <v/>
      </c>
    </row>
    <row r="234" customHeight="1" spans="1:4">
      <c r="A234" s="253">
        <v>142</v>
      </c>
      <c r="B234" s="250" t="str">
        <f t="shared" si="5"/>
        <v/>
      </c>
      <c r="C234" s="253"/>
      <c r="D234" s="252" t="str">
        <f>IFERROR(VLOOKUP(B234,列表!$B:$T,17,FALSE),"")</f>
        <v/>
      </c>
    </row>
    <row r="235" customHeight="1" spans="1:4">
      <c r="A235" s="253">
        <v>143</v>
      </c>
      <c r="B235" s="250" t="str">
        <f t="shared" si="5"/>
        <v/>
      </c>
      <c r="C235" s="253"/>
      <c r="D235" s="252" t="str">
        <f>IFERROR(VLOOKUP(B235,列表!$B:$T,17,FALSE),"")</f>
        <v/>
      </c>
    </row>
    <row r="236" customHeight="1" spans="1:4">
      <c r="A236" s="253">
        <v>144</v>
      </c>
      <c r="B236" s="250" t="str">
        <f t="shared" si="5"/>
        <v/>
      </c>
      <c r="C236" s="253"/>
      <c r="D236" s="252" t="str">
        <f>IFERROR(VLOOKUP(B236,列表!$B:$T,17,FALSE),"")</f>
        <v/>
      </c>
    </row>
    <row r="237" customHeight="1" spans="1:4">
      <c r="A237" s="253">
        <v>145</v>
      </c>
      <c r="B237" s="250" t="str">
        <f t="shared" si="5"/>
        <v/>
      </c>
      <c r="C237" s="253"/>
      <c r="D237" s="252" t="str">
        <f>IFERROR(VLOOKUP(B237,列表!$B:$T,17,FALSE),"")</f>
        <v/>
      </c>
    </row>
    <row r="238" customHeight="1" spans="1:4">
      <c r="A238" s="253">
        <v>146</v>
      </c>
      <c r="B238" s="250" t="str">
        <f t="shared" si="5"/>
        <v/>
      </c>
      <c r="C238" s="253"/>
      <c r="D238" s="252" t="str">
        <f>IFERROR(VLOOKUP(B238,列表!$B:$T,17,FALSE),"")</f>
        <v/>
      </c>
    </row>
    <row r="239" customHeight="1" spans="1:4">
      <c r="A239" s="253">
        <v>147</v>
      </c>
      <c r="B239" s="250" t="str">
        <f t="shared" si="5"/>
        <v/>
      </c>
      <c r="C239" s="253"/>
      <c r="D239" s="252" t="str">
        <f>IFERROR(VLOOKUP(B239,列表!$B:$T,17,FALSE),"")</f>
        <v/>
      </c>
    </row>
    <row r="240" customHeight="1" spans="1:4">
      <c r="A240" s="253">
        <v>148</v>
      </c>
      <c r="B240" s="250" t="str">
        <f t="shared" ref="B240:B272" si="6">F58</f>
        <v/>
      </c>
      <c r="C240" s="253"/>
      <c r="D240" s="252" t="str">
        <f>IFERROR(VLOOKUP(B240,列表!$B:$T,17,FALSE),"")</f>
        <v/>
      </c>
    </row>
    <row r="241" customHeight="1" spans="1:4">
      <c r="A241" s="253">
        <v>149</v>
      </c>
      <c r="B241" s="250" t="str">
        <f t="shared" si="6"/>
        <v/>
      </c>
      <c r="C241" s="253"/>
      <c r="D241" s="252" t="str">
        <f>IFERROR(VLOOKUP(B241,列表!$B:$T,17,FALSE),"")</f>
        <v/>
      </c>
    </row>
    <row r="242" customHeight="1" spans="1:4">
      <c r="A242" s="253">
        <v>150</v>
      </c>
      <c r="B242" s="250" t="str">
        <f t="shared" si="6"/>
        <v/>
      </c>
      <c r="C242" s="253"/>
      <c r="D242" s="252" t="str">
        <f>IFERROR(VLOOKUP(B242,列表!$B:$T,17,FALSE),"")</f>
        <v/>
      </c>
    </row>
    <row r="243" customHeight="1" spans="1:4">
      <c r="A243" s="253">
        <v>151</v>
      </c>
      <c r="B243" s="250" t="str">
        <f t="shared" si="6"/>
        <v/>
      </c>
      <c r="C243" s="253"/>
      <c r="D243" s="252" t="str">
        <f>IFERROR(VLOOKUP(B243,列表!$B:$T,17,FALSE),"")</f>
        <v/>
      </c>
    </row>
    <row r="244" customHeight="1" spans="1:4">
      <c r="A244" s="253">
        <v>152</v>
      </c>
      <c r="B244" s="250" t="str">
        <f t="shared" si="6"/>
        <v/>
      </c>
      <c r="C244" s="253"/>
      <c r="D244" s="252" t="str">
        <f>IFERROR(VLOOKUP(B244,列表!$B:$T,17,FALSE),"")</f>
        <v/>
      </c>
    </row>
    <row r="245" customHeight="1" spans="1:4">
      <c r="A245" s="253">
        <v>153</v>
      </c>
      <c r="B245" s="250" t="str">
        <f t="shared" si="6"/>
        <v/>
      </c>
      <c r="C245" s="253"/>
      <c r="D245" s="252" t="str">
        <f>IFERROR(VLOOKUP(B245,列表!$B:$T,17,FALSE),"")</f>
        <v/>
      </c>
    </row>
    <row r="246" customHeight="1" spans="1:4">
      <c r="A246" s="253">
        <v>154</v>
      </c>
      <c r="B246" s="250" t="str">
        <f t="shared" si="6"/>
        <v/>
      </c>
      <c r="C246" s="253"/>
      <c r="D246" s="252" t="str">
        <f>IFERROR(VLOOKUP(B246,列表!$B:$T,17,FALSE),"")</f>
        <v/>
      </c>
    </row>
    <row r="247" customHeight="1" spans="1:4">
      <c r="A247" s="253">
        <v>155</v>
      </c>
      <c r="B247" s="250" t="str">
        <f t="shared" si="6"/>
        <v/>
      </c>
      <c r="C247" s="253"/>
      <c r="D247" s="252" t="str">
        <f>IFERROR(VLOOKUP(B247,列表!$B:$T,17,FALSE),"")</f>
        <v/>
      </c>
    </row>
    <row r="248" customHeight="1" spans="1:4">
      <c r="A248" s="253">
        <v>156</v>
      </c>
      <c r="B248" s="250" t="str">
        <f t="shared" si="6"/>
        <v/>
      </c>
      <c r="C248" s="253"/>
      <c r="D248" s="252" t="str">
        <f>IFERROR(VLOOKUP(B248,列表!$B:$T,17,FALSE),"")</f>
        <v/>
      </c>
    </row>
    <row r="249" customHeight="1" spans="1:4">
      <c r="A249" s="253">
        <v>157</v>
      </c>
      <c r="B249" s="250" t="str">
        <f t="shared" si="6"/>
        <v/>
      </c>
      <c r="C249" s="253"/>
      <c r="D249" s="252" t="str">
        <f>IFERROR(VLOOKUP(B249,列表!$B:$T,17,FALSE),"")</f>
        <v/>
      </c>
    </row>
    <row r="250" customHeight="1" spans="1:4">
      <c r="A250" s="253">
        <v>158</v>
      </c>
      <c r="B250" s="250" t="str">
        <f t="shared" si="6"/>
        <v/>
      </c>
      <c r="C250" s="253"/>
      <c r="D250" s="252" t="str">
        <f>IFERROR(VLOOKUP(B250,列表!$B:$T,17,FALSE),"")</f>
        <v/>
      </c>
    </row>
    <row r="251" customHeight="1" spans="1:4">
      <c r="A251" s="253">
        <v>159</v>
      </c>
      <c r="B251" s="250" t="str">
        <f t="shared" si="6"/>
        <v/>
      </c>
      <c r="C251" s="253"/>
      <c r="D251" s="252" t="str">
        <f>IFERROR(VLOOKUP(B251,列表!$B:$T,17,FALSE),"")</f>
        <v/>
      </c>
    </row>
    <row r="252" customHeight="1" spans="1:4">
      <c r="A252" s="253">
        <v>160</v>
      </c>
      <c r="B252" s="250" t="str">
        <f t="shared" si="6"/>
        <v/>
      </c>
      <c r="C252" s="253"/>
      <c r="D252" s="252" t="str">
        <f>IFERROR(VLOOKUP(B252,列表!$B:$T,17,FALSE),"")</f>
        <v/>
      </c>
    </row>
    <row r="253" customHeight="1" spans="1:4">
      <c r="A253" s="253">
        <v>161</v>
      </c>
      <c r="B253" s="250" t="str">
        <f t="shared" si="6"/>
        <v/>
      </c>
      <c r="C253" s="253"/>
      <c r="D253" s="252" t="str">
        <f>IFERROR(VLOOKUP(B253,列表!$B:$T,17,FALSE),"")</f>
        <v/>
      </c>
    </row>
    <row r="254" customHeight="1" spans="1:4">
      <c r="A254" s="253">
        <v>162</v>
      </c>
      <c r="B254" s="250" t="str">
        <f t="shared" si="6"/>
        <v/>
      </c>
      <c r="C254" s="253"/>
      <c r="D254" s="252" t="str">
        <f>IFERROR(VLOOKUP(B254,列表!$B:$T,17,FALSE),"")</f>
        <v/>
      </c>
    </row>
    <row r="255" customHeight="1" spans="1:4">
      <c r="A255" s="253">
        <v>163</v>
      </c>
      <c r="B255" s="250" t="str">
        <f t="shared" si="6"/>
        <v/>
      </c>
      <c r="C255" s="253"/>
      <c r="D255" s="252" t="str">
        <f>IFERROR(VLOOKUP(B255,列表!$B:$T,17,FALSE),"")</f>
        <v/>
      </c>
    </row>
    <row r="256" customHeight="1" spans="1:4">
      <c r="A256" s="253">
        <v>164</v>
      </c>
      <c r="B256" s="250" t="str">
        <f t="shared" si="6"/>
        <v/>
      </c>
      <c r="C256" s="253"/>
      <c r="D256" s="252" t="str">
        <f>IFERROR(VLOOKUP(B256,列表!$B:$T,17,FALSE),"")</f>
        <v/>
      </c>
    </row>
    <row r="257" customHeight="1" spans="1:4">
      <c r="A257" s="253">
        <v>165</v>
      </c>
      <c r="B257" s="250" t="str">
        <f t="shared" si="6"/>
        <v/>
      </c>
      <c r="C257" s="253"/>
      <c r="D257" s="252" t="str">
        <f>IFERROR(VLOOKUP(B257,列表!$B:$T,17,FALSE),"")</f>
        <v/>
      </c>
    </row>
    <row r="258" customHeight="1" spans="1:4">
      <c r="A258" s="253">
        <v>166</v>
      </c>
      <c r="B258" s="250" t="str">
        <f t="shared" si="6"/>
        <v/>
      </c>
      <c r="C258" s="253"/>
      <c r="D258" s="252" t="str">
        <f>IFERROR(VLOOKUP(B258,列表!$B:$T,17,FALSE),"")</f>
        <v/>
      </c>
    </row>
    <row r="259" customHeight="1" spans="1:4">
      <c r="A259" s="253">
        <v>167</v>
      </c>
      <c r="B259" s="250" t="str">
        <f t="shared" si="6"/>
        <v/>
      </c>
      <c r="C259" s="253"/>
      <c r="D259" s="252" t="str">
        <f>IFERROR(VLOOKUP(B259,列表!$B:$T,17,FALSE),"")</f>
        <v/>
      </c>
    </row>
    <row r="260" customHeight="1" spans="1:4">
      <c r="A260" s="253">
        <v>168</v>
      </c>
      <c r="B260" s="250" t="str">
        <f t="shared" si="6"/>
        <v/>
      </c>
      <c r="C260" s="253"/>
      <c r="D260" s="252" t="str">
        <f>IFERROR(VLOOKUP(B260,列表!$B:$T,17,FALSE),"")</f>
        <v/>
      </c>
    </row>
    <row r="261" customHeight="1" spans="1:4">
      <c r="A261" s="253">
        <v>169</v>
      </c>
      <c r="B261" s="250" t="str">
        <f t="shared" si="6"/>
        <v/>
      </c>
      <c r="C261" s="253"/>
      <c r="D261" s="252" t="str">
        <f>IFERROR(VLOOKUP(B261,列表!$B:$T,17,FALSE),"")</f>
        <v/>
      </c>
    </row>
    <row r="262" customHeight="1" spans="1:4">
      <c r="A262" s="253">
        <v>170</v>
      </c>
      <c r="B262" s="250" t="str">
        <f t="shared" si="6"/>
        <v/>
      </c>
      <c r="C262" s="253"/>
      <c r="D262" s="252" t="str">
        <f>IFERROR(VLOOKUP(B262,列表!$B:$T,17,FALSE),"")</f>
        <v/>
      </c>
    </row>
    <row r="263" customHeight="1" spans="1:4">
      <c r="A263" s="253">
        <v>171</v>
      </c>
      <c r="B263" s="250" t="str">
        <f t="shared" si="6"/>
        <v/>
      </c>
      <c r="C263" s="253"/>
      <c r="D263" s="252" t="str">
        <f>IFERROR(VLOOKUP(B263,列表!$B:$T,17,FALSE),"")</f>
        <v/>
      </c>
    </row>
    <row r="264" customHeight="1" spans="1:4">
      <c r="A264" s="253">
        <v>172</v>
      </c>
      <c r="B264" s="250" t="str">
        <f t="shared" si="6"/>
        <v/>
      </c>
      <c r="C264" s="253"/>
      <c r="D264" s="252" t="str">
        <f>IFERROR(VLOOKUP(B264,列表!$B:$T,17,FALSE),"")</f>
        <v/>
      </c>
    </row>
    <row r="265" customHeight="1" spans="1:4">
      <c r="A265" s="253">
        <v>173</v>
      </c>
      <c r="B265" s="250" t="str">
        <f t="shared" si="6"/>
        <v/>
      </c>
      <c r="C265" s="253"/>
      <c r="D265" s="252" t="str">
        <f>IFERROR(VLOOKUP(B265,列表!$B:$T,17,FALSE),"")</f>
        <v/>
      </c>
    </row>
    <row r="266" customHeight="1" spans="1:4">
      <c r="A266" s="253">
        <v>174</v>
      </c>
      <c r="B266" s="250" t="str">
        <f t="shared" si="6"/>
        <v/>
      </c>
      <c r="C266" s="253"/>
      <c r="D266" s="252" t="str">
        <f>IFERROR(VLOOKUP(B266,列表!$B:$T,17,FALSE),"")</f>
        <v/>
      </c>
    </row>
    <row r="267" customHeight="1" spans="1:4">
      <c r="A267" s="253">
        <v>175</v>
      </c>
      <c r="B267" s="250" t="str">
        <f t="shared" si="6"/>
        <v/>
      </c>
      <c r="C267" s="253"/>
      <c r="D267" s="252" t="str">
        <f>IFERROR(VLOOKUP(B267,列表!$B:$T,17,FALSE),"")</f>
        <v/>
      </c>
    </row>
    <row r="268" customHeight="1" spans="1:4">
      <c r="A268" s="253">
        <v>176</v>
      </c>
      <c r="B268" s="250" t="str">
        <f t="shared" si="6"/>
        <v/>
      </c>
      <c r="C268" s="253"/>
      <c r="D268" s="252" t="str">
        <f>IFERROR(VLOOKUP(B268,列表!$B:$T,17,FALSE),"")</f>
        <v/>
      </c>
    </row>
    <row r="269" customHeight="1" spans="1:4">
      <c r="A269" s="253">
        <v>177</v>
      </c>
      <c r="B269" s="250" t="str">
        <f t="shared" si="6"/>
        <v/>
      </c>
      <c r="C269" s="253"/>
      <c r="D269" s="252" t="str">
        <f>IFERROR(VLOOKUP(B269,列表!$B:$T,17,FALSE),"")</f>
        <v/>
      </c>
    </row>
    <row r="270" customHeight="1" spans="1:4">
      <c r="A270" s="253">
        <v>178</v>
      </c>
      <c r="B270" s="250" t="str">
        <f t="shared" si="6"/>
        <v/>
      </c>
      <c r="C270" s="253"/>
      <c r="D270" s="252" t="str">
        <f>IFERROR(VLOOKUP(B270,列表!$B:$T,17,FALSE),"")</f>
        <v/>
      </c>
    </row>
    <row r="271" customHeight="1" spans="1:4">
      <c r="A271" s="253">
        <v>179</v>
      </c>
      <c r="B271" s="250" t="str">
        <f t="shared" si="6"/>
        <v/>
      </c>
      <c r="C271" s="253"/>
      <c r="D271" s="252" t="str">
        <f>IFERROR(VLOOKUP(B271,列表!$B:$T,17,FALSE),"")</f>
        <v/>
      </c>
    </row>
    <row r="272" customHeight="1" spans="1:4">
      <c r="A272" s="253">
        <v>180</v>
      </c>
      <c r="B272" s="250" t="str">
        <f t="shared" si="6"/>
        <v/>
      </c>
      <c r="C272" s="253"/>
      <c r="D272" s="252" t="str">
        <f>IFERROR(VLOOKUP(B272,列表!$B:$T,17,FALSE),"")</f>
        <v/>
      </c>
    </row>
    <row r="273" customHeight="1" spans="1:4">
      <c r="A273" s="253">
        <v>181</v>
      </c>
      <c r="B273" s="250" t="str">
        <f>J1</f>
        <v/>
      </c>
      <c r="C273" s="253"/>
      <c r="D273" s="252" t="str">
        <f>IFERROR(VLOOKUP(B273,列表!$B:$T,17,FALSE),"")</f>
        <v/>
      </c>
    </row>
    <row r="274" customHeight="1" spans="1:4">
      <c r="A274" s="253">
        <v>182</v>
      </c>
      <c r="B274" s="250" t="str">
        <f t="shared" ref="B274:B305" si="7">J2</f>
        <v/>
      </c>
      <c r="C274" s="253"/>
      <c r="D274" s="252" t="str">
        <f>IFERROR(VLOOKUP(B274,列表!$B:$T,17,FALSE),"")</f>
        <v/>
      </c>
    </row>
    <row r="275" customHeight="1" spans="1:4">
      <c r="A275" s="253">
        <v>183</v>
      </c>
      <c r="B275" s="250" t="str">
        <f t="shared" si="7"/>
        <v/>
      </c>
      <c r="C275" s="253"/>
      <c r="D275" s="252" t="str">
        <f>IFERROR(VLOOKUP(B275,列表!$B:$T,17,FALSE),"")</f>
        <v/>
      </c>
    </row>
    <row r="276" customHeight="1" spans="1:4">
      <c r="A276" s="253">
        <v>184</v>
      </c>
      <c r="B276" s="250" t="str">
        <f t="shared" si="7"/>
        <v/>
      </c>
      <c r="C276" s="253"/>
      <c r="D276" s="252" t="str">
        <f>IFERROR(VLOOKUP(B276,列表!$B:$T,17,FALSE),"")</f>
        <v/>
      </c>
    </row>
    <row r="277" customHeight="1" spans="1:4">
      <c r="A277" s="253">
        <v>185</v>
      </c>
      <c r="B277" s="250" t="str">
        <f t="shared" si="7"/>
        <v/>
      </c>
      <c r="C277" s="253"/>
      <c r="D277" s="252" t="str">
        <f>IFERROR(VLOOKUP(B277,列表!$B:$T,17,FALSE),"")</f>
        <v/>
      </c>
    </row>
    <row r="278" customHeight="1" spans="1:4">
      <c r="A278" s="253">
        <v>186</v>
      </c>
      <c r="B278" s="250" t="str">
        <f t="shared" si="7"/>
        <v/>
      </c>
      <c r="C278" s="253"/>
      <c r="D278" s="252" t="str">
        <f>IFERROR(VLOOKUP(B278,列表!$B:$T,17,FALSE),"")</f>
        <v/>
      </c>
    </row>
    <row r="279" customHeight="1" spans="1:4">
      <c r="A279" s="253">
        <v>187</v>
      </c>
      <c r="B279" s="250" t="str">
        <f t="shared" si="7"/>
        <v/>
      </c>
      <c r="C279" s="253"/>
      <c r="D279" s="252" t="str">
        <f>IFERROR(VLOOKUP(B279,列表!$B:$T,17,FALSE),"")</f>
        <v/>
      </c>
    </row>
    <row r="280" customHeight="1" spans="1:4">
      <c r="A280" s="253">
        <v>188</v>
      </c>
      <c r="B280" s="250" t="str">
        <f t="shared" si="7"/>
        <v/>
      </c>
      <c r="C280" s="253"/>
      <c r="D280" s="252" t="str">
        <f>IFERROR(VLOOKUP(B280,列表!$B:$T,17,FALSE),"")</f>
        <v/>
      </c>
    </row>
    <row r="281" customHeight="1" spans="1:4">
      <c r="A281" s="253">
        <v>189</v>
      </c>
      <c r="B281" s="250" t="str">
        <f t="shared" si="7"/>
        <v/>
      </c>
      <c r="C281" s="253"/>
      <c r="D281" s="252" t="str">
        <f>IFERROR(VLOOKUP(B281,列表!$B:$T,17,FALSE),"")</f>
        <v/>
      </c>
    </row>
    <row r="282" customHeight="1" spans="1:4">
      <c r="A282" s="253">
        <v>190</v>
      </c>
      <c r="B282" s="250" t="str">
        <f t="shared" si="7"/>
        <v/>
      </c>
      <c r="C282" s="253"/>
      <c r="D282" s="252" t="str">
        <f>IFERROR(VLOOKUP(B282,列表!$B:$T,17,FALSE),"")</f>
        <v/>
      </c>
    </row>
    <row r="283" customHeight="1" spans="1:4">
      <c r="A283" s="253">
        <v>191</v>
      </c>
      <c r="B283" s="250" t="str">
        <f t="shared" si="7"/>
        <v/>
      </c>
      <c r="C283" s="253"/>
      <c r="D283" s="252" t="str">
        <f>IFERROR(VLOOKUP(B283,列表!$B:$T,17,FALSE),"")</f>
        <v/>
      </c>
    </row>
    <row r="284" customHeight="1" spans="1:4">
      <c r="A284" s="253">
        <v>192</v>
      </c>
      <c r="B284" s="250" t="str">
        <f t="shared" si="7"/>
        <v/>
      </c>
      <c r="C284" s="253"/>
      <c r="D284" s="252" t="str">
        <f>IFERROR(VLOOKUP(B284,列表!$B:$T,17,FALSE),"")</f>
        <v/>
      </c>
    </row>
    <row r="285" customHeight="1" spans="1:4">
      <c r="A285" s="253">
        <v>193</v>
      </c>
      <c r="B285" s="250" t="str">
        <f t="shared" si="7"/>
        <v/>
      </c>
      <c r="C285" s="253"/>
      <c r="D285" s="252" t="str">
        <f>IFERROR(VLOOKUP(B285,列表!$B:$T,17,FALSE),"")</f>
        <v/>
      </c>
    </row>
    <row r="286" customHeight="1" spans="1:4">
      <c r="A286" s="253">
        <v>194</v>
      </c>
      <c r="B286" s="250" t="str">
        <f t="shared" si="7"/>
        <v/>
      </c>
      <c r="C286" s="253"/>
      <c r="D286" s="252" t="str">
        <f>IFERROR(VLOOKUP(B286,列表!$B:$T,17,FALSE),"")</f>
        <v/>
      </c>
    </row>
    <row r="287" customHeight="1" spans="1:4">
      <c r="A287" s="253">
        <v>195</v>
      </c>
      <c r="B287" s="250" t="str">
        <f t="shared" si="7"/>
        <v/>
      </c>
      <c r="C287" s="253"/>
      <c r="D287" s="252" t="str">
        <f>IFERROR(VLOOKUP(B287,列表!$B:$T,17,FALSE),"")</f>
        <v/>
      </c>
    </row>
    <row r="288" customHeight="1" spans="1:4">
      <c r="A288" s="253">
        <v>196</v>
      </c>
      <c r="B288" s="250" t="str">
        <f t="shared" si="7"/>
        <v/>
      </c>
      <c r="C288" s="253"/>
      <c r="D288" s="252" t="str">
        <f>IFERROR(VLOOKUP(B288,列表!$B:$T,17,FALSE),"")</f>
        <v/>
      </c>
    </row>
    <row r="289" customHeight="1" spans="1:4">
      <c r="A289" s="253">
        <v>197</v>
      </c>
      <c r="B289" s="250" t="str">
        <f t="shared" si="7"/>
        <v/>
      </c>
      <c r="C289" s="253"/>
      <c r="D289" s="252" t="str">
        <f>IFERROR(VLOOKUP(B289,列表!$B:$T,17,FALSE),"")</f>
        <v/>
      </c>
    </row>
    <row r="290" customHeight="1" spans="1:4">
      <c r="A290" s="253">
        <v>198</v>
      </c>
      <c r="B290" s="250" t="str">
        <f t="shared" si="7"/>
        <v/>
      </c>
      <c r="C290" s="253"/>
      <c r="D290" s="252" t="str">
        <f>IFERROR(VLOOKUP(B290,列表!$B:$T,17,FALSE),"")</f>
        <v/>
      </c>
    </row>
    <row r="291" customHeight="1" spans="1:4">
      <c r="A291" s="253">
        <v>199</v>
      </c>
      <c r="B291" s="250" t="str">
        <f t="shared" si="7"/>
        <v/>
      </c>
      <c r="C291" s="253"/>
      <c r="D291" s="252" t="str">
        <f>IFERROR(VLOOKUP(B291,列表!$B:$T,17,FALSE),"")</f>
        <v/>
      </c>
    </row>
    <row r="292" customHeight="1" spans="1:4">
      <c r="A292" s="253">
        <v>200</v>
      </c>
      <c r="B292" s="250" t="str">
        <f t="shared" si="7"/>
        <v/>
      </c>
      <c r="C292" s="253"/>
      <c r="D292" s="252" t="str">
        <f>IFERROR(VLOOKUP(B292,列表!$B:$T,17,FALSE),"")</f>
        <v/>
      </c>
    </row>
    <row r="293" customHeight="1" spans="1:4">
      <c r="A293" s="253">
        <v>201</v>
      </c>
      <c r="B293" s="250" t="str">
        <f t="shared" si="7"/>
        <v/>
      </c>
      <c r="C293" s="253"/>
      <c r="D293" s="252" t="str">
        <f>IFERROR(VLOOKUP(B293,列表!$B:$T,17,FALSE),"")</f>
        <v/>
      </c>
    </row>
    <row r="294" customHeight="1" spans="1:4">
      <c r="A294" s="253">
        <v>202</v>
      </c>
      <c r="B294" s="250" t="str">
        <f t="shared" si="7"/>
        <v/>
      </c>
      <c r="C294" s="253"/>
      <c r="D294" s="252" t="str">
        <f>IFERROR(VLOOKUP(B294,列表!$B:$T,17,FALSE),"")</f>
        <v/>
      </c>
    </row>
    <row r="295" customHeight="1" spans="1:4">
      <c r="A295" s="253">
        <v>203</v>
      </c>
      <c r="B295" s="250" t="str">
        <f t="shared" si="7"/>
        <v/>
      </c>
      <c r="C295" s="253"/>
      <c r="D295" s="252" t="str">
        <f>IFERROR(VLOOKUP(B295,列表!$B:$T,17,FALSE),"")</f>
        <v/>
      </c>
    </row>
    <row r="296" customHeight="1" spans="1:4">
      <c r="A296" s="253">
        <v>204</v>
      </c>
      <c r="B296" s="250" t="str">
        <f t="shared" si="7"/>
        <v/>
      </c>
      <c r="C296" s="253"/>
      <c r="D296" s="252" t="str">
        <f>IFERROR(VLOOKUP(B296,列表!$B:$T,17,FALSE),"")</f>
        <v/>
      </c>
    </row>
    <row r="297" customHeight="1" spans="1:4">
      <c r="A297" s="253">
        <v>205</v>
      </c>
      <c r="B297" s="250" t="str">
        <f t="shared" si="7"/>
        <v/>
      </c>
      <c r="C297" s="253"/>
      <c r="D297" s="252" t="str">
        <f>IFERROR(VLOOKUP(B297,列表!$B:$T,17,FALSE),"")</f>
        <v/>
      </c>
    </row>
    <row r="298" customHeight="1" spans="1:4">
      <c r="A298" s="253">
        <v>206</v>
      </c>
      <c r="B298" s="250" t="str">
        <f t="shared" si="7"/>
        <v/>
      </c>
      <c r="C298" s="253"/>
      <c r="D298" s="252" t="str">
        <f>IFERROR(VLOOKUP(B298,列表!$B:$T,17,FALSE),"")</f>
        <v/>
      </c>
    </row>
    <row r="299" customHeight="1" spans="1:4">
      <c r="A299" s="253">
        <v>207</v>
      </c>
      <c r="B299" s="250" t="str">
        <f t="shared" si="7"/>
        <v/>
      </c>
      <c r="C299" s="253"/>
      <c r="D299" s="252" t="str">
        <f>IFERROR(VLOOKUP(B299,列表!$B:$T,17,FALSE),"")</f>
        <v/>
      </c>
    </row>
    <row r="300" customHeight="1" spans="1:4">
      <c r="A300" s="253">
        <v>208</v>
      </c>
      <c r="B300" s="250" t="str">
        <f t="shared" si="7"/>
        <v/>
      </c>
      <c r="C300" s="253"/>
      <c r="D300" s="252" t="str">
        <f>IFERROR(VLOOKUP(B300,列表!$B:$T,17,FALSE),"")</f>
        <v/>
      </c>
    </row>
    <row r="301" customHeight="1" spans="1:4">
      <c r="A301" s="253">
        <v>209</v>
      </c>
      <c r="B301" s="250" t="str">
        <f t="shared" si="7"/>
        <v/>
      </c>
      <c r="C301" s="253"/>
      <c r="D301" s="252" t="str">
        <f>IFERROR(VLOOKUP(B301,列表!$B:$T,17,FALSE),"")</f>
        <v/>
      </c>
    </row>
    <row r="302" customHeight="1" spans="1:4">
      <c r="A302" s="253">
        <v>210</v>
      </c>
      <c r="B302" s="250" t="str">
        <f t="shared" si="7"/>
        <v/>
      </c>
      <c r="C302" s="253"/>
      <c r="D302" s="252" t="str">
        <f>IFERROR(VLOOKUP(B302,列表!$B:$T,17,FALSE),"")</f>
        <v/>
      </c>
    </row>
    <row r="303" customHeight="1" spans="1:4">
      <c r="A303" s="253">
        <v>211</v>
      </c>
      <c r="B303" s="250" t="str">
        <f t="shared" si="7"/>
        <v/>
      </c>
      <c r="C303" s="253"/>
      <c r="D303" s="252" t="str">
        <f>IFERROR(VLOOKUP(B303,列表!$B:$T,17,FALSE),"")</f>
        <v/>
      </c>
    </row>
    <row r="304" customHeight="1" spans="1:4">
      <c r="A304" s="253">
        <v>212</v>
      </c>
      <c r="B304" s="250" t="str">
        <f t="shared" si="7"/>
        <v/>
      </c>
      <c r="C304" s="253"/>
      <c r="D304" s="252" t="str">
        <f>IFERROR(VLOOKUP(B304,列表!$B:$T,17,FALSE),"")</f>
        <v/>
      </c>
    </row>
    <row r="305" customHeight="1" spans="1:4">
      <c r="A305" s="253">
        <v>213</v>
      </c>
      <c r="B305" s="250" t="str">
        <f t="shared" si="7"/>
        <v/>
      </c>
      <c r="C305" s="253"/>
      <c r="D305" s="252" t="str">
        <f>IFERROR(VLOOKUP(B305,列表!$B:$T,17,FALSE),"")</f>
        <v/>
      </c>
    </row>
    <row r="306" customHeight="1" spans="1:4">
      <c r="A306" s="253">
        <v>214</v>
      </c>
      <c r="B306" s="250" t="str">
        <f t="shared" ref="B306:B346" si="8">J34</f>
        <v/>
      </c>
      <c r="C306" s="253"/>
      <c r="D306" s="252" t="str">
        <f>IFERROR(VLOOKUP(B306,列表!$B:$T,17,FALSE),"")</f>
        <v/>
      </c>
    </row>
    <row r="307" customHeight="1" spans="1:4">
      <c r="A307" s="253">
        <v>215</v>
      </c>
      <c r="B307" s="250" t="str">
        <f t="shared" si="8"/>
        <v/>
      </c>
      <c r="C307" s="253"/>
      <c r="D307" s="252" t="str">
        <f>IFERROR(VLOOKUP(B307,列表!$B:$T,17,FALSE),"")</f>
        <v/>
      </c>
    </row>
    <row r="308" customHeight="1" spans="1:4">
      <c r="A308" s="253">
        <v>216</v>
      </c>
      <c r="B308" s="250" t="str">
        <f t="shared" si="8"/>
        <v/>
      </c>
      <c r="C308" s="253"/>
      <c r="D308" s="252" t="str">
        <f>IFERROR(VLOOKUP(B308,列表!$B:$T,17,FALSE),"")</f>
        <v/>
      </c>
    </row>
    <row r="309" customHeight="1" spans="1:4">
      <c r="A309" s="253">
        <v>217</v>
      </c>
      <c r="B309" s="250" t="str">
        <f t="shared" si="8"/>
        <v/>
      </c>
      <c r="C309" s="253"/>
      <c r="D309" s="252" t="str">
        <f>IFERROR(VLOOKUP(B309,列表!$B:$T,17,FALSE),"")</f>
        <v/>
      </c>
    </row>
    <row r="310" customHeight="1" spans="1:4">
      <c r="A310" s="253">
        <v>218</v>
      </c>
      <c r="B310" s="250" t="str">
        <f t="shared" si="8"/>
        <v/>
      </c>
      <c r="C310" s="253"/>
      <c r="D310" s="252" t="str">
        <f>IFERROR(VLOOKUP(B310,列表!$B:$T,17,FALSE),"")</f>
        <v/>
      </c>
    </row>
    <row r="311" customHeight="1" spans="1:4">
      <c r="A311" s="253">
        <v>219</v>
      </c>
      <c r="B311" s="250" t="str">
        <f t="shared" si="8"/>
        <v/>
      </c>
      <c r="C311" s="253"/>
      <c r="D311" s="252" t="str">
        <f>IFERROR(VLOOKUP(B311,列表!$B:$T,17,FALSE),"")</f>
        <v/>
      </c>
    </row>
    <row r="312" customHeight="1" spans="1:4">
      <c r="A312" s="253">
        <v>220</v>
      </c>
      <c r="B312" s="250" t="str">
        <f t="shared" si="8"/>
        <v/>
      </c>
      <c r="C312" s="253"/>
      <c r="D312" s="252" t="str">
        <f>IFERROR(VLOOKUP(B312,列表!$B:$T,17,FALSE),"")</f>
        <v/>
      </c>
    </row>
    <row r="313" customHeight="1" spans="1:4">
      <c r="A313" s="253">
        <v>221</v>
      </c>
      <c r="B313" s="250" t="str">
        <f t="shared" si="8"/>
        <v/>
      </c>
      <c r="C313" s="253"/>
      <c r="D313" s="252" t="str">
        <f>IFERROR(VLOOKUP(B313,列表!$B:$T,17,FALSE),"")</f>
        <v/>
      </c>
    </row>
    <row r="314" customHeight="1" spans="1:4">
      <c r="A314" s="253">
        <v>222</v>
      </c>
      <c r="B314" s="250" t="str">
        <f t="shared" si="8"/>
        <v/>
      </c>
      <c r="C314" s="253"/>
      <c r="D314" s="252" t="str">
        <f>IFERROR(VLOOKUP(B314,列表!$B:$T,17,FALSE),"")</f>
        <v/>
      </c>
    </row>
    <row r="315" customHeight="1" spans="1:4">
      <c r="A315" s="253">
        <v>223</v>
      </c>
      <c r="B315" s="250" t="str">
        <f t="shared" si="8"/>
        <v/>
      </c>
      <c r="C315" s="253"/>
      <c r="D315" s="252" t="str">
        <f>IFERROR(VLOOKUP(B315,列表!$B:$T,17,FALSE),"")</f>
        <v/>
      </c>
    </row>
    <row r="316" customHeight="1" spans="1:4">
      <c r="A316" s="253">
        <v>224</v>
      </c>
      <c r="B316" s="250" t="str">
        <f t="shared" si="8"/>
        <v/>
      </c>
      <c r="C316" s="253"/>
      <c r="D316" s="252" t="str">
        <f>IFERROR(VLOOKUP(B316,列表!$B:$T,17,FALSE),"")</f>
        <v/>
      </c>
    </row>
    <row r="317" customHeight="1" spans="1:4">
      <c r="A317" s="253">
        <v>225</v>
      </c>
      <c r="B317" s="250" t="str">
        <f t="shared" si="8"/>
        <v/>
      </c>
      <c r="C317" s="253"/>
      <c r="D317" s="252" t="str">
        <f>IFERROR(VLOOKUP(B317,列表!$B:$T,17,FALSE),"")</f>
        <v/>
      </c>
    </row>
    <row r="318" customHeight="1" spans="1:4">
      <c r="A318" s="253">
        <v>226</v>
      </c>
      <c r="B318" s="250" t="str">
        <f t="shared" si="8"/>
        <v/>
      </c>
      <c r="C318" s="253"/>
      <c r="D318" s="252" t="str">
        <f>IFERROR(VLOOKUP(B318,列表!$B:$T,17,FALSE),"")</f>
        <v/>
      </c>
    </row>
    <row r="319" customHeight="1" spans="1:4">
      <c r="A319" s="253">
        <v>227</v>
      </c>
      <c r="B319" s="250" t="str">
        <f t="shared" si="8"/>
        <v/>
      </c>
      <c r="C319" s="253"/>
      <c r="D319" s="252" t="str">
        <f>IFERROR(VLOOKUP(B319,列表!$B:$T,17,FALSE),"")</f>
        <v/>
      </c>
    </row>
    <row r="320" customHeight="1" spans="1:4">
      <c r="A320" s="253">
        <v>228</v>
      </c>
      <c r="B320" s="250" t="str">
        <f t="shared" si="8"/>
        <v/>
      </c>
      <c r="C320" s="253"/>
      <c r="D320" s="252" t="str">
        <f>IFERROR(VLOOKUP(B320,列表!$B:$T,17,FALSE),"")</f>
        <v/>
      </c>
    </row>
    <row r="321" customHeight="1" spans="1:4">
      <c r="A321" s="253">
        <v>229</v>
      </c>
      <c r="B321" s="250" t="str">
        <f t="shared" si="8"/>
        <v/>
      </c>
      <c r="C321" s="253"/>
      <c r="D321" s="252" t="str">
        <f>IFERROR(VLOOKUP(B321,列表!$B:$T,17,FALSE),"")</f>
        <v/>
      </c>
    </row>
    <row r="322" customHeight="1" spans="1:4">
      <c r="A322" s="253">
        <v>230</v>
      </c>
      <c r="B322" s="250" t="str">
        <f t="shared" si="8"/>
        <v/>
      </c>
      <c r="C322" s="253"/>
      <c r="D322" s="252" t="str">
        <f>IFERROR(VLOOKUP(B322,列表!$B:$T,17,FALSE),"")</f>
        <v/>
      </c>
    </row>
    <row r="323" customHeight="1" spans="1:4">
      <c r="A323" s="253">
        <v>231</v>
      </c>
      <c r="B323" s="250" t="str">
        <f t="shared" si="8"/>
        <v/>
      </c>
      <c r="C323" s="253"/>
      <c r="D323" s="252" t="str">
        <f>IFERROR(VLOOKUP(B323,列表!$B:$T,17,FALSE),"")</f>
        <v/>
      </c>
    </row>
    <row r="324" customHeight="1" spans="1:4">
      <c r="A324" s="253">
        <v>232</v>
      </c>
      <c r="B324" s="250" t="str">
        <f t="shared" si="8"/>
        <v/>
      </c>
      <c r="C324" s="253"/>
      <c r="D324" s="252" t="str">
        <f>IFERROR(VLOOKUP(B324,列表!$B:$T,17,FALSE),"")</f>
        <v/>
      </c>
    </row>
    <row r="325" customHeight="1" spans="1:4">
      <c r="A325" s="253">
        <v>233</v>
      </c>
      <c r="B325" s="250" t="str">
        <f t="shared" si="8"/>
        <v/>
      </c>
      <c r="C325" s="253"/>
      <c r="D325" s="252" t="str">
        <f>IFERROR(VLOOKUP(B325,列表!$B:$T,17,FALSE),"")</f>
        <v/>
      </c>
    </row>
    <row r="326" customHeight="1" spans="1:4">
      <c r="A326" s="253">
        <v>234</v>
      </c>
      <c r="B326" s="250" t="str">
        <f t="shared" si="8"/>
        <v/>
      </c>
      <c r="C326" s="253"/>
      <c r="D326" s="252" t="str">
        <f>IFERROR(VLOOKUP(B326,列表!$B:$T,17,FALSE),"")</f>
        <v/>
      </c>
    </row>
    <row r="327" customHeight="1" spans="1:4">
      <c r="A327" s="253">
        <v>235</v>
      </c>
      <c r="B327" s="250" t="str">
        <f t="shared" si="8"/>
        <v/>
      </c>
      <c r="C327" s="253"/>
      <c r="D327" s="252" t="str">
        <f>IFERROR(VLOOKUP(B327,列表!$B:$T,17,FALSE),"")</f>
        <v/>
      </c>
    </row>
    <row r="328" customHeight="1" spans="1:4">
      <c r="A328" s="253">
        <v>236</v>
      </c>
      <c r="B328" s="250" t="str">
        <f t="shared" si="8"/>
        <v/>
      </c>
      <c r="C328" s="253"/>
      <c r="D328" s="252" t="str">
        <f>IFERROR(VLOOKUP(B328,列表!$B:$T,17,FALSE),"")</f>
        <v/>
      </c>
    </row>
    <row r="329" customHeight="1" spans="1:4">
      <c r="A329" s="253">
        <v>237</v>
      </c>
      <c r="B329" s="250" t="str">
        <f t="shared" si="8"/>
        <v/>
      </c>
      <c r="C329" s="253"/>
      <c r="D329" s="252" t="str">
        <f>IFERROR(VLOOKUP(B329,列表!$B:$T,17,FALSE),"")</f>
        <v/>
      </c>
    </row>
    <row r="330" customHeight="1" spans="1:4">
      <c r="A330" s="253">
        <v>238</v>
      </c>
      <c r="B330" s="250" t="str">
        <f t="shared" si="8"/>
        <v/>
      </c>
      <c r="C330" s="253"/>
      <c r="D330" s="252" t="str">
        <f>IFERROR(VLOOKUP(B330,列表!$B:$T,17,FALSE),"")</f>
        <v/>
      </c>
    </row>
    <row r="331" customHeight="1" spans="1:4">
      <c r="A331" s="253">
        <v>239</v>
      </c>
      <c r="B331" s="250" t="str">
        <f t="shared" si="8"/>
        <v/>
      </c>
      <c r="C331" s="253"/>
      <c r="D331" s="252" t="str">
        <f>IFERROR(VLOOKUP(B331,列表!$B:$T,17,FALSE),"")</f>
        <v/>
      </c>
    </row>
    <row r="332" customHeight="1" spans="1:4">
      <c r="A332" s="253">
        <v>240</v>
      </c>
      <c r="B332" s="250" t="str">
        <f t="shared" si="8"/>
        <v/>
      </c>
      <c r="C332" s="253"/>
      <c r="D332" s="252" t="str">
        <f>IFERROR(VLOOKUP(B332,列表!$B:$T,17,FALSE),"")</f>
        <v/>
      </c>
    </row>
    <row r="333" customHeight="1" spans="1:4">
      <c r="A333" s="253">
        <v>241</v>
      </c>
      <c r="B333" s="250" t="str">
        <f t="shared" si="8"/>
        <v/>
      </c>
      <c r="C333" s="253"/>
      <c r="D333" s="252" t="str">
        <f>IFERROR(VLOOKUP(B333,列表!$B:$T,17,FALSE),"")</f>
        <v/>
      </c>
    </row>
    <row r="334" customHeight="1" spans="1:4">
      <c r="A334" s="253">
        <v>242</v>
      </c>
      <c r="B334" s="250" t="str">
        <f t="shared" si="8"/>
        <v/>
      </c>
      <c r="C334" s="253"/>
      <c r="D334" s="252" t="str">
        <f>IFERROR(VLOOKUP(B334,列表!$B:$T,17,FALSE),"")</f>
        <v/>
      </c>
    </row>
    <row r="335" customHeight="1" spans="1:4">
      <c r="A335" s="253">
        <v>243</v>
      </c>
      <c r="B335" s="250" t="str">
        <f t="shared" si="8"/>
        <v/>
      </c>
      <c r="C335" s="253"/>
      <c r="D335" s="252" t="str">
        <f>IFERROR(VLOOKUP(B335,列表!$B:$T,17,FALSE),"")</f>
        <v/>
      </c>
    </row>
    <row r="336" customHeight="1" spans="1:4">
      <c r="A336" s="253">
        <v>244</v>
      </c>
      <c r="B336" s="250" t="str">
        <f t="shared" si="8"/>
        <v/>
      </c>
      <c r="C336" s="253"/>
      <c r="D336" s="252" t="str">
        <f>IFERROR(VLOOKUP(B336,列表!$B:$T,17,FALSE),"")</f>
        <v/>
      </c>
    </row>
    <row r="337" customHeight="1" spans="1:4">
      <c r="A337" s="253">
        <v>245</v>
      </c>
      <c r="B337" s="250" t="str">
        <f t="shared" si="8"/>
        <v/>
      </c>
      <c r="C337" s="253"/>
      <c r="D337" s="252" t="str">
        <f>IFERROR(VLOOKUP(B337,列表!$B:$T,17,FALSE),"")</f>
        <v/>
      </c>
    </row>
    <row r="338" customHeight="1" spans="1:4">
      <c r="A338" s="253">
        <v>246</v>
      </c>
      <c r="B338" s="250" t="str">
        <f t="shared" si="8"/>
        <v/>
      </c>
      <c r="C338" s="253"/>
      <c r="D338" s="252" t="str">
        <f>IFERROR(VLOOKUP(B338,列表!$B:$T,17,FALSE),"")</f>
        <v/>
      </c>
    </row>
    <row r="339" customHeight="1" spans="1:4">
      <c r="A339" s="253">
        <v>247</v>
      </c>
      <c r="B339" s="250" t="str">
        <f t="shared" si="8"/>
        <v/>
      </c>
      <c r="C339" s="253"/>
      <c r="D339" s="252" t="str">
        <f>IFERROR(VLOOKUP(B339,列表!$B:$T,17,FALSE),"")</f>
        <v/>
      </c>
    </row>
    <row r="340" customHeight="1" spans="1:4">
      <c r="A340" s="253">
        <v>248</v>
      </c>
      <c r="B340" s="250" t="str">
        <f t="shared" si="8"/>
        <v/>
      </c>
      <c r="C340" s="253"/>
      <c r="D340" s="252" t="str">
        <f>IFERROR(VLOOKUP(B340,列表!$B:$T,17,FALSE),"")</f>
        <v/>
      </c>
    </row>
    <row r="341" customHeight="1" spans="1:4">
      <c r="A341" s="253">
        <v>249</v>
      </c>
      <c r="B341" s="250" t="str">
        <f t="shared" si="8"/>
        <v/>
      </c>
      <c r="C341" s="253"/>
      <c r="D341" s="252" t="str">
        <f>IFERROR(VLOOKUP(B341,列表!$B:$T,17,FALSE),"")</f>
        <v/>
      </c>
    </row>
    <row r="342" customHeight="1" spans="1:4">
      <c r="A342" s="253">
        <v>250</v>
      </c>
      <c r="B342" s="250" t="str">
        <f t="shared" si="8"/>
        <v/>
      </c>
      <c r="C342" s="253"/>
      <c r="D342" s="252" t="str">
        <f>IFERROR(VLOOKUP(B342,列表!$B:$T,17,FALSE),"")</f>
        <v/>
      </c>
    </row>
    <row r="343" customHeight="1" spans="1:4">
      <c r="A343" s="253">
        <v>251</v>
      </c>
      <c r="B343" s="250" t="str">
        <f t="shared" si="8"/>
        <v/>
      </c>
      <c r="C343" s="253"/>
      <c r="D343" s="252" t="str">
        <f>IFERROR(VLOOKUP(B343,列表!$B:$T,17,FALSE),"")</f>
        <v/>
      </c>
    </row>
    <row r="344" customHeight="1" spans="1:4">
      <c r="A344" s="253">
        <v>252</v>
      </c>
      <c r="B344" s="250" t="str">
        <f t="shared" si="8"/>
        <v/>
      </c>
      <c r="C344" s="253"/>
      <c r="D344" s="252" t="str">
        <f>IFERROR(VLOOKUP(B344,列表!$B:$T,17,FALSE),"")</f>
        <v/>
      </c>
    </row>
    <row r="345" customHeight="1" spans="1:4">
      <c r="A345" s="253">
        <v>253</v>
      </c>
      <c r="B345" s="250" t="str">
        <f t="shared" si="8"/>
        <v/>
      </c>
      <c r="C345" s="253"/>
      <c r="D345" s="252" t="str">
        <f>IFERROR(VLOOKUP(B345,列表!$B:$T,17,FALSE),"")</f>
        <v/>
      </c>
    </row>
    <row r="346" customHeight="1" spans="1:4">
      <c r="A346" s="253">
        <v>254</v>
      </c>
      <c r="B346" s="250" t="str">
        <f t="shared" si="8"/>
        <v/>
      </c>
      <c r="C346" s="253"/>
      <c r="D346" s="252" t="str">
        <f>IFERROR(VLOOKUP(B346,列表!$B:$T,17,FALSE),"")</f>
        <v/>
      </c>
    </row>
    <row r="347" customHeight="1" spans="1:4">
      <c r="A347" s="253">
        <v>255</v>
      </c>
      <c r="B347" s="250" t="str">
        <f t="shared" ref="B347:B357" si="9">J75</f>
        <v/>
      </c>
      <c r="C347" s="253"/>
      <c r="D347" s="252" t="str">
        <f>IFERROR(VLOOKUP(B347,列表!$B:$T,17,FALSE),"")</f>
        <v/>
      </c>
    </row>
    <row r="348" customHeight="1" spans="1:4">
      <c r="A348" s="253">
        <v>256</v>
      </c>
      <c r="B348" s="250" t="str">
        <f t="shared" si="9"/>
        <v/>
      </c>
      <c r="C348" s="253"/>
      <c r="D348" s="252" t="str">
        <f>IFERROR(VLOOKUP(B348,列表!$B:$T,17,FALSE),"")</f>
        <v/>
      </c>
    </row>
    <row r="349" customHeight="1" spans="1:4">
      <c r="A349" s="253">
        <v>257</v>
      </c>
      <c r="B349" s="250" t="str">
        <f t="shared" si="9"/>
        <v/>
      </c>
      <c r="C349" s="253"/>
      <c r="D349" s="252" t="str">
        <f>IFERROR(VLOOKUP(B349,列表!$B:$T,17,FALSE),"")</f>
        <v/>
      </c>
    </row>
    <row r="350" customHeight="1" spans="1:4">
      <c r="A350" s="253">
        <v>258</v>
      </c>
      <c r="B350" s="250" t="str">
        <f t="shared" si="9"/>
        <v/>
      </c>
      <c r="C350" s="253"/>
      <c r="D350" s="252" t="str">
        <f>IFERROR(VLOOKUP(B350,列表!$B:$T,17,FALSE),"")</f>
        <v/>
      </c>
    </row>
    <row r="351" customHeight="1" spans="1:4">
      <c r="A351" s="253">
        <v>259</v>
      </c>
      <c r="B351" s="250" t="str">
        <f t="shared" si="9"/>
        <v/>
      </c>
      <c r="C351" s="253"/>
      <c r="D351" s="252" t="str">
        <f>IFERROR(VLOOKUP(B351,列表!$B:$T,17,FALSE),"")</f>
        <v/>
      </c>
    </row>
    <row r="352" customHeight="1" spans="1:4">
      <c r="A352" s="253">
        <v>260</v>
      </c>
      <c r="B352" s="250" t="str">
        <f t="shared" si="9"/>
        <v/>
      </c>
      <c r="C352" s="253"/>
      <c r="D352" s="252" t="str">
        <f>IFERROR(VLOOKUP(B352,列表!$B:$T,17,FALSE),"")</f>
        <v/>
      </c>
    </row>
    <row r="353" customHeight="1" spans="1:4">
      <c r="A353" s="253">
        <v>261</v>
      </c>
      <c r="B353" s="250" t="str">
        <f t="shared" si="9"/>
        <v/>
      </c>
      <c r="C353" s="253"/>
      <c r="D353" s="252" t="str">
        <f>IFERROR(VLOOKUP(B353,列表!$B:$T,17,FALSE),"")</f>
        <v/>
      </c>
    </row>
    <row r="354" customHeight="1" spans="1:4">
      <c r="A354" s="253">
        <v>262</v>
      </c>
      <c r="B354" s="250" t="str">
        <f t="shared" si="9"/>
        <v/>
      </c>
      <c r="C354" s="253"/>
      <c r="D354" s="252" t="str">
        <f>IFERROR(VLOOKUP(B354,列表!$B:$T,17,FALSE),"")</f>
        <v/>
      </c>
    </row>
    <row r="355" customHeight="1" spans="1:4">
      <c r="A355" s="253">
        <v>263</v>
      </c>
      <c r="B355" s="250" t="str">
        <f t="shared" si="9"/>
        <v/>
      </c>
      <c r="C355" s="253"/>
      <c r="D355" s="252" t="str">
        <f>IFERROR(VLOOKUP(B355,列表!$B:$T,17,FALSE),"")</f>
        <v/>
      </c>
    </row>
    <row r="356" customHeight="1" spans="1:4">
      <c r="A356" s="253">
        <v>264</v>
      </c>
      <c r="B356" s="250" t="str">
        <f t="shared" si="9"/>
        <v/>
      </c>
      <c r="C356" s="253"/>
      <c r="D356" s="252" t="str">
        <f>IFERROR(VLOOKUP(B356,列表!$B:$T,17,FALSE),"")</f>
        <v/>
      </c>
    </row>
    <row r="357" customHeight="1" spans="1:4">
      <c r="A357" s="253">
        <v>265</v>
      </c>
      <c r="B357" s="250" t="str">
        <f t="shared" si="9"/>
        <v/>
      </c>
      <c r="C357" s="253"/>
      <c r="D357" s="252" t="str">
        <f>IFERROR(VLOOKUP(B357,列表!$B:$T,17,FALSE),"")</f>
        <v/>
      </c>
    </row>
    <row r="358" customHeight="1" spans="1:4">
      <c r="A358" s="253">
        <v>266</v>
      </c>
      <c r="B358" s="250" t="str">
        <f t="shared" ref="B358:B365" si="10">J86</f>
        <v/>
      </c>
      <c r="C358" s="253"/>
      <c r="D358" s="252" t="str">
        <f>IFERROR(VLOOKUP(B358,列表!$B:$T,17,FALSE),"")</f>
        <v/>
      </c>
    </row>
    <row r="359" customHeight="1" spans="1:4">
      <c r="A359" s="253">
        <v>267</v>
      </c>
      <c r="B359" s="250" t="str">
        <f t="shared" si="10"/>
        <v/>
      </c>
      <c r="C359" s="253"/>
      <c r="D359" s="252" t="str">
        <f>IFERROR(VLOOKUP(B359,列表!$B:$T,17,FALSE),"")</f>
        <v/>
      </c>
    </row>
    <row r="360" customHeight="1" spans="1:4">
      <c r="A360" s="253">
        <v>268</v>
      </c>
      <c r="B360" s="250" t="str">
        <f t="shared" si="10"/>
        <v/>
      </c>
      <c r="C360" s="253"/>
      <c r="D360" s="252" t="str">
        <f>IFERROR(VLOOKUP(B360,列表!$B:$T,17,FALSE),"")</f>
        <v/>
      </c>
    </row>
    <row r="361" customHeight="1" spans="1:4">
      <c r="A361" s="253">
        <v>269</v>
      </c>
      <c r="B361" s="250" t="str">
        <f t="shared" si="10"/>
        <v/>
      </c>
      <c r="C361" s="253"/>
      <c r="D361" s="252" t="str">
        <f>IFERROR(VLOOKUP(B361,列表!$B:$T,17,FALSE),"")</f>
        <v/>
      </c>
    </row>
    <row r="362" customHeight="1" spans="1:4">
      <c r="A362" s="253">
        <v>270</v>
      </c>
      <c r="B362" s="250" t="str">
        <f t="shared" si="10"/>
        <v/>
      </c>
      <c r="C362" s="253"/>
      <c r="D362" s="252" t="str">
        <f>IFERROR(VLOOKUP(B362,列表!$B:$T,17,FALSE),"")</f>
        <v/>
      </c>
    </row>
  </sheetData>
  <mergeCells count="25">
    <mergeCell ref="O22:P22"/>
    <mergeCell ref="AM41:AZ41"/>
    <mergeCell ref="O45:Q45"/>
    <mergeCell ref="BA75:BP75"/>
    <mergeCell ref="A92:C92"/>
    <mergeCell ref="W11:W20"/>
    <mergeCell ref="W21:W24"/>
    <mergeCell ref="W25:W42"/>
    <mergeCell ref="W43:W47"/>
    <mergeCell ref="AK75:AK76"/>
    <mergeCell ref="AL75:AL76"/>
    <mergeCell ref="AM75:AM76"/>
    <mergeCell ref="AN75:AN76"/>
    <mergeCell ref="AO75:AO76"/>
    <mergeCell ref="AP75:AP76"/>
    <mergeCell ref="AQ75:AQ76"/>
    <mergeCell ref="AR75:AR76"/>
    <mergeCell ref="AS75:AS76"/>
    <mergeCell ref="AT75:AT76"/>
    <mergeCell ref="AU75:AU76"/>
    <mergeCell ref="AV75:AV76"/>
    <mergeCell ref="AW75:AW76"/>
    <mergeCell ref="AX75:AX76"/>
    <mergeCell ref="AY75:AY76"/>
    <mergeCell ref="AZ75:AZ7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13"/>
  <sheetViews>
    <sheetView workbookViewId="0">
      <selection activeCell="C114" sqref="C114:H114"/>
    </sheetView>
  </sheetViews>
  <sheetFormatPr defaultColWidth="9" defaultRowHeight="16.5"/>
  <cols>
    <col min="1" max="78" width="2.35454545454545" style="205" customWidth="1"/>
    <col min="79" max="16384" width="9" style="205"/>
  </cols>
  <sheetData>
    <row r="1" ht="17" customHeight="1" spans="1:47">
      <c r="A1" s="206" t="s">
        <v>1220</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42"/>
      <c r="AU1" s="42"/>
    </row>
    <row r="2" ht="8" customHeight="1"/>
    <row r="3" ht="17" customHeight="1" spans="1:47">
      <c r="B3" s="207" t="s">
        <v>116</v>
      </c>
      <c r="C3" s="207"/>
      <c r="D3" s="207"/>
      <c r="E3" s="207"/>
      <c r="F3" s="207"/>
      <c r="G3" s="207"/>
      <c r="H3" s="207"/>
      <c r="I3" s="207"/>
      <c r="J3" s="207"/>
      <c r="K3" s="207"/>
      <c r="L3" s="207"/>
      <c r="M3" s="207"/>
      <c r="N3" s="207"/>
      <c r="O3" s="207"/>
      <c r="P3" s="207"/>
      <c r="Q3" s="207"/>
      <c r="R3" s="207"/>
      <c r="S3" s="207"/>
      <c r="T3" s="207"/>
      <c r="U3" s="207"/>
      <c r="V3" s="208">
        <f>SUM(DB!A2:A22)</f>
        <v>0</v>
      </c>
      <c r="W3" s="208"/>
      <c r="Y3" s="207" t="s">
        <v>117</v>
      </c>
      <c r="Z3" s="207"/>
      <c r="AA3" s="207"/>
      <c r="AB3" s="207"/>
      <c r="AC3" s="207"/>
      <c r="AD3" s="207"/>
      <c r="AE3" s="207"/>
      <c r="AF3" s="207"/>
      <c r="AG3" s="207"/>
      <c r="AH3" s="207"/>
      <c r="AI3" s="207"/>
      <c r="AJ3" s="207"/>
      <c r="AK3" s="207"/>
      <c r="AL3" s="207"/>
      <c r="AM3" s="207"/>
      <c r="AN3" s="207"/>
      <c r="AO3" s="207"/>
      <c r="AP3" s="207"/>
      <c r="AQ3" s="207"/>
      <c r="AR3" s="207"/>
      <c r="AS3" s="208">
        <f>SUM(DB!B2:B22)</f>
        <v>0</v>
      </c>
      <c r="AT3" s="208"/>
    </row>
    <row r="4" ht="17" customHeight="1" spans="1:47">
      <c r="B4" s="47" t="s">
        <v>68</v>
      </c>
      <c r="C4" s="47"/>
      <c r="D4" s="47"/>
      <c r="E4" s="47"/>
      <c r="F4" s="47"/>
      <c r="G4" s="47"/>
      <c r="H4" s="47"/>
      <c r="I4" s="47" t="s">
        <v>153</v>
      </c>
      <c r="J4" s="47"/>
      <c r="K4" s="47"/>
      <c r="L4" s="47"/>
      <c r="M4" s="47"/>
      <c r="N4" s="47"/>
      <c r="O4" s="47"/>
      <c r="P4" s="47"/>
      <c r="Q4" s="47"/>
      <c r="R4" s="47"/>
      <c r="S4" s="47" t="s">
        <v>1221</v>
      </c>
      <c r="T4" s="47"/>
      <c r="U4" s="209"/>
      <c r="V4" s="47" t="s">
        <v>1222</v>
      </c>
      <c r="W4" s="47"/>
      <c r="X4" s="209"/>
      <c r="Y4" s="47" t="s">
        <v>68</v>
      </c>
      <c r="Z4" s="47"/>
      <c r="AA4" s="47"/>
      <c r="AB4" s="47"/>
      <c r="AC4" s="47"/>
      <c r="AD4" s="47"/>
      <c r="AE4" s="47"/>
      <c r="AF4" s="47" t="s">
        <v>153</v>
      </c>
      <c r="AG4" s="47"/>
      <c r="AH4" s="47"/>
      <c r="AI4" s="47"/>
      <c r="AJ4" s="47"/>
      <c r="AK4" s="47"/>
      <c r="AL4" s="47"/>
      <c r="AM4" s="47"/>
      <c r="AN4" s="47"/>
      <c r="AO4" s="47"/>
      <c r="AP4" s="47" t="s">
        <v>1221</v>
      </c>
      <c r="AQ4" s="47"/>
      <c r="AR4" s="209"/>
      <c r="AS4" s="47" t="s">
        <v>1222</v>
      </c>
      <c r="AT4" s="47"/>
    </row>
    <row r="5" ht="17" customHeight="1" spans="1:47">
      <c r="B5" s="49"/>
      <c r="C5" s="49"/>
      <c r="D5" s="49"/>
      <c r="E5" s="49"/>
      <c r="F5" s="49"/>
      <c r="G5" s="49"/>
      <c r="H5" s="49"/>
      <c r="I5" s="50"/>
      <c r="J5" s="50"/>
      <c r="K5" s="50"/>
      <c r="L5" s="50"/>
      <c r="M5" s="50"/>
      <c r="N5" s="50"/>
      <c r="O5" s="50"/>
      <c r="P5" s="50"/>
      <c r="Q5" s="50"/>
      <c r="R5" s="50"/>
      <c r="S5" s="210"/>
      <c r="T5" s="210"/>
      <c r="U5" s="209" t="s">
        <v>1223</v>
      </c>
      <c r="V5" s="210"/>
      <c r="W5" s="210"/>
      <c r="Y5" s="49"/>
      <c r="Z5" s="49"/>
      <c r="AA5" s="49"/>
      <c r="AB5" s="49"/>
      <c r="AC5" s="49"/>
      <c r="AD5" s="49"/>
      <c r="AE5" s="49"/>
      <c r="AF5" s="50"/>
      <c r="AG5" s="50"/>
      <c r="AH5" s="50"/>
      <c r="AI5" s="50"/>
      <c r="AJ5" s="50"/>
      <c r="AK5" s="50"/>
      <c r="AL5" s="50"/>
      <c r="AM5" s="50"/>
      <c r="AN5" s="50"/>
      <c r="AO5" s="50"/>
      <c r="AP5" s="210"/>
      <c r="AQ5" s="210"/>
      <c r="AR5" s="209" t="s">
        <v>1223</v>
      </c>
      <c r="AS5" s="210"/>
      <c r="AT5" s="210"/>
    </row>
    <row r="6" ht="17" customHeight="1" spans="1:47">
      <c r="B6" s="55"/>
      <c r="C6" s="55"/>
      <c r="D6" s="55"/>
      <c r="E6" s="55"/>
      <c r="F6" s="55"/>
      <c r="G6" s="55"/>
      <c r="H6" s="55"/>
      <c r="I6" s="56"/>
      <c r="J6" s="56"/>
      <c r="K6" s="56"/>
      <c r="L6" s="56"/>
      <c r="M6" s="56"/>
      <c r="N6" s="56"/>
      <c r="O6" s="56"/>
      <c r="P6" s="56"/>
      <c r="Q6" s="56"/>
      <c r="R6" s="56"/>
      <c r="S6" s="211"/>
      <c r="T6" s="211"/>
      <c r="U6" s="209" t="s">
        <v>1223</v>
      </c>
      <c r="V6" s="211"/>
      <c r="W6" s="211"/>
      <c r="Y6" s="55"/>
      <c r="Z6" s="55"/>
      <c r="AA6" s="55"/>
      <c r="AB6" s="55"/>
      <c r="AC6" s="55"/>
      <c r="AD6" s="55"/>
      <c r="AE6" s="55"/>
      <c r="AF6" s="56"/>
      <c r="AG6" s="56"/>
      <c r="AH6" s="56"/>
      <c r="AI6" s="56"/>
      <c r="AJ6" s="56"/>
      <c r="AK6" s="56"/>
      <c r="AL6" s="56"/>
      <c r="AM6" s="56"/>
      <c r="AN6" s="56"/>
      <c r="AO6" s="56"/>
      <c r="AP6" s="211"/>
      <c r="AQ6" s="211"/>
      <c r="AR6" s="209" t="s">
        <v>1223</v>
      </c>
      <c r="AS6" s="211"/>
      <c r="AT6" s="211"/>
    </row>
    <row r="7" ht="17" customHeight="1" spans="1:47">
      <c r="B7" s="49"/>
      <c r="C7" s="49"/>
      <c r="D7" s="49"/>
      <c r="E7" s="49"/>
      <c r="F7" s="49"/>
      <c r="G7" s="49"/>
      <c r="H7" s="49"/>
      <c r="I7" s="50"/>
      <c r="J7" s="50"/>
      <c r="K7" s="50"/>
      <c r="L7" s="50"/>
      <c r="M7" s="50"/>
      <c r="N7" s="50"/>
      <c r="O7" s="50"/>
      <c r="P7" s="50"/>
      <c r="Q7" s="50"/>
      <c r="R7" s="50"/>
      <c r="S7" s="210"/>
      <c r="T7" s="210"/>
      <c r="U7" s="209" t="s">
        <v>1223</v>
      </c>
      <c r="V7" s="210"/>
      <c r="W7" s="210"/>
      <c r="Y7" s="49"/>
      <c r="Z7" s="49"/>
      <c r="AA7" s="49"/>
      <c r="AB7" s="49"/>
      <c r="AC7" s="49"/>
      <c r="AD7" s="49"/>
      <c r="AE7" s="49"/>
      <c r="AF7" s="50"/>
      <c r="AG7" s="50"/>
      <c r="AH7" s="50"/>
      <c r="AI7" s="50"/>
      <c r="AJ7" s="50"/>
      <c r="AK7" s="50"/>
      <c r="AL7" s="50"/>
      <c r="AM7" s="50"/>
      <c r="AN7" s="50"/>
      <c r="AO7" s="50"/>
      <c r="AP7" s="210"/>
      <c r="AQ7" s="210"/>
      <c r="AR7" s="209" t="s">
        <v>1223</v>
      </c>
      <c r="AS7" s="210"/>
      <c r="AT7" s="210"/>
    </row>
    <row r="8" ht="17" customHeight="1" spans="1:47">
      <c r="B8" s="55"/>
      <c r="C8" s="55"/>
      <c r="D8" s="55"/>
      <c r="E8" s="55"/>
      <c r="F8" s="55"/>
      <c r="G8" s="55"/>
      <c r="H8" s="55"/>
      <c r="I8" s="56"/>
      <c r="J8" s="56"/>
      <c r="K8" s="56"/>
      <c r="L8" s="56"/>
      <c r="M8" s="56"/>
      <c r="N8" s="56"/>
      <c r="O8" s="56"/>
      <c r="P8" s="56"/>
      <c r="Q8" s="56"/>
      <c r="R8" s="56"/>
      <c r="S8" s="211"/>
      <c r="T8" s="211"/>
      <c r="U8" s="209" t="s">
        <v>1223</v>
      </c>
      <c r="V8" s="211"/>
      <c r="W8" s="211"/>
      <c r="Y8" s="55"/>
      <c r="Z8" s="55"/>
      <c r="AA8" s="55"/>
      <c r="AB8" s="55"/>
      <c r="AC8" s="55"/>
      <c r="AD8" s="55"/>
      <c r="AE8" s="55"/>
      <c r="AF8" s="56"/>
      <c r="AG8" s="56"/>
      <c r="AH8" s="56"/>
      <c r="AI8" s="56"/>
      <c r="AJ8" s="56"/>
      <c r="AK8" s="56"/>
      <c r="AL8" s="56"/>
      <c r="AM8" s="56"/>
      <c r="AN8" s="56"/>
      <c r="AO8" s="56"/>
      <c r="AP8" s="211"/>
      <c r="AQ8" s="211"/>
      <c r="AR8" s="209" t="s">
        <v>1223</v>
      </c>
      <c r="AS8" s="211"/>
      <c r="AT8" s="211"/>
    </row>
    <row r="9" ht="17" customHeight="1" spans="1:47">
      <c r="B9" s="49"/>
      <c r="C9" s="49"/>
      <c r="D9" s="49"/>
      <c r="E9" s="49"/>
      <c r="F9" s="49"/>
      <c r="G9" s="49"/>
      <c r="H9" s="49"/>
      <c r="I9" s="50"/>
      <c r="J9" s="50"/>
      <c r="K9" s="50"/>
      <c r="L9" s="50"/>
      <c r="M9" s="50"/>
      <c r="N9" s="50"/>
      <c r="O9" s="50"/>
      <c r="P9" s="50"/>
      <c r="Q9" s="50"/>
      <c r="R9" s="50"/>
      <c r="S9" s="210"/>
      <c r="T9" s="210"/>
      <c r="U9" s="209" t="s">
        <v>1223</v>
      </c>
      <c r="V9" s="210"/>
      <c r="W9" s="210"/>
      <c r="Y9" s="49"/>
      <c r="Z9" s="49"/>
      <c r="AA9" s="49"/>
      <c r="AB9" s="49"/>
      <c r="AC9" s="49"/>
      <c r="AD9" s="49"/>
      <c r="AE9" s="49"/>
      <c r="AF9" s="50"/>
      <c r="AG9" s="50"/>
      <c r="AH9" s="50"/>
      <c r="AI9" s="50"/>
      <c r="AJ9" s="50"/>
      <c r="AK9" s="50"/>
      <c r="AL9" s="50"/>
      <c r="AM9" s="50"/>
      <c r="AN9" s="50"/>
      <c r="AO9" s="50"/>
      <c r="AP9" s="210"/>
      <c r="AQ9" s="210"/>
      <c r="AR9" s="209" t="s">
        <v>1223</v>
      </c>
      <c r="AS9" s="210"/>
      <c r="AT9" s="210"/>
    </row>
    <row r="10" ht="17" customHeight="1" spans="1:47">
      <c r="B10" s="212"/>
      <c r="C10" s="212"/>
      <c r="D10" s="212"/>
      <c r="E10" s="212"/>
      <c r="F10" s="212"/>
      <c r="G10" s="212"/>
      <c r="H10" s="212"/>
      <c r="I10" s="213"/>
      <c r="J10" s="213"/>
      <c r="K10" s="213"/>
      <c r="L10" s="213"/>
      <c r="M10" s="213"/>
      <c r="N10" s="213"/>
      <c r="O10" s="213"/>
      <c r="P10" s="213"/>
      <c r="Q10" s="213"/>
      <c r="R10" s="213"/>
      <c r="S10" s="211"/>
      <c r="T10" s="211"/>
      <c r="U10" s="209" t="s">
        <v>1223</v>
      </c>
      <c r="V10" s="214"/>
      <c r="W10" s="214"/>
      <c r="Y10" s="212"/>
      <c r="Z10" s="212"/>
      <c r="AA10" s="212"/>
      <c r="AB10" s="212"/>
      <c r="AC10" s="212"/>
      <c r="AD10" s="212"/>
      <c r="AE10" s="212"/>
      <c r="AF10" s="213"/>
      <c r="AG10" s="213"/>
      <c r="AH10" s="213"/>
      <c r="AI10" s="213"/>
      <c r="AJ10" s="213"/>
      <c r="AK10" s="213"/>
      <c r="AL10" s="213"/>
      <c r="AM10" s="213"/>
      <c r="AN10" s="213"/>
      <c r="AO10" s="213"/>
      <c r="AP10" s="211"/>
      <c r="AQ10" s="211"/>
      <c r="AR10" s="209" t="s">
        <v>1223</v>
      </c>
      <c r="AS10" s="214"/>
      <c r="AT10" s="214"/>
    </row>
    <row r="11" ht="17" customHeight="1" spans="1:47">
      <c r="B11" s="49"/>
      <c r="C11" s="49"/>
      <c r="D11" s="49"/>
      <c r="E11" s="49"/>
      <c r="F11" s="49"/>
      <c r="G11" s="49"/>
      <c r="H11" s="49"/>
      <c r="I11" s="50"/>
      <c r="J11" s="50"/>
      <c r="K11" s="50"/>
      <c r="L11" s="50"/>
      <c r="M11" s="50"/>
      <c r="N11" s="50"/>
      <c r="O11" s="50"/>
      <c r="P11" s="50"/>
      <c r="Q11" s="50"/>
      <c r="R11" s="50"/>
      <c r="S11" s="210"/>
      <c r="T11" s="210"/>
      <c r="U11" s="209" t="s">
        <v>1223</v>
      </c>
      <c r="V11" s="210"/>
      <c r="W11" s="210"/>
      <c r="Y11" s="49"/>
      <c r="Z11" s="49"/>
      <c r="AA11" s="49"/>
      <c r="AB11" s="49"/>
      <c r="AC11" s="49"/>
      <c r="AD11" s="49"/>
      <c r="AE11" s="49"/>
      <c r="AF11" s="50"/>
      <c r="AG11" s="50"/>
      <c r="AH11" s="50"/>
      <c r="AI11" s="50"/>
      <c r="AJ11" s="50"/>
      <c r="AK11" s="50"/>
      <c r="AL11" s="50"/>
      <c r="AM11" s="50"/>
      <c r="AN11" s="50"/>
      <c r="AO11" s="50"/>
      <c r="AP11" s="210"/>
      <c r="AQ11" s="210"/>
      <c r="AR11" s="209" t="s">
        <v>1223</v>
      </c>
      <c r="AS11" s="210"/>
      <c r="AT11" s="210"/>
    </row>
    <row r="12" ht="17" customHeight="1" spans="1:47">
      <c r="B12" s="55"/>
      <c r="C12" s="55"/>
      <c r="D12" s="55"/>
      <c r="E12" s="55"/>
      <c r="F12" s="55"/>
      <c r="G12" s="55"/>
      <c r="H12" s="55"/>
      <c r="I12" s="56"/>
      <c r="J12" s="56"/>
      <c r="K12" s="56"/>
      <c r="L12" s="56"/>
      <c r="M12" s="56"/>
      <c r="N12" s="56"/>
      <c r="O12" s="56"/>
      <c r="P12" s="56"/>
      <c r="Q12" s="56"/>
      <c r="R12" s="56"/>
      <c r="S12" s="211"/>
      <c r="T12" s="211"/>
      <c r="U12" s="209" t="s">
        <v>1223</v>
      </c>
      <c r="V12" s="211"/>
      <c r="W12" s="211"/>
      <c r="Y12" s="55"/>
      <c r="Z12" s="55"/>
      <c r="AA12" s="55"/>
      <c r="AB12" s="55"/>
      <c r="AC12" s="55"/>
      <c r="AD12" s="55"/>
      <c r="AE12" s="55"/>
      <c r="AF12" s="56"/>
      <c r="AG12" s="56"/>
      <c r="AH12" s="56"/>
      <c r="AI12" s="56"/>
      <c r="AJ12" s="56"/>
      <c r="AK12" s="56"/>
      <c r="AL12" s="56"/>
      <c r="AM12" s="56"/>
      <c r="AN12" s="56"/>
      <c r="AO12" s="56"/>
      <c r="AP12" s="211"/>
      <c r="AQ12" s="211"/>
      <c r="AR12" s="209" t="s">
        <v>1223</v>
      </c>
      <c r="AS12" s="211"/>
      <c r="AT12" s="211"/>
    </row>
    <row r="13" ht="17" customHeight="1" spans="1:47">
      <c r="B13" s="49"/>
      <c r="C13" s="49"/>
      <c r="D13" s="49"/>
      <c r="E13" s="49"/>
      <c r="F13" s="49"/>
      <c r="G13" s="49"/>
      <c r="H13" s="49"/>
      <c r="I13" s="50"/>
      <c r="J13" s="50"/>
      <c r="K13" s="50"/>
      <c r="L13" s="50"/>
      <c r="M13" s="50"/>
      <c r="N13" s="50"/>
      <c r="O13" s="50"/>
      <c r="P13" s="50"/>
      <c r="Q13" s="50"/>
      <c r="R13" s="50"/>
      <c r="S13" s="210"/>
      <c r="T13" s="210"/>
      <c r="U13" s="209" t="s">
        <v>1223</v>
      </c>
      <c r="V13" s="210"/>
      <c r="W13" s="210"/>
      <c r="Y13" s="49"/>
      <c r="Z13" s="49"/>
      <c r="AA13" s="49"/>
      <c r="AB13" s="49"/>
      <c r="AC13" s="49"/>
      <c r="AD13" s="49"/>
      <c r="AE13" s="49"/>
      <c r="AF13" s="50"/>
      <c r="AG13" s="50"/>
      <c r="AH13" s="50"/>
      <c r="AI13" s="50"/>
      <c r="AJ13" s="50"/>
      <c r="AK13" s="50"/>
      <c r="AL13" s="50"/>
      <c r="AM13" s="50"/>
      <c r="AN13" s="50"/>
      <c r="AO13" s="50"/>
      <c r="AP13" s="210"/>
      <c r="AQ13" s="210"/>
      <c r="AR13" s="209" t="s">
        <v>1223</v>
      </c>
      <c r="AS13" s="210"/>
      <c r="AT13" s="210"/>
    </row>
    <row r="14" ht="17" customHeight="1" spans="1:47">
      <c r="B14" s="55"/>
      <c r="C14" s="55"/>
      <c r="D14" s="55"/>
      <c r="E14" s="55"/>
      <c r="F14" s="55"/>
      <c r="G14" s="55"/>
      <c r="H14" s="55"/>
      <c r="I14" s="56"/>
      <c r="J14" s="56"/>
      <c r="K14" s="56"/>
      <c r="L14" s="56"/>
      <c r="M14" s="56"/>
      <c r="N14" s="56"/>
      <c r="O14" s="56"/>
      <c r="P14" s="56"/>
      <c r="Q14" s="56"/>
      <c r="R14" s="56"/>
      <c r="S14" s="211"/>
      <c r="T14" s="211"/>
      <c r="U14" s="209" t="s">
        <v>1223</v>
      </c>
      <c r="V14" s="211"/>
      <c r="W14" s="211"/>
      <c r="Y14" s="55"/>
      <c r="Z14" s="55"/>
      <c r="AA14" s="55"/>
      <c r="AB14" s="55"/>
      <c r="AC14" s="55"/>
      <c r="AD14" s="55"/>
      <c r="AE14" s="55"/>
      <c r="AF14" s="56"/>
      <c r="AG14" s="56"/>
      <c r="AH14" s="56"/>
      <c r="AI14" s="56"/>
      <c r="AJ14" s="56"/>
      <c r="AK14" s="56"/>
      <c r="AL14" s="56"/>
      <c r="AM14" s="56"/>
      <c r="AN14" s="56"/>
      <c r="AO14" s="56"/>
      <c r="AP14" s="211"/>
      <c r="AQ14" s="211"/>
      <c r="AR14" s="209" t="s">
        <v>1223</v>
      </c>
      <c r="AS14" s="211"/>
      <c r="AT14" s="211"/>
    </row>
    <row r="15" ht="8" customHeight="1" spans="1:47">
      <c r="B15" s="45"/>
      <c r="C15" s="45"/>
      <c r="D15" s="45"/>
      <c r="E15" s="45"/>
      <c r="F15" s="45"/>
      <c r="G15" s="45"/>
      <c r="H15" s="45"/>
      <c r="I15" s="45"/>
      <c r="J15" s="45"/>
      <c r="K15" s="45"/>
      <c r="L15" s="45"/>
      <c r="M15" s="45"/>
      <c r="N15" s="45"/>
      <c r="O15" s="45"/>
      <c r="P15" s="45"/>
      <c r="Q15" s="45"/>
      <c r="R15" s="45"/>
      <c r="S15" s="215"/>
      <c r="T15" s="215"/>
      <c r="V15" s="215"/>
      <c r="W15" s="215"/>
      <c r="Y15" s="45"/>
      <c r="Z15" s="45"/>
      <c r="AA15" s="45"/>
      <c r="AB15" s="45"/>
      <c r="AC15" s="45"/>
      <c r="AD15" s="45"/>
      <c r="AE15" s="45"/>
      <c r="AF15" s="45"/>
      <c r="AG15" s="45"/>
      <c r="AH15" s="45"/>
      <c r="AI15" s="45"/>
      <c r="AJ15" s="45"/>
      <c r="AK15" s="45"/>
      <c r="AL15" s="45"/>
      <c r="AM15" s="45"/>
      <c r="AN15" s="45"/>
      <c r="AO15" s="45"/>
      <c r="AP15" s="215"/>
      <c r="AQ15" s="215"/>
      <c r="AS15" s="215"/>
      <c r="AT15" s="215"/>
    </row>
    <row r="16" ht="17" customHeight="1" spans="1:47">
      <c r="B16" s="49"/>
      <c r="C16" s="49"/>
      <c r="D16" s="49"/>
      <c r="E16" s="49"/>
      <c r="F16" s="49"/>
      <c r="G16" s="49"/>
      <c r="H16" s="49"/>
      <c r="I16" s="50"/>
      <c r="J16" s="50"/>
      <c r="K16" s="50"/>
      <c r="L16" s="50"/>
      <c r="M16" s="50"/>
      <c r="N16" s="50"/>
      <c r="O16" s="50"/>
      <c r="P16" s="50"/>
      <c r="Q16" s="50"/>
      <c r="R16" s="50"/>
      <c r="S16" s="210"/>
      <c r="T16" s="210"/>
      <c r="U16" s="209" t="s">
        <v>1223</v>
      </c>
      <c r="V16" s="210"/>
      <c r="W16" s="210"/>
      <c r="Y16" s="49"/>
      <c r="Z16" s="49"/>
      <c r="AA16" s="49"/>
      <c r="AB16" s="49"/>
      <c r="AC16" s="49"/>
      <c r="AD16" s="49"/>
      <c r="AE16" s="49"/>
      <c r="AF16" s="50"/>
      <c r="AG16" s="50"/>
      <c r="AH16" s="50"/>
      <c r="AI16" s="50"/>
      <c r="AJ16" s="50"/>
      <c r="AK16" s="50"/>
      <c r="AL16" s="50"/>
      <c r="AM16" s="50"/>
      <c r="AN16" s="50"/>
      <c r="AO16" s="50"/>
      <c r="AP16" s="210"/>
      <c r="AQ16" s="210"/>
      <c r="AR16" s="209" t="s">
        <v>1223</v>
      </c>
      <c r="AS16" s="210"/>
      <c r="AT16" s="210"/>
    </row>
    <row r="17" ht="17" customHeight="1" spans="2:46">
      <c r="B17" s="55"/>
      <c r="C17" s="55"/>
      <c r="D17" s="55"/>
      <c r="E17" s="55"/>
      <c r="F17" s="55"/>
      <c r="G17" s="55"/>
      <c r="H17" s="55"/>
      <c r="I17" s="56"/>
      <c r="J17" s="56"/>
      <c r="K17" s="56"/>
      <c r="L17" s="56"/>
      <c r="M17" s="56"/>
      <c r="N17" s="56"/>
      <c r="O17" s="56"/>
      <c r="P17" s="56"/>
      <c r="Q17" s="56"/>
      <c r="R17" s="56"/>
      <c r="S17" s="211"/>
      <c r="T17" s="211"/>
      <c r="U17" s="209" t="s">
        <v>1223</v>
      </c>
      <c r="V17" s="211"/>
      <c r="W17" s="211"/>
      <c r="Y17" s="55"/>
      <c r="Z17" s="55"/>
      <c r="AA17" s="55"/>
      <c r="AB17" s="55"/>
      <c r="AC17" s="55"/>
      <c r="AD17" s="55"/>
      <c r="AE17" s="55"/>
      <c r="AF17" s="56"/>
      <c r="AG17" s="56"/>
      <c r="AH17" s="56"/>
      <c r="AI17" s="56"/>
      <c r="AJ17" s="56"/>
      <c r="AK17" s="56"/>
      <c r="AL17" s="56"/>
      <c r="AM17" s="56"/>
      <c r="AN17" s="56"/>
      <c r="AO17" s="56"/>
      <c r="AP17" s="211"/>
      <c r="AQ17" s="211"/>
      <c r="AR17" s="209" t="s">
        <v>1223</v>
      </c>
      <c r="AS17" s="211"/>
      <c r="AT17" s="211"/>
    </row>
    <row r="18" ht="17" customHeight="1" spans="2:46">
      <c r="B18" s="49"/>
      <c r="C18" s="49"/>
      <c r="D18" s="49"/>
      <c r="E18" s="49"/>
      <c r="F18" s="49"/>
      <c r="G18" s="49"/>
      <c r="H18" s="49"/>
      <c r="I18" s="50"/>
      <c r="J18" s="50"/>
      <c r="K18" s="50"/>
      <c r="L18" s="50"/>
      <c r="M18" s="50"/>
      <c r="N18" s="50"/>
      <c r="O18" s="50"/>
      <c r="P18" s="50"/>
      <c r="Q18" s="50"/>
      <c r="R18" s="50"/>
      <c r="S18" s="210"/>
      <c r="T18" s="210"/>
      <c r="U18" s="209" t="s">
        <v>1223</v>
      </c>
      <c r="V18" s="210"/>
      <c r="W18" s="210"/>
      <c r="Y18" s="49"/>
      <c r="Z18" s="49"/>
      <c r="AA18" s="49"/>
      <c r="AB18" s="49"/>
      <c r="AC18" s="49"/>
      <c r="AD18" s="49"/>
      <c r="AE18" s="49"/>
      <c r="AF18" s="50"/>
      <c r="AG18" s="50"/>
      <c r="AH18" s="50"/>
      <c r="AI18" s="50"/>
      <c r="AJ18" s="50"/>
      <c r="AK18" s="50"/>
      <c r="AL18" s="50"/>
      <c r="AM18" s="50"/>
      <c r="AN18" s="50"/>
      <c r="AO18" s="50"/>
      <c r="AP18" s="210"/>
      <c r="AQ18" s="210"/>
      <c r="AR18" s="209" t="s">
        <v>1223</v>
      </c>
      <c r="AS18" s="210"/>
      <c r="AT18" s="210"/>
    </row>
    <row r="19" ht="17" customHeight="1" spans="2:46">
      <c r="B19" s="55"/>
      <c r="C19" s="55"/>
      <c r="D19" s="55"/>
      <c r="E19" s="55"/>
      <c r="F19" s="55"/>
      <c r="G19" s="55"/>
      <c r="H19" s="55"/>
      <c r="I19" s="56"/>
      <c r="J19" s="56"/>
      <c r="K19" s="56"/>
      <c r="L19" s="56"/>
      <c r="M19" s="56"/>
      <c r="N19" s="56"/>
      <c r="O19" s="56"/>
      <c r="P19" s="56"/>
      <c r="Q19" s="56"/>
      <c r="R19" s="56"/>
      <c r="S19" s="211"/>
      <c r="T19" s="211"/>
      <c r="U19" s="209" t="s">
        <v>1223</v>
      </c>
      <c r="V19" s="211"/>
      <c r="W19" s="211"/>
      <c r="Y19" s="55"/>
      <c r="Z19" s="55"/>
      <c r="AA19" s="55"/>
      <c r="AB19" s="55"/>
      <c r="AC19" s="55"/>
      <c r="AD19" s="55"/>
      <c r="AE19" s="55"/>
      <c r="AF19" s="56"/>
      <c r="AG19" s="56"/>
      <c r="AH19" s="56"/>
      <c r="AI19" s="56"/>
      <c r="AJ19" s="56"/>
      <c r="AK19" s="56"/>
      <c r="AL19" s="56"/>
      <c r="AM19" s="56"/>
      <c r="AN19" s="56"/>
      <c r="AO19" s="56"/>
      <c r="AP19" s="211"/>
      <c r="AQ19" s="211"/>
      <c r="AR19" s="209" t="s">
        <v>1223</v>
      </c>
      <c r="AS19" s="211"/>
      <c r="AT19" s="211"/>
    </row>
    <row r="20" ht="17" customHeight="1" spans="2:46">
      <c r="B20" s="49"/>
      <c r="C20" s="49"/>
      <c r="D20" s="49"/>
      <c r="E20" s="49"/>
      <c r="F20" s="49"/>
      <c r="G20" s="49"/>
      <c r="H20" s="49"/>
      <c r="I20" s="50"/>
      <c r="J20" s="50"/>
      <c r="K20" s="50"/>
      <c r="L20" s="50"/>
      <c r="M20" s="50"/>
      <c r="N20" s="50"/>
      <c r="O20" s="50"/>
      <c r="P20" s="50"/>
      <c r="Q20" s="50"/>
      <c r="R20" s="50"/>
      <c r="S20" s="210"/>
      <c r="T20" s="210"/>
      <c r="U20" s="209" t="s">
        <v>1223</v>
      </c>
      <c r="V20" s="210"/>
      <c r="W20" s="210"/>
      <c r="Y20" s="49"/>
      <c r="Z20" s="49"/>
      <c r="AA20" s="49"/>
      <c r="AB20" s="49"/>
      <c r="AC20" s="49"/>
      <c r="AD20" s="49"/>
      <c r="AE20" s="49"/>
      <c r="AF20" s="50"/>
      <c r="AG20" s="50"/>
      <c r="AH20" s="50"/>
      <c r="AI20" s="50"/>
      <c r="AJ20" s="50"/>
      <c r="AK20" s="50"/>
      <c r="AL20" s="50"/>
      <c r="AM20" s="50"/>
      <c r="AN20" s="50"/>
      <c r="AO20" s="50"/>
      <c r="AP20" s="210"/>
      <c r="AQ20" s="210"/>
      <c r="AR20" s="209" t="s">
        <v>1223</v>
      </c>
      <c r="AS20" s="210"/>
      <c r="AT20" s="210"/>
    </row>
    <row r="21" ht="17" customHeight="1" spans="2:46">
      <c r="B21" s="212"/>
      <c r="C21" s="212"/>
      <c r="D21" s="212"/>
      <c r="E21" s="212"/>
      <c r="F21" s="212"/>
      <c r="G21" s="212"/>
      <c r="H21" s="212"/>
      <c r="I21" s="213"/>
      <c r="J21" s="213"/>
      <c r="K21" s="213"/>
      <c r="L21" s="213"/>
      <c r="M21" s="213"/>
      <c r="N21" s="213"/>
      <c r="O21" s="213"/>
      <c r="P21" s="213"/>
      <c r="Q21" s="213"/>
      <c r="R21" s="213"/>
      <c r="S21" s="211"/>
      <c r="T21" s="211"/>
      <c r="U21" s="209" t="s">
        <v>1223</v>
      </c>
      <c r="V21" s="214"/>
      <c r="W21" s="214"/>
      <c r="Y21" s="212"/>
      <c r="Z21" s="212"/>
      <c r="AA21" s="212"/>
      <c r="AB21" s="212"/>
      <c r="AC21" s="212"/>
      <c r="AD21" s="212"/>
      <c r="AE21" s="212"/>
      <c r="AF21" s="213"/>
      <c r="AG21" s="213"/>
      <c r="AH21" s="213"/>
      <c r="AI21" s="213"/>
      <c r="AJ21" s="213"/>
      <c r="AK21" s="213"/>
      <c r="AL21" s="213"/>
      <c r="AM21" s="213"/>
      <c r="AN21" s="213"/>
      <c r="AO21" s="213"/>
      <c r="AP21" s="211"/>
      <c r="AQ21" s="211"/>
      <c r="AR21" s="209" t="s">
        <v>1223</v>
      </c>
      <c r="AS21" s="214"/>
      <c r="AT21" s="214"/>
    </row>
    <row r="22" ht="17" customHeight="1" spans="2:46">
      <c r="B22" s="49"/>
      <c r="C22" s="49"/>
      <c r="D22" s="49"/>
      <c r="E22" s="49"/>
      <c r="F22" s="49"/>
      <c r="G22" s="49"/>
      <c r="H22" s="49"/>
      <c r="I22" s="50"/>
      <c r="J22" s="50"/>
      <c r="K22" s="50"/>
      <c r="L22" s="50"/>
      <c r="M22" s="50"/>
      <c r="N22" s="50"/>
      <c r="O22" s="50"/>
      <c r="P22" s="50"/>
      <c r="Q22" s="50"/>
      <c r="R22" s="50"/>
      <c r="S22" s="210"/>
      <c r="T22" s="210"/>
      <c r="U22" s="209" t="s">
        <v>1223</v>
      </c>
      <c r="V22" s="210"/>
      <c r="W22" s="210"/>
      <c r="Y22" s="49"/>
      <c r="Z22" s="49"/>
      <c r="AA22" s="49"/>
      <c r="AB22" s="49"/>
      <c r="AC22" s="49"/>
      <c r="AD22" s="49"/>
      <c r="AE22" s="49"/>
      <c r="AF22" s="50"/>
      <c r="AG22" s="50"/>
      <c r="AH22" s="50"/>
      <c r="AI22" s="50"/>
      <c r="AJ22" s="50"/>
      <c r="AK22" s="50"/>
      <c r="AL22" s="50"/>
      <c r="AM22" s="50"/>
      <c r="AN22" s="50"/>
      <c r="AO22" s="50"/>
      <c r="AP22" s="210"/>
      <c r="AQ22" s="210"/>
      <c r="AR22" s="209" t="s">
        <v>1223</v>
      </c>
      <c r="AS22" s="210"/>
      <c r="AT22" s="210"/>
    </row>
    <row r="23" ht="17" customHeight="1" spans="2:46">
      <c r="B23" s="55"/>
      <c r="C23" s="55"/>
      <c r="D23" s="55"/>
      <c r="E23" s="55"/>
      <c r="F23" s="55"/>
      <c r="G23" s="55"/>
      <c r="H23" s="55"/>
      <c r="I23" s="56"/>
      <c r="J23" s="56"/>
      <c r="K23" s="56"/>
      <c r="L23" s="56"/>
      <c r="M23" s="56"/>
      <c r="N23" s="56"/>
      <c r="O23" s="56"/>
      <c r="P23" s="56"/>
      <c r="Q23" s="56"/>
      <c r="R23" s="56"/>
      <c r="S23" s="211"/>
      <c r="T23" s="211"/>
      <c r="U23" s="209" t="s">
        <v>1223</v>
      </c>
      <c r="V23" s="211"/>
      <c r="W23" s="211"/>
      <c r="Y23" s="55"/>
      <c r="Z23" s="55"/>
      <c r="AA23" s="55"/>
      <c r="AB23" s="55"/>
      <c r="AC23" s="55"/>
      <c r="AD23" s="55"/>
      <c r="AE23" s="55"/>
      <c r="AF23" s="56"/>
      <c r="AG23" s="56"/>
      <c r="AH23" s="56"/>
      <c r="AI23" s="56"/>
      <c r="AJ23" s="56"/>
      <c r="AK23" s="56"/>
      <c r="AL23" s="56"/>
      <c r="AM23" s="56"/>
      <c r="AN23" s="56"/>
      <c r="AO23" s="56"/>
      <c r="AP23" s="211"/>
      <c r="AQ23" s="211"/>
      <c r="AR23" s="209" t="s">
        <v>1223</v>
      </c>
      <c r="AS23" s="211"/>
      <c r="AT23" s="211"/>
    </row>
    <row r="24" ht="17" customHeight="1" spans="2:46">
      <c r="B24" s="49"/>
      <c r="C24" s="49"/>
      <c r="D24" s="49"/>
      <c r="E24" s="49"/>
      <c r="F24" s="49"/>
      <c r="G24" s="49"/>
      <c r="H24" s="49"/>
      <c r="I24" s="50"/>
      <c r="J24" s="50"/>
      <c r="K24" s="50"/>
      <c r="L24" s="50"/>
      <c r="M24" s="50"/>
      <c r="N24" s="50"/>
      <c r="O24" s="50"/>
      <c r="P24" s="50"/>
      <c r="Q24" s="50"/>
      <c r="R24" s="50"/>
      <c r="S24" s="210"/>
      <c r="T24" s="210"/>
      <c r="U24" s="209" t="s">
        <v>1223</v>
      </c>
      <c r="V24" s="210"/>
      <c r="W24" s="210"/>
      <c r="Y24" s="49"/>
      <c r="Z24" s="49"/>
      <c r="AA24" s="49"/>
      <c r="AB24" s="49"/>
      <c r="AC24" s="49"/>
      <c r="AD24" s="49"/>
      <c r="AE24" s="49"/>
      <c r="AF24" s="50"/>
      <c r="AG24" s="50"/>
      <c r="AH24" s="50"/>
      <c r="AI24" s="50"/>
      <c r="AJ24" s="50"/>
      <c r="AK24" s="50"/>
      <c r="AL24" s="50"/>
      <c r="AM24" s="50"/>
      <c r="AN24" s="50"/>
      <c r="AO24" s="50"/>
      <c r="AP24" s="210"/>
      <c r="AQ24" s="210"/>
      <c r="AR24" s="209" t="s">
        <v>1223</v>
      </c>
      <c r="AS24" s="210"/>
      <c r="AT24" s="210"/>
    </row>
    <row r="25" ht="17" customHeight="1" spans="2:46">
      <c r="B25" s="55"/>
      <c r="C25" s="55"/>
      <c r="D25" s="55"/>
      <c r="E25" s="55"/>
      <c r="F25" s="55"/>
      <c r="G25" s="55"/>
      <c r="H25" s="55"/>
      <c r="I25" s="56"/>
      <c r="J25" s="56"/>
      <c r="K25" s="56"/>
      <c r="L25" s="56"/>
      <c r="M25" s="56"/>
      <c r="N25" s="56"/>
      <c r="O25" s="56"/>
      <c r="P25" s="56"/>
      <c r="Q25" s="56"/>
      <c r="R25" s="56"/>
      <c r="S25" s="211"/>
      <c r="T25" s="211"/>
      <c r="U25" s="209" t="s">
        <v>1223</v>
      </c>
      <c r="V25" s="211"/>
      <c r="W25" s="211"/>
      <c r="Y25" s="55"/>
      <c r="Z25" s="55"/>
      <c r="AA25" s="55"/>
      <c r="AB25" s="55"/>
      <c r="AC25" s="55"/>
      <c r="AD25" s="55"/>
      <c r="AE25" s="55"/>
      <c r="AF25" s="56"/>
      <c r="AG25" s="56"/>
      <c r="AH25" s="56"/>
      <c r="AI25" s="56"/>
      <c r="AJ25" s="56"/>
      <c r="AK25" s="56"/>
      <c r="AL25" s="56"/>
      <c r="AM25" s="56"/>
      <c r="AN25" s="56"/>
      <c r="AO25" s="56"/>
      <c r="AP25" s="211"/>
      <c r="AQ25" s="211"/>
      <c r="AR25" s="209" t="s">
        <v>1223</v>
      </c>
      <c r="AS25" s="211"/>
      <c r="AT25" s="211"/>
    </row>
    <row r="26" ht="8" customHeight="1"/>
    <row r="27" ht="17" customHeight="1" spans="2:46">
      <c r="B27" s="207" t="s">
        <v>1224</v>
      </c>
      <c r="C27" s="207"/>
      <c r="D27" s="207"/>
      <c r="E27" s="207"/>
      <c r="F27" s="207"/>
      <c r="G27" s="207"/>
      <c r="H27" s="207"/>
      <c r="I27" s="207"/>
      <c r="J27" s="207"/>
      <c r="K27" s="207"/>
      <c r="L27" s="207"/>
      <c r="M27" s="207"/>
      <c r="N27" s="207"/>
      <c r="O27" s="207"/>
      <c r="P27" s="207"/>
      <c r="Q27" s="207"/>
      <c r="R27" s="207"/>
      <c r="S27" s="207"/>
      <c r="T27" s="207"/>
      <c r="U27" s="207"/>
      <c r="V27" s="216" t="s">
        <v>1225</v>
      </c>
      <c r="W27" s="216"/>
      <c r="Y27" s="207" t="s">
        <v>1226</v>
      </c>
      <c r="Z27" s="207"/>
      <c r="AA27" s="207"/>
      <c r="AB27" s="207"/>
      <c r="AC27" s="207"/>
      <c r="AD27" s="207"/>
      <c r="AE27" s="207"/>
      <c r="AF27" s="207"/>
      <c r="AG27" s="207"/>
      <c r="AH27" s="207"/>
      <c r="AI27" s="207"/>
      <c r="AJ27" s="207"/>
      <c r="AK27" s="207"/>
      <c r="AL27" s="207"/>
      <c r="AM27" s="207"/>
      <c r="AN27" s="207"/>
      <c r="AO27" s="207"/>
      <c r="AP27" s="207"/>
      <c r="AQ27" s="207"/>
      <c r="AR27" s="207"/>
      <c r="AS27" s="216" t="s">
        <v>1225</v>
      </c>
      <c r="AT27" s="216"/>
    </row>
    <row r="28" ht="17" customHeight="1" spans="2:46">
      <c r="B28" s="47" t="s">
        <v>68</v>
      </c>
      <c r="C28" s="47"/>
      <c r="D28" s="47"/>
      <c r="E28" s="47"/>
      <c r="F28" s="47"/>
      <c r="G28" s="47"/>
      <c r="H28" s="47"/>
      <c r="I28" s="47" t="s">
        <v>153</v>
      </c>
      <c r="J28" s="47"/>
      <c r="K28" s="47"/>
      <c r="L28" s="47"/>
      <c r="M28" s="47"/>
      <c r="N28" s="47"/>
      <c r="O28" s="47"/>
      <c r="P28" s="47"/>
      <c r="Q28" s="47"/>
      <c r="R28" s="47"/>
      <c r="S28" s="47" t="s">
        <v>1221</v>
      </c>
      <c r="T28" s="47"/>
      <c r="U28" s="209"/>
      <c r="V28" s="47" t="s">
        <v>1222</v>
      </c>
      <c r="W28" s="47"/>
      <c r="X28" s="209"/>
      <c r="Y28" s="47" t="s">
        <v>68</v>
      </c>
      <c r="Z28" s="47"/>
      <c r="AA28" s="47"/>
      <c r="AB28" s="47"/>
      <c r="AC28" s="47"/>
      <c r="AD28" s="47"/>
      <c r="AE28" s="47"/>
      <c r="AF28" s="47" t="s">
        <v>153</v>
      </c>
      <c r="AG28" s="47"/>
      <c r="AH28" s="47"/>
      <c r="AI28" s="47"/>
      <c r="AJ28" s="47"/>
      <c r="AK28" s="47"/>
      <c r="AL28" s="47"/>
      <c r="AM28" s="47"/>
      <c r="AN28" s="47"/>
      <c r="AO28" s="47"/>
      <c r="AP28" s="47" t="s">
        <v>1221</v>
      </c>
      <c r="AQ28" s="47"/>
      <c r="AR28" s="209"/>
      <c r="AS28" s="47" t="s">
        <v>1222</v>
      </c>
      <c r="AT28" s="47"/>
    </row>
    <row r="29" ht="17" customHeight="1" spans="2:46">
      <c r="B29" s="49"/>
      <c r="C29" s="49"/>
      <c r="D29" s="49"/>
      <c r="E29" s="49"/>
      <c r="F29" s="49"/>
      <c r="G29" s="49"/>
      <c r="H29" s="49"/>
      <c r="I29" s="50"/>
      <c r="J29" s="50"/>
      <c r="K29" s="50"/>
      <c r="L29" s="50"/>
      <c r="M29" s="50"/>
      <c r="N29" s="50"/>
      <c r="O29" s="50"/>
      <c r="P29" s="50"/>
      <c r="Q29" s="50"/>
      <c r="R29" s="50"/>
      <c r="S29" s="210"/>
      <c r="T29" s="210"/>
      <c r="U29" s="209" t="s">
        <v>1223</v>
      </c>
      <c r="V29" s="210"/>
      <c r="W29" s="210"/>
      <c r="Y29" s="49"/>
      <c r="Z29" s="49"/>
      <c r="AA29" s="49"/>
      <c r="AB29" s="49"/>
      <c r="AC29" s="49"/>
      <c r="AD29" s="49"/>
      <c r="AE29" s="49"/>
      <c r="AF29" s="50"/>
      <c r="AG29" s="50"/>
      <c r="AH29" s="50"/>
      <c r="AI29" s="50"/>
      <c r="AJ29" s="50"/>
      <c r="AK29" s="50"/>
      <c r="AL29" s="50"/>
      <c r="AM29" s="50"/>
      <c r="AN29" s="50"/>
      <c r="AO29" s="50"/>
      <c r="AP29" s="210"/>
      <c r="AQ29" s="210"/>
      <c r="AR29" s="209" t="s">
        <v>1223</v>
      </c>
      <c r="AS29" s="210"/>
      <c r="AT29" s="210"/>
    </row>
    <row r="30" ht="17" customHeight="1" spans="2:46">
      <c r="B30" s="55"/>
      <c r="C30" s="55"/>
      <c r="D30" s="55"/>
      <c r="E30" s="55"/>
      <c r="F30" s="55"/>
      <c r="G30" s="55"/>
      <c r="H30" s="55"/>
      <c r="I30" s="56"/>
      <c r="J30" s="56"/>
      <c r="K30" s="56"/>
      <c r="L30" s="56"/>
      <c r="M30" s="56"/>
      <c r="N30" s="56"/>
      <c r="O30" s="56"/>
      <c r="P30" s="56"/>
      <c r="Q30" s="56"/>
      <c r="R30" s="56"/>
      <c r="S30" s="211"/>
      <c r="T30" s="211"/>
      <c r="U30" s="209" t="s">
        <v>1223</v>
      </c>
      <c r="V30" s="211"/>
      <c r="W30" s="211"/>
      <c r="Y30" s="55"/>
      <c r="Z30" s="55"/>
      <c r="AA30" s="55"/>
      <c r="AB30" s="55"/>
      <c r="AC30" s="55"/>
      <c r="AD30" s="55"/>
      <c r="AE30" s="55"/>
      <c r="AF30" s="56"/>
      <c r="AG30" s="56"/>
      <c r="AH30" s="56"/>
      <c r="AI30" s="56"/>
      <c r="AJ30" s="56"/>
      <c r="AK30" s="56"/>
      <c r="AL30" s="56"/>
      <c r="AM30" s="56"/>
      <c r="AN30" s="56"/>
      <c r="AO30" s="56"/>
      <c r="AP30" s="211"/>
      <c r="AQ30" s="211"/>
      <c r="AR30" s="209" t="s">
        <v>1223</v>
      </c>
      <c r="AS30" s="211"/>
      <c r="AT30" s="211"/>
    </row>
    <row r="31" ht="17" customHeight="1" spans="2:46">
      <c r="B31" s="49"/>
      <c r="C31" s="49"/>
      <c r="D31" s="49"/>
      <c r="E31" s="49"/>
      <c r="F31" s="49"/>
      <c r="G31" s="49"/>
      <c r="H31" s="49"/>
      <c r="I31" s="50"/>
      <c r="J31" s="50"/>
      <c r="K31" s="50"/>
      <c r="L31" s="50"/>
      <c r="M31" s="50"/>
      <c r="N31" s="50"/>
      <c r="O31" s="50"/>
      <c r="P31" s="50"/>
      <c r="Q31" s="50"/>
      <c r="R31" s="50"/>
      <c r="S31" s="210"/>
      <c r="T31" s="210"/>
      <c r="U31" s="209" t="s">
        <v>1223</v>
      </c>
      <c r="V31" s="210"/>
      <c r="W31" s="210"/>
      <c r="Y31" s="49"/>
      <c r="Z31" s="49"/>
      <c r="AA31" s="49"/>
      <c r="AB31" s="49"/>
      <c r="AC31" s="49"/>
      <c r="AD31" s="49"/>
      <c r="AE31" s="49"/>
      <c r="AF31" s="50"/>
      <c r="AG31" s="50"/>
      <c r="AH31" s="50"/>
      <c r="AI31" s="50"/>
      <c r="AJ31" s="50"/>
      <c r="AK31" s="50"/>
      <c r="AL31" s="50"/>
      <c r="AM31" s="50"/>
      <c r="AN31" s="50"/>
      <c r="AO31" s="50"/>
      <c r="AP31" s="210"/>
      <c r="AQ31" s="210"/>
      <c r="AR31" s="209" t="s">
        <v>1223</v>
      </c>
      <c r="AS31" s="210"/>
      <c r="AT31" s="210"/>
    </row>
    <row r="32" ht="17" customHeight="1" spans="2:46">
      <c r="B32" s="55"/>
      <c r="C32" s="55"/>
      <c r="D32" s="55"/>
      <c r="E32" s="55"/>
      <c r="F32" s="55"/>
      <c r="G32" s="55"/>
      <c r="H32" s="55"/>
      <c r="I32" s="56"/>
      <c r="J32" s="56"/>
      <c r="K32" s="56"/>
      <c r="L32" s="56"/>
      <c r="M32" s="56"/>
      <c r="N32" s="56"/>
      <c r="O32" s="56"/>
      <c r="P32" s="56"/>
      <c r="Q32" s="56"/>
      <c r="R32" s="56"/>
      <c r="S32" s="211"/>
      <c r="T32" s="211"/>
      <c r="U32" s="209" t="s">
        <v>1223</v>
      </c>
      <c r="V32" s="211"/>
      <c r="W32" s="211"/>
      <c r="Y32" s="55"/>
      <c r="Z32" s="55"/>
      <c r="AA32" s="55"/>
      <c r="AB32" s="55"/>
      <c r="AC32" s="55"/>
      <c r="AD32" s="55"/>
      <c r="AE32" s="55"/>
      <c r="AF32" s="56"/>
      <c r="AG32" s="56"/>
      <c r="AH32" s="56"/>
      <c r="AI32" s="56"/>
      <c r="AJ32" s="56"/>
      <c r="AK32" s="56"/>
      <c r="AL32" s="56"/>
      <c r="AM32" s="56"/>
      <c r="AN32" s="56"/>
      <c r="AO32" s="56"/>
      <c r="AP32" s="211"/>
      <c r="AQ32" s="211"/>
      <c r="AR32" s="209" t="s">
        <v>1223</v>
      </c>
      <c r="AS32" s="211"/>
      <c r="AT32" s="211"/>
    </row>
    <row r="33" ht="17" customHeight="1" spans="2:46">
      <c r="B33" s="49"/>
      <c r="C33" s="49"/>
      <c r="D33" s="49"/>
      <c r="E33" s="49"/>
      <c r="F33" s="49"/>
      <c r="G33" s="49"/>
      <c r="H33" s="49"/>
      <c r="I33" s="50"/>
      <c r="J33" s="50"/>
      <c r="K33" s="50"/>
      <c r="L33" s="50"/>
      <c r="M33" s="50"/>
      <c r="N33" s="50"/>
      <c r="O33" s="50"/>
      <c r="P33" s="50"/>
      <c r="Q33" s="50"/>
      <c r="R33" s="50"/>
      <c r="S33" s="210"/>
      <c r="T33" s="210"/>
      <c r="U33" s="209" t="s">
        <v>1223</v>
      </c>
      <c r="V33" s="210"/>
      <c r="W33" s="210"/>
      <c r="Y33" s="49"/>
      <c r="Z33" s="49"/>
      <c r="AA33" s="49"/>
      <c r="AB33" s="49"/>
      <c r="AC33" s="49"/>
      <c r="AD33" s="49"/>
      <c r="AE33" s="49"/>
      <c r="AF33" s="50"/>
      <c r="AG33" s="50"/>
      <c r="AH33" s="50"/>
      <c r="AI33" s="50"/>
      <c r="AJ33" s="50"/>
      <c r="AK33" s="50"/>
      <c r="AL33" s="50"/>
      <c r="AM33" s="50"/>
      <c r="AN33" s="50"/>
      <c r="AO33" s="50"/>
      <c r="AP33" s="210"/>
      <c r="AQ33" s="210"/>
      <c r="AR33" s="209" t="s">
        <v>1223</v>
      </c>
      <c r="AS33" s="210"/>
      <c r="AT33" s="210"/>
    </row>
    <row r="34" ht="17" customHeight="1" spans="2:46">
      <c r="B34" s="212"/>
      <c r="C34" s="212"/>
      <c r="D34" s="212"/>
      <c r="E34" s="212"/>
      <c r="F34" s="212"/>
      <c r="G34" s="212"/>
      <c r="H34" s="212"/>
      <c r="I34" s="213"/>
      <c r="J34" s="213"/>
      <c r="K34" s="213"/>
      <c r="L34" s="213"/>
      <c r="M34" s="213"/>
      <c r="N34" s="213"/>
      <c r="O34" s="213"/>
      <c r="P34" s="213"/>
      <c r="Q34" s="213"/>
      <c r="R34" s="213"/>
      <c r="S34" s="211"/>
      <c r="T34" s="211"/>
      <c r="U34" s="209" t="s">
        <v>1223</v>
      </c>
      <c r="V34" s="214"/>
      <c r="W34" s="214"/>
      <c r="Y34" s="212"/>
      <c r="Z34" s="212"/>
      <c r="AA34" s="212"/>
      <c r="AB34" s="212"/>
      <c r="AC34" s="212"/>
      <c r="AD34" s="212"/>
      <c r="AE34" s="212"/>
      <c r="AF34" s="213"/>
      <c r="AG34" s="213"/>
      <c r="AH34" s="213"/>
      <c r="AI34" s="213"/>
      <c r="AJ34" s="213"/>
      <c r="AK34" s="213"/>
      <c r="AL34" s="213"/>
      <c r="AM34" s="213"/>
      <c r="AN34" s="213"/>
      <c r="AO34" s="213"/>
      <c r="AP34" s="211"/>
      <c r="AQ34" s="211"/>
      <c r="AR34" s="209" t="s">
        <v>1223</v>
      </c>
      <c r="AS34" s="214"/>
      <c r="AT34" s="214"/>
    </row>
    <row r="35" ht="17" customHeight="1" spans="2:46">
      <c r="B35" s="49"/>
      <c r="C35" s="49"/>
      <c r="D35" s="49"/>
      <c r="E35" s="49"/>
      <c r="F35" s="49"/>
      <c r="G35" s="49"/>
      <c r="H35" s="49"/>
      <c r="I35" s="50"/>
      <c r="J35" s="50"/>
      <c r="K35" s="50"/>
      <c r="L35" s="50"/>
      <c r="M35" s="50"/>
      <c r="N35" s="50"/>
      <c r="O35" s="50"/>
      <c r="P35" s="50"/>
      <c r="Q35" s="50"/>
      <c r="R35" s="50"/>
      <c r="S35" s="210"/>
      <c r="T35" s="210"/>
      <c r="U35" s="209" t="s">
        <v>1223</v>
      </c>
      <c r="V35" s="210"/>
      <c r="W35" s="210"/>
      <c r="Y35" s="49"/>
      <c r="Z35" s="49"/>
      <c r="AA35" s="49"/>
      <c r="AB35" s="49"/>
      <c r="AC35" s="49"/>
      <c r="AD35" s="49"/>
      <c r="AE35" s="49"/>
      <c r="AF35" s="50"/>
      <c r="AG35" s="50"/>
      <c r="AH35" s="50"/>
      <c r="AI35" s="50"/>
      <c r="AJ35" s="50"/>
      <c r="AK35" s="50"/>
      <c r="AL35" s="50"/>
      <c r="AM35" s="50"/>
      <c r="AN35" s="50"/>
      <c r="AO35" s="50"/>
      <c r="AP35" s="210"/>
      <c r="AQ35" s="210"/>
      <c r="AR35" s="209" t="s">
        <v>1223</v>
      </c>
      <c r="AS35" s="210"/>
      <c r="AT35" s="210"/>
    </row>
    <row r="36" ht="17" customHeight="1" spans="2:46">
      <c r="B36" s="55"/>
      <c r="C36" s="55"/>
      <c r="D36" s="55"/>
      <c r="E36" s="55"/>
      <c r="F36" s="55"/>
      <c r="G36" s="55"/>
      <c r="H36" s="55"/>
      <c r="I36" s="56"/>
      <c r="J36" s="56"/>
      <c r="K36" s="56"/>
      <c r="L36" s="56"/>
      <c r="M36" s="56"/>
      <c r="N36" s="56"/>
      <c r="O36" s="56"/>
      <c r="P36" s="56"/>
      <c r="Q36" s="56"/>
      <c r="R36" s="56"/>
      <c r="S36" s="211"/>
      <c r="T36" s="211"/>
      <c r="U36" s="209" t="s">
        <v>1223</v>
      </c>
      <c r="V36" s="211"/>
      <c r="W36" s="211"/>
      <c r="Y36" s="55"/>
      <c r="Z36" s="55"/>
      <c r="AA36" s="55"/>
      <c r="AB36" s="55"/>
      <c r="AC36" s="55"/>
      <c r="AD36" s="55"/>
      <c r="AE36" s="55"/>
      <c r="AF36" s="56"/>
      <c r="AG36" s="56"/>
      <c r="AH36" s="56"/>
      <c r="AI36" s="56"/>
      <c r="AJ36" s="56"/>
      <c r="AK36" s="56"/>
      <c r="AL36" s="56"/>
      <c r="AM36" s="56"/>
      <c r="AN36" s="56"/>
      <c r="AO36" s="56"/>
      <c r="AP36" s="211"/>
      <c r="AQ36" s="211"/>
      <c r="AR36" s="209" t="s">
        <v>1223</v>
      </c>
      <c r="AS36" s="211"/>
      <c r="AT36" s="211"/>
    </row>
    <row r="37" ht="17" customHeight="1" spans="2:46">
      <c r="B37" s="49"/>
      <c r="C37" s="49"/>
      <c r="D37" s="49"/>
      <c r="E37" s="49"/>
      <c r="F37" s="49"/>
      <c r="G37" s="49"/>
      <c r="H37" s="49"/>
      <c r="I37" s="50"/>
      <c r="J37" s="50"/>
      <c r="K37" s="50"/>
      <c r="L37" s="50"/>
      <c r="M37" s="50"/>
      <c r="N37" s="50"/>
      <c r="O37" s="50"/>
      <c r="P37" s="50"/>
      <c r="Q37" s="50"/>
      <c r="R37" s="50"/>
      <c r="S37" s="210"/>
      <c r="T37" s="210"/>
      <c r="U37" s="209" t="s">
        <v>1223</v>
      </c>
      <c r="V37" s="210"/>
      <c r="W37" s="210"/>
      <c r="Y37" s="49"/>
      <c r="Z37" s="49"/>
      <c r="AA37" s="49"/>
      <c r="AB37" s="49"/>
      <c r="AC37" s="49"/>
      <c r="AD37" s="49"/>
      <c r="AE37" s="49"/>
      <c r="AF37" s="50"/>
      <c r="AG37" s="50"/>
      <c r="AH37" s="50"/>
      <c r="AI37" s="50"/>
      <c r="AJ37" s="50"/>
      <c r="AK37" s="50"/>
      <c r="AL37" s="50"/>
      <c r="AM37" s="50"/>
      <c r="AN37" s="50"/>
      <c r="AO37" s="50"/>
      <c r="AP37" s="210"/>
      <c r="AQ37" s="210"/>
      <c r="AR37" s="209" t="s">
        <v>1223</v>
      </c>
      <c r="AS37" s="210"/>
      <c r="AT37" s="210"/>
    </row>
    <row r="38" ht="17" customHeight="1" spans="2:46">
      <c r="B38" s="55"/>
      <c r="C38" s="55"/>
      <c r="D38" s="55"/>
      <c r="E38" s="55"/>
      <c r="F38" s="55"/>
      <c r="G38" s="55"/>
      <c r="H38" s="55"/>
      <c r="I38" s="56"/>
      <c r="J38" s="56"/>
      <c r="K38" s="56"/>
      <c r="L38" s="56"/>
      <c r="M38" s="56"/>
      <c r="N38" s="56"/>
      <c r="O38" s="56"/>
      <c r="P38" s="56"/>
      <c r="Q38" s="56"/>
      <c r="R38" s="56"/>
      <c r="S38" s="211"/>
      <c r="T38" s="211"/>
      <c r="U38" s="209" t="s">
        <v>1223</v>
      </c>
      <c r="V38" s="211"/>
      <c r="W38" s="211"/>
      <c r="Y38" s="55"/>
      <c r="Z38" s="55"/>
      <c r="AA38" s="55"/>
      <c r="AB38" s="55"/>
      <c r="AC38" s="55"/>
      <c r="AD38" s="55"/>
      <c r="AE38" s="55"/>
      <c r="AF38" s="56"/>
      <c r="AG38" s="56"/>
      <c r="AH38" s="56"/>
      <c r="AI38" s="56"/>
      <c r="AJ38" s="56"/>
      <c r="AK38" s="56"/>
      <c r="AL38" s="56"/>
      <c r="AM38" s="56"/>
      <c r="AN38" s="56"/>
      <c r="AO38" s="56"/>
      <c r="AP38" s="211"/>
      <c r="AQ38" s="211"/>
      <c r="AR38" s="209" t="s">
        <v>1223</v>
      </c>
      <c r="AS38" s="211"/>
      <c r="AT38" s="211"/>
    </row>
    <row r="39" ht="8" customHeight="1" spans="2:46">
      <c r="B39" s="45"/>
      <c r="C39" s="45"/>
      <c r="D39" s="45"/>
      <c r="E39" s="45"/>
      <c r="F39" s="45"/>
      <c r="G39" s="45"/>
      <c r="H39" s="45"/>
      <c r="I39" s="45"/>
      <c r="J39" s="45"/>
      <c r="K39" s="45"/>
      <c r="L39" s="45"/>
      <c r="M39" s="45"/>
      <c r="N39" s="45"/>
      <c r="O39" s="45"/>
      <c r="P39" s="45"/>
      <c r="Q39" s="45"/>
      <c r="R39" s="45"/>
      <c r="S39" s="215"/>
      <c r="T39" s="215"/>
      <c r="V39" s="215"/>
      <c r="W39" s="215"/>
      <c r="Y39" s="45"/>
      <c r="Z39" s="45"/>
      <c r="AA39" s="45"/>
      <c r="AB39" s="45"/>
      <c r="AC39" s="45"/>
      <c r="AD39" s="45"/>
      <c r="AE39" s="45"/>
      <c r="AF39" s="45"/>
      <c r="AG39" s="45"/>
      <c r="AH39" s="45"/>
      <c r="AI39" s="45"/>
      <c r="AJ39" s="45"/>
      <c r="AK39" s="45"/>
      <c r="AL39" s="45"/>
      <c r="AM39" s="45"/>
      <c r="AN39" s="45"/>
      <c r="AO39" s="45"/>
      <c r="AP39" s="215"/>
      <c r="AQ39" s="215"/>
      <c r="AS39" s="215"/>
      <c r="AT39" s="215"/>
    </row>
    <row r="40" ht="17" customHeight="1" spans="2:46">
      <c r="B40" s="49"/>
      <c r="C40" s="49"/>
      <c r="D40" s="49"/>
      <c r="E40" s="49"/>
      <c r="F40" s="49"/>
      <c r="G40" s="49"/>
      <c r="H40" s="49"/>
      <c r="I40" s="50"/>
      <c r="J40" s="50"/>
      <c r="K40" s="50"/>
      <c r="L40" s="50"/>
      <c r="M40" s="50"/>
      <c r="N40" s="50"/>
      <c r="O40" s="50"/>
      <c r="P40" s="50"/>
      <c r="Q40" s="50"/>
      <c r="R40" s="50"/>
      <c r="S40" s="210"/>
      <c r="T40" s="210"/>
      <c r="U40" s="209" t="s">
        <v>1223</v>
      </c>
      <c r="V40" s="210"/>
      <c r="W40" s="210"/>
      <c r="Y40" s="49"/>
      <c r="Z40" s="49"/>
      <c r="AA40" s="49"/>
      <c r="AB40" s="49"/>
      <c r="AC40" s="49"/>
      <c r="AD40" s="49"/>
      <c r="AE40" s="49"/>
      <c r="AF40" s="50"/>
      <c r="AG40" s="50"/>
      <c r="AH40" s="50"/>
      <c r="AI40" s="50"/>
      <c r="AJ40" s="50"/>
      <c r="AK40" s="50"/>
      <c r="AL40" s="50"/>
      <c r="AM40" s="50"/>
      <c r="AN40" s="50"/>
      <c r="AO40" s="50"/>
      <c r="AP40" s="210"/>
      <c r="AQ40" s="210"/>
      <c r="AR40" s="209" t="s">
        <v>1223</v>
      </c>
      <c r="AS40" s="210"/>
      <c r="AT40" s="210"/>
    </row>
    <row r="41" ht="17" customHeight="1" spans="2:46">
      <c r="B41" s="55"/>
      <c r="C41" s="55"/>
      <c r="D41" s="55"/>
      <c r="E41" s="55"/>
      <c r="F41" s="55"/>
      <c r="G41" s="55"/>
      <c r="H41" s="55"/>
      <c r="I41" s="56"/>
      <c r="J41" s="56"/>
      <c r="K41" s="56"/>
      <c r="L41" s="56"/>
      <c r="M41" s="56"/>
      <c r="N41" s="56"/>
      <c r="O41" s="56"/>
      <c r="P41" s="56"/>
      <c r="Q41" s="56"/>
      <c r="R41" s="56"/>
      <c r="S41" s="211"/>
      <c r="T41" s="211"/>
      <c r="U41" s="209" t="s">
        <v>1223</v>
      </c>
      <c r="V41" s="211"/>
      <c r="W41" s="211"/>
      <c r="Y41" s="55"/>
      <c r="Z41" s="55"/>
      <c r="AA41" s="55"/>
      <c r="AB41" s="55"/>
      <c r="AC41" s="55"/>
      <c r="AD41" s="55"/>
      <c r="AE41" s="55"/>
      <c r="AF41" s="56"/>
      <c r="AG41" s="56"/>
      <c r="AH41" s="56"/>
      <c r="AI41" s="56"/>
      <c r="AJ41" s="56"/>
      <c r="AK41" s="56"/>
      <c r="AL41" s="56"/>
      <c r="AM41" s="56"/>
      <c r="AN41" s="56"/>
      <c r="AO41" s="56"/>
      <c r="AP41" s="211"/>
      <c r="AQ41" s="211"/>
      <c r="AR41" s="209" t="s">
        <v>1223</v>
      </c>
      <c r="AS41" s="211"/>
      <c r="AT41" s="211"/>
    </row>
    <row r="42" ht="17" customHeight="1" spans="2:46">
      <c r="B42" s="49"/>
      <c r="C42" s="49"/>
      <c r="D42" s="49"/>
      <c r="E42" s="49"/>
      <c r="F42" s="49"/>
      <c r="G42" s="49"/>
      <c r="H42" s="49"/>
      <c r="I42" s="50"/>
      <c r="J42" s="50"/>
      <c r="K42" s="50"/>
      <c r="L42" s="50"/>
      <c r="M42" s="50"/>
      <c r="N42" s="50"/>
      <c r="O42" s="50"/>
      <c r="P42" s="50"/>
      <c r="Q42" s="50"/>
      <c r="R42" s="50"/>
      <c r="S42" s="210"/>
      <c r="T42" s="210"/>
      <c r="U42" s="209" t="s">
        <v>1223</v>
      </c>
      <c r="V42" s="210"/>
      <c r="W42" s="210"/>
      <c r="Y42" s="49"/>
      <c r="Z42" s="49"/>
      <c r="AA42" s="49"/>
      <c r="AB42" s="49"/>
      <c r="AC42" s="49"/>
      <c r="AD42" s="49"/>
      <c r="AE42" s="49"/>
      <c r="AF42" s="50"/>
      <c r="AG42" s="50"/>
      <c r="AH42" s="50"/>
      <c r="AI42" s="50"/>
      <c r="AJ42" s="50"/>
      <c r="AK42" s="50"/>
      <c r="AL42" s="50"/>
      <c r="AM42" s="50"/>
      <c r="AN42" s="50"/>
      <c r="AO42" s="50"/>
      <c r="AP42" s="210"/>
      <c r="AQ42" s="210"/>
      <c r="AR42" s="209" t="s">
        <v>1223</v>
      </c>
      <c r="AS42" s="210"/>
      <c r="AT42" s="210"/>
    </row>
    <row r="43" ht="17" customHeight="1" spans="2:46">
      <c r="B43" s="55"/>
      <c r="C43" s="55"/>
      <c r="D43" s="55"/>
      <c r="E43" s="55"/>
      <c r="F43" s="55"/>
      <c r="G43" s="55"/>
      <c r="H43" s="55"/>
      <c r="I43" s="56"/>
      <c r="J43" s="56"/>
      <c r="K43" s="56"/>
      <c r="L43" s="56"/>
      <c r="M43" s="56"/>
      <c r="N43" s="56"/>
      <c r="O43" s="56"/>
      <c r="P43" s="56"/>
      <c r="Q43" s="56"/>
      <c r="R43" s="56"/>
      <c r="S43" s="211"/>
      <c r="T43" s="211"/>
      <c r="U43" s="209" t="s">
        <v>1223</v>
      </c>
      <c r="V43" s="211"/>
      <c r="W43" s="211"/>
      <c r="Y43" s="55"/>
      <c r="Z43" s="55"/>
      <c r="AA43" s="55"/>
      <c r="AB43" s="55"/>
      <c r="AC43" s="55"/>
      <c r="AD43" s="55"/>
      <c r="AE43" s="55"/>
      <c r="AF43" s="56"/>
      <c r="AG43" s="56"/>
      <c r="AH43" s="56"/>
      <c r="AI43" s="56"/>
      <c r="AJ43" s="56"/>
      <c r="AK43" s="56"/>
      <c r="AL43" s="56"/>
      <c r="AM43" s="56"/>
      <c r="AN43" s="56"/>
      <c r="AO43" s="56"/>
      <c r="AP43" s="211"/>
      <c r="AQ43" s="211"/>
      <c r="AR43" s="209" t="s">
        <v>1223</v>
      </c>
      <c r="AS43" s="211"/>
      <c r="AT43" s="211"/>
    </row>
    <row r="44" ht="17" customHeight="1" spans="2:46">
      <c r="B44" s="49"/>
      <c r="C44" s="49"/>
      <c r="D44" s="49"/>
      <c r="E44" s="49"/>
      <c r="F44" s="49"/>
      <c r="G44" s="49"/>
      <c r="H44" s="49"/>
      <c r="I44" s="50"/>
      <c r="J44" s="50"/>
      <c r="K44" s="50"/>
      <c r="L44" s="50"/>
      <c r="M44" s="50"/>
      <c r="N44" s="50"/>
      <c r="O44" s="50"/>
      <c r="P44" s="50"/>
      <c r="Q44" s="50"/>
      <c r="R44" s="50"/>
      <c r="S44" s="210"/>
      <c r="T44" s="210"/>
      <c r="U44" s="209" t="s">
        <v>1223</v>
      </c>
      <c r="V44" s="210"/>
      <c r="W44" s="210"/>
      <c r="Y44" s="49"/>
      <c r="Z44" s="49"/>
      <c r="AA44" s="49"/>
      <c r="AB44" s="49"/>
      <c r="AC44" s="49"/>
      <c r="AD44" s="49"/>
      <c r="AE44" s="49"/>
      <c r="AF44" s="50"/>
      <c r="AG44" s="50"/>
      <c r="AH44" s="50"/>
      <c r="AI44" s="50"/>
      <c r="AJ44" s="50"/>
      <c r="AK44" s="50"/>
      <c r="AL44" s="50"/>
      <c r="AM44" s="50"/>
      <c r="AN44" s="50"/>
      <c r="AO44" s="50"/>
      <c r="AP44" s="210"/>
      <c r="AQ44" s="210"/>
      <c r="AR44" s="209" t="s">
        <v>1223</v>
      </c>
      <c r="AS44" s="210"/>
      <c r="AT44" s="210"/>
    </row>
    <row r="45" ht="17" customHeight="1" spans="2:46">
      <c r="B45" s="212"/>
      <c r="C45" s="212"/>
      <c r="D45" s="212"/>
      <c r="E45" s="212"/>
      <c r="F45" s="212"/>
      <c r="G45" s="212"/>
      <c r="H45" s="212"/>
      <c r="I45" s="213"/>
      <c r="J45" s="213"/>
      <c r="K45" s="213"/>
      <c r="L45" s="213"/>
      <c r="M45" s="213"/>
      <c r="N45" s="213"/>
      <c r="O45" s="213"/>
      <c r="P45" s="213"/>
      <c r="Q45" s="213"/>
      <c r="R45" s="213"/>
      <c r="S45" s="211"/>
      <c r="T45" s="211"/>
      <c r="U45" s="209" t="s">
        <v>1223</v>
      </c>
      <c r="V45" s="214"/>
      <c r="W45" s="214"/>
      <c r="Y45" s="212"/>
      <c r="Z45" s="212"/>
      <c r="AA45" s="212"/>
      <c r="AB45" s="212"/>
      <c r="AC45" s="212"/>
      <c r="AD45" s="212"/>
      <c r="AE45" s="212"/>
      <c r="AF45" s="213"/>
      <c r="AG45" s="213"/>
      <c r="AH45" s="213"/>
      <c r="AI45" s="213"/>
      <c r="AJ45" s="213"/>
      <c r="AK45" s="213"/>
      <c r="AL45" s="213"/>
      <c r="AM45" s="213"/>
      <c r="AN45" s="213"/>
      <c r="AO45" s="213"/>
      <c r="AP45" s="211"/>
      <c r="AQ45" s="211"/>
      <c r="AR45" s="209" t="s">
        <v>1223</v>
      </c>
      <c r="AS45" s="214"/>
      <c r="AT45" s="214"/>
    </row>
    <row r="46" ht="17" customHeight="1" spans="2:46">
      <c r="B46" s="49"/>
      <c r="C46" s="49"/>
      <c r="D46" s="49"/>
      <c r="E46" s="49"/>
      <c r="F46" s="49"/>
      <c r="G46" s="49"/>
      <c r="H46" s="49"/>
      <c r="I46" s="50"/>
      <c r="J46" s="50"/>
      <c r="K46" s="50"/>
      <c r="L46" s="50"/>
      <c r="M46" s="50"/>
      <c r="N46" s="50"/>
      <c r="O46" s="50"/>
      <c r="P46" s="50"/>
      <c r="Q46" s="50"/>
      <c r="R46" s="50"/>
      <c r="S46" s="210"/>
      <c r="T46" s="210"/>
      <c r="U46" s="209" t="s">
        <v>1223</v>
      </c>
      <c r="V46" s="210"/>
      <c r="W46" s="210"/>
      <c r="Y46" s="49"/>
      <c r="Z46" s="49"/>
      <c r="AA46" s="49"/>
      <c r="AB46" s="49"/>
      <c r="AC46" s="49"/>
      <c r="AD46" s="49"/>
      <c r="AE46" s="49"/>
      <c r="AF46" s="50"/>
      <c r="AG46" s="50"/>
      <c r="AH46" s="50"/>
      <c r="AI46" s="50"/>
      <c r="AJ46" s="50"/>
      <c r="AK46" s="50"/>
      <c r="AL46" s="50"/>
      <c r="AM46" s="50"/>
      <c r="AN46" s="50"/>
      <c r="AO46" s="50"/>
      <c r="AP46" s="210"/>
      <c r="AQ46" s="210"/>
      <c r="AR46" s="209" t="s">
        <v>1223</v>
      </c>
      <c r="AS46" s="210"/>
      <c r="AT46" s="210"/>
    </row>
    <row r="47" ht="17" customHeight="1" spans="2:46">
      <c r="B47" s="55"/>
      <c r="C47" s="55"/>
      <c r="D47" s="55"/>
      <c r="E47" s="55"/>
      <c r="F47" s="55"/>
      <c r="G47" s="55"/>
      <c r="H47" s="55"/>
      <c r="I47" s="56"/>
      <c r="J47" s="56"/>
      <c r="K47" s="56"/>
      <c r="L47" s="56"/>
      <c r="M47" s="56"/>
      <c r="N47" s="56"/>
      <c r="O47" s="56"/>
      <c r="P47" s="56"/>
      <c r="Q47" s="56"/>
      <c r="R47" s="56"/>
      <c r="S47" s="211"/>
      <c r="T47" s="211"/>
      <c r="U47" s="209" t="s">
        <v>1223</v>
      </c>
      <c r="V47" s="211"/>
      <c r="W47" s="211"/>
      <c r="Y47" s="55"/>
      <c r="Z47" s="55"/>
      <c r="AA47" s="55"/>
      <c r="AB47" s="55"/>
      <c r="AC47" s="55"/>
      <c r="AD47" s="55"/>
      <c r="AE47" s="55"/>
      <c r="AF47" s="56"/>
      <c r="AG47" s="56"/>
      <c r="AH47" s="56"/>
      <c r="AI47" s="56"/>
      <c r="AJ47" s="56"/>
      <c r="AK47" s="56"/>
      <c r="AL47" s="56"/>
      <c r="AM47" s="56"/>
      <c r="AN47" s="56"/>
      <c r="AO47" s="56"/>
      <c r="AP47" s="211"/>
      <c r="AQ47" s="211"/>
      <c r="AR47" s="209" t="s">
        <v>1223</v>
      </c>
      <c r="AS47" s="211"/>
      <c r="AT47" s="211"/>
    </row>
    <row r="48" ht="17" customHeight="1" spans="2:46">
      <c r="B48" s="49"/>
      <c r="C48" s="49"/>
      <c r="D48" s="49"/>
      <c r="E48" s="49"/>
      <c r="F48" s="49"/>
      <c r="G48" s="49"/>
      <c r="H48" s="49"/>
      <c r="I48" s="50"/>
      <c r="J48" s="50"/>
      <c r="K48" s="50"/>
      <c r="L48" s="50"/>
      <c r="M48" s="50"/>
      <c r="N48" s="50"/>
      <c r="O48" s="50"/>
      <c r="P48" s="50"/>
      <c r="Q48" s="50"/>
      <c r="R48" s="50"/>
      <c r="S48" s="210"/>
      <c r="T48" s="210"/>
      <c r="U48" s="209" t="s">
        <v>1223</v>
      </c>
      <c r="V48" s="210"/>
      <c r="W48" s="210"/>
      <c r="Y48" s="49"/>
      <c r="Z48" s="49"/>
      <c r="AA48" s="49"/>
      <c r="AB48" s="49"/>
      <c r="AC48" s="49"/>
      <c r="AD48" s="49"/>
      <c r="AE48" s="49"/>
      <c r="AF48" s="50"/>
      <c r="AG48" s="50"/>
      <c r="AH48" s="50"/>
      <c r="AI48" s="50"/>
      <c r="AJ48" s="50"/>
      <c r="AK48" s="50"/>
      <c r="AL48" s="50"/>
      <c r="AM48" s="50"/>
      <c r="AN48" s="50"/>
      <c r="AO48" s="50"/>
      <c r="AP48" s="210"/>
      <c r="AQ48" s="210"/>
      <c r="AR48" s="209" t="s">
        <v>1223</v>
      </c>
      <c r="AS48" s="210"/>
      <c r="AT48" s="210"/>
    </row>
    <row r="49" ht="17" customHeight="1" spans="2:46">
      <c r="B49" s="55"/>
      <c r="C49" s="55"/>
      <c r="D49" s="55"/>
      <c r="E49" s="55"/>
      <c r="F49" s="55"/>
      <c r="G49" s="55"/>
      <c r="H49" s="55"/>
      <c r="I49" s="56"/>
      <c r="J49" s="56"/>
      <c r="K49" s="56"/>
      <c r="L49" s="56"/>
      <c r="M49" s="56"/>
      <c r="N49" s="56"/>
      <c r="O49" s="56"/>
      <c r="P49" s="56"/>
      <c r="Q49" s="56"/>
      <c r="R49" s="56"/>
      <c r="S49" s="211"/>
      <c r="T49" s="211"/>
      <c r="U49" s="209" t="s">
        <v>1223</v>
      </c>
      <c r="V49" s="211"/>
      <c r="W49" s="211"/>
      <c r="Y49" s="55"/>
      <c r="Z49" s="55"/>
      <c r="AA49" s="55"/>
      <c r="AB49" s="55"/>
      <c r="AC49" s="55"/>
      <c r="AD49" s="55"/>
      <c r="AE49" s="55"/>
      <c r="AF49" s="56"/>
      <c r="AG49" s="56"/>
      <c r="AH49" s="56"/>
      <c r="AI49" s="56"/>
      <c r="AJ49" s="56"/>
      <c r="AK49" s="56"/>
      <c r="AL49" s="56"/>
      <c r="AM49" s="56"/>
      <c r="AN49" s="56"/>
      <c r="AO49" s="56"/>
      <c r="AP49" s="211"/>
      <c r="AQ49" s="211"/>
      <c r="AR49" s="209" t="s">
        <v>1223</v>
      </c>
      <c r="AS49" s="211"/>
      <c r="AT49" s="211"/>
    </row>
    <row r="50" s="205" customFormat="1" ht="8" customHeight="1" spans="2:46">
      <c r="B50" s="45"/>
      <c r="C50" s="45"/>
      <c r="D50" s="45"/>
      <c r="E50" s="45"/>
      <c r="F50" s="45"/>
      <c r="G50" s="45"/>
      <c r="H50" s="45"/>
      <c r="I50" s="45"/>
      <c r="J50" s="45"/>
      <c r="K50" s="45"/>
      <c r="L50" s="45"/>
      <c r="M50" s="45"/>
      <c r="N50" s="45"/>
      <c r="O50" s="45"/>
      <c r="P50" s="45"/>
      <c r="Q50" s="45"/>
      <c r="R50" s="45"/>
      <c r="S50" s="215"/>
      <c r="T50" s="215"/>
      <c r="V50" s="215"/>
      <c r="W50" s="215"/>
      <c r="Y50" s="45"/>
      <c r="Z50" s="45"/>
      <c r="AA50" s="45"/>
      <c r="AB50" s="45"/>
      <c r="AC50" s="45"/>
      <c r="AD50" s="45"/>
      <c r="AE50" s="45"/>
      <c r="AF50" s="45"/>
      <c r="AG50" s="45"/>
      <c r="AH50" s="45"/>
      <c r="AI50" s="45"/>
      <c r="AJ50" s="45"/>
      <c r="AK50" s="45"/>
      <c r="AL50" s="45"/>
      <c r="AM50" s="45"/>
      <c r="AN50" s="45"/>
      <c r="AO50" s="45"/>
      <c r="AP50" s="215"/>
      <c r="AQ50" s="215"/>
      <c r="AS50" s="215"/>
      <c r="AT50" s="215"/>
    </row>
    <row r="51" s="205" customFormat="1" ht="17" customHeight="1" spans="2:46">
      <c r="B51" s="49"/>
      <c r="C51" s="49"/>
      <c r="D51" s="49"/>
      <c r="E51" s="49"/>
      <c r="F51" s="49"/>
      <c r="G51" s="49"/>
      <c r="H51" s="49"/>
      <c r="I51" s="50"/>
      <c r="J51" s="50"/>
      <c r="K51" s="50"/>
      <c r="L51" s="50"/>
      <c r="M51" s="50"/>
      <c r="N51" s="50"/>
      <c r="O51" s="50"/>
      <c r="P51" s="50"/>
      <c r="Q51" s="50"/>
      <c r="R51" s="50"/>
      <c r="S51" s="210"/>
      <c r="T51" s="210"/>
      <c r="U51" s="209" t="s">
        <v>1223</v>
      </c>
      <c r="V51" s="210"/>
      <c r="W51" s="210"/>
      <c r="Y51" s="49"/>
      <c r="Z51" s="49"/>
      <c r="AA51" s="49"/>
      <c r="AB51" s="49"/>
      <c r="AC51" s="49"/>
      <c r="AD51" s="49"/>
      <c r="AE51" s="49"/>
      <c r="AF51" s="50"/>
      <c r="AG51" s="50"/>
      <c r="AH51" s="50"/>
      <c r="AI51" s="50"/>
      <c r="AJ51" s="50"/>
      <c r="AK51" s="50"/>
      <c r="AL51" s="50"/>
      <c r="AM51" s="50"/>
      <c r="AN51" s="50"/>
      <c r="AO51" s="50"/>
      <c r="AP51" s="210"/>
      <c r="AQ51" s="210"/>
      <c r="AR51" s="209" t="s">
        <v>1223</v>
      </c>
      <c r="AS51" s="210"/>
      <c r="AT51" s="210"/>
    </row>
    <row r="52" s="205" customFormat="1" ht="17" customHeight="1" spans="2:46">
      <c r="B52" s="55"/>
      <c r="C52" s="55"/>
      <c r="D52" s="55"/>
      <c r="E52" s="55"/>
      <c r="F52" s="55"/>
      <c r="G52" s="55"/>
      <c r="H52" s="55"/>
      <c r="I52" s="56"/>
      <c r="J52" s="56"/>
      <c r="K52" s="56"/>
      <c r="L52" s="56"/>
      <c r="M52" s="56"/>
      <c r="N52" s="56"/>
      <c r="O52" s="56"/>
      <c r="P52" s="56"/>
      <c r="Q52" s="56"/>
      <c r="R52" s="56"/>
      <c r="S52" s="211"/>
      <c r="T52" s="211"/>
      <c r="U52" s="209" t="s">
        <v>1223</v>
      </c>
      <c r="V52" s="211"/>
      <c r="W52" s="211"/>
      <c r="Y52" s="55"/>
      <c r="Z52" s="55"/>
      <c r="AA52" s="55"/>
      <c r="AB52" s="55"/>
      <c r="AC52" s="55"/>
      <c r="AD52" s="55"/>
      <c r="AE52" s="55"/>
      <c r="AF52" s="56"/>
      <c r="AG52" s="56"/>
      <c r="AH52" s="56"/>
      <c r="AI52" s="56"/>
      <c r="AJ52" s="56"/>
      <c r="AK52" s="56"/>
      <c r="AL52" s="56"/>
      <c r="AM52" s="56"/>
      <c r="AN52" s="56"/>
      <c r="AO52" s="56"/>
      <c r="AP52" s="211"/>
      <c r="AQ52" s="211"/>
      <c r="AR52" s="209" t="s">
        <v>1223</v>
      </c>
      <c r="AS52" s="211"/>
      <c r="AT52" s="211"/>
    </row>
    <row r="53" s="205" customFormat="1" ht="17" customHeight="1" spans="2:46">
      <c r="B53" s="49"/>
      <c r="C53" s="49"/>
      <c r="D53" s="49"/>
      <c r="E53" s="49"/>
      <c r="F53" s="49"/>
      <c r="G53" s="49"/>
      <c r="H53" s="49"/>
      <c r="I53" s="50"/>
      <c r="J53" s="50"/>
      <c r="K53" s="50"/>
      <c r="L53" s="50"/>
      <c r="M53" s="50"/>
      <c r="N53" s="50"/>
      <c r="O53" s="50"/>
      <c r="P53" s="50"/>
      <c r="Q53" s="50"/>
      <c r="R53" s="50"/>
      <c r="S53" s="210"/>
      <c r="T53" s="210"/>
      <c r="U53" s="209" t="s">
        <v>1223</v>
      </c>
      <c r="V53" s="210"/>
      <c r="W53" s="210"/>
      <c r="Y53" s="49"/>
      <c r="Z53" s="49"/>
      <c r="AA53" s="49"/>
      <c r="AB53" s="49"/>
      <c r="AC53" s="49"/>
      <c r="AD53" s="49"/>
      <c r="AE53" s="49"/>
      <c r="AF53" s="50"/>
      <c r="AG53" s="50"/>
      <c r="AH53" s="50"/>
      <c r="AI53" s="50"/>
      <c r="AJ53" s="50"/>
      <c r="AK53" s="50"/>
      <c r="AL53" s="50"/>
      <c r="AM53" s="50"/>
      <c r="AN53" s="50"/>
      <c r="AO53" s="50"/>
      <c r="AP53" s="210"/>
      <c r="AQ53" s="210"/>
      <c r="AR53" s="209" t="s">
        <v>1223</v>
      </c>
      <c r="AS53" s="210"/>
      <c r="AT53" s="210"/>
    </row>
    <row r="54" s="205" customFormat="1" ht="17" customHeight="1" spans="2:46">
      <c r="B54" s="55"/>
      <c r="C54" s="55"/>
      <c r="D54" s="55"/>
      <c r="E54" s="55"/>
      <c r="F54" s="55"/>
      <c r="G54" s="55"/>
      <c r="H54" s="55"/>
      <c r="I54" s="56"/>
      <c r="J54" s="56"/>
      <c r="K54" s="56"/>
      <c r="L54" s="56"/>
      <c r="M54" s="56"/>
      <c r="N54" s="56"/>
      <c r="O54" s="56"/>
      <c r="P54" s="56"/>
      <c r="Q54" s="56"/>
      <c r="R54" s="56"/>
      <c r="S54" s="211"/>
      <c r="T54" s="211"/>
      <c r="U54" s="209" t="s">
        <v>1223</v>
      </c>
      <c r="V54" s="211"/>
      <c r="W54" s="211"/>
      <c r="Y54" s="55"/>
      <c r="Z54" s="55"/>
      <c r="AA54" s="55"/>
      <c r="AB54" s="55"/>
      <c r="AC54" s="55"/>
      <c r="AD54" s="55"/>
      <c r="AE54" s="55"/>
      <c r="AF54" s="56"/>
      <c r="AG54" s="56"/>
      <c r="AH54" s="56"/>
      <c r="AI54" s="56"/>
      <c r="AJ54" s="56"/>
      <c r="AK54" s="56"/>
      <c r="AL54" s="56"/>
      <c r="AM54" s="56"/>
      <c r="AN54" s="56"/>
      <c r="AO54" s="56"/>
      <c r="AP54" s="211"/>
      <c r="AQ54" s="211"/>
      <c r="AR54" s="209" t="s">
        <v>1223</v>
      </c>
      <c r="AS54" s="211"/>
      <c r="AT54" s="211"/>
    </row>
    <row r="55" s="205" customFormat="1" ht="17" customHeight="1" spans="2:46">
      <c r="B55" s="49"/>
      <c r="C55" s="49"/>
      <c r="D55" s="49"/>
      <c r="E55" s="49"/>
      <c r="F55" s="49"/>
      <c r="G55" s="49"/>
      <c r="H55" s="49"/>
      <c r="I55" s="50"/>
      <c r="J55" s="50"/>
      <c r="K55" s="50"/>
      <c r="L55" s="50"/>
      <c r="M55" s="50"/>
      <c r="N55" s="50"/>
      <c r="O55" s="50"/>
      <c r="P55" s="50"/>
      <c r="Q55" s="50"/>
      <c r="R55" s="50"/>
      <c r="S55" s="210"/>
      <c r="T55" s="210"/>
      <c r="U55" s="209" t="s">
        <v>1223</v>
      </c>
      <c r="V55" s="210"/>
      <c r="W55" s="210"/>
      <c r="Y55" s="49"/>
      <c r="Z55" s="49"/>
      <c r="AA55" s="49"/>
      <c r="AB55" s="49"/>
      <c r="AC55" s="49"/>
      <c r="AD55" s="49"/>
      <c r="AE55" s="49"/>
      <c r="AF55" s="50"/>
      <c r="AG55" s="50"/>
      <c r="AH55" s="50"/>
      <c r="AI55" s="50"/>
      <c r="AJ55" s="50"/>
      <c r="AK55" s="50"/>
      <c r="AL55" s="50"/>
      <c r="AM55" s="50"/>
      <c r="AN55" s="50"/>
      <c r="AO55" s="50"/>
      <c r="AP55" s="210"/>
      <c r="AQ55" s="210"/>
      <c r="AR55" s="209" t="s">
        <v>1223</v>
      </c>
      <c r="AS55" s="210"/>
      <c r="AT55" s="210"/>
    </row>
    <row r="56" s="205" customFormat="1" ht="17" customHeight="1" spans="2:46">
      <c r="B56" s="212"/>
      <c r="C56" s="212"/>
      <c r="D56" s="212"/>
      <c r="E56" s="212"/>
      <c r="F56" s="212"/>
      <c r="G56" s="212"/>
      <c r="H56" s="212"/>
      <c r="I56" s="213"/>
      <c r="J56" s="213"/>
      <c r="K56" s="213"/>
      <c r="L56" s="213"/>
      <c r="M56" s="213"/>
      <c r="N56" s="213"/>
      <c r="O56" s="213"/>
      <c r="P56" s="213"/>
      <c r="Q56" s="213"/>
      <c r="R56" s="213"/>
      <c r="S56" s="211"/>
      <c r="T56" s="211"/>
      <c r="U56" s="209" t="s">
        <v>1223</v>
      </c>
      <c r="V56" s="214"/>
      <c r="W56" s="214"/>
      <c r="Y56" s="212"/>
      <c r="Z56" s="212"/>
      <c r="AA56" s="212"/>
      <c r="AB56" s="212"/>
      <c r="AC56" s="212"/>
      <c r="AD56" s="212"/>
      <c r="AE56" s="212"/>
      <c r="AF56" s="213"/>
      <c r="AG56" s="213"/>
      <c r="AH56" s="213"/>
      <c r="AI56" s="213"/>
      <c r="AJ56" s="213"/>
      <c r="AK56" s="213"/>
      <c r="AL56" s="213"/>
      <c r="AM56" s="213"/>
      <c r="AN56" s="213"/>
      <c r="AO56" s="213"/>
      <c r="AP56" s="211"/>
      <c r="AQ56" s="211"/>
      <c r="AR56" s="209" t="s">
        <v>1223</v>
      </c>
      <c r="AS56" s="214"/>
      <c r="AT56" s="214"/>
    </row>
    <row r="57" s="205" customFormat="1" ht="17" customHeight="1" spans="2:46">
      <c r="B57" s="49"/>
      <c r="C57" s="49"/>
      <c r="D57" s="49"/>
      <c r="E57" s="49"/>
      <c r="F57" s="49"/>
      <c r="G57" s="49"/>
      <c r="H57" s="49"/>
      <c r="I57" s="50"/>
      <c r="J57" s="50"/>
      <c r="K57" s="50"/>
      <c r="L57" s="50"/>
      <c r="M57" s="50"/>
      <c r="N57" s="50"/>
      <c r="O57" s="50"/>
      <c r="P57" s="50"/>
      <c r="Q57" s="50"/>
      <c r="R57" s="50"/>
      <c r="S57" s="210"/>
      <c r="T57" s="210"/>
      <c r="U57" s="209" t="s">
        <v>1223</v>
      </c>
      <c r="V57" s="210"/>
      <c r="W57" s="210"/>
      <c r="Y57" s="49"/>
      <c r="Z57" s="49"/>
      <c r="AA57" s="49"/>
      <c r="AB57" s="49"/>
      <c r="AC57" s="49"/>
      <c r="AD57" s="49"/>
      <c r="AE57" s="49"/>
      <c r="AF57" s="50"/>
      <c r="AG57" s="50"/>
      <c r="AH57" s="50"/>
      <c r="AI57" s="50"/>
      <c r="AJ57" s="50"/>
      <c r="AK57" s="50"/>
      <c r="AL57" s="50"/>
      <c r="AM57" s="50"/>
      <c r="AN57" s="50"/>
      <c r="AO57" s="50"/>
      <c r="AP57" s="210"/>
      <c r="AQ57" s="210"/>
      <c r="AR57" s="209" t="s">
        <v>1223</v>
      </c>
      <c r="AS57" s="210"/>
      <c r="AT57" s="210"/>
    </row>
    <row r="58" s="205" customFormat="1" ht="17" customHeight="1" spans="2:46">
      <c r="B58" s="55"/>
      <c r="C58" s="55"/>
      <c r="D58" s="55"/>
      <c r="E58" s="55"/>
      <c r="F58" s="55"/>
      <c r="G58" s="55"/>
      <c r="H58" s="55"/>
      <c r="I58" s="56"/>
      <c r="J58" s="56"/>
      <c r="K58" s="56"/>
      <c r="L58" s="56"/>
      <c r="M58" s="56"/>
      <c r="N58" s="56"/>
      <c r="O58" s="56"/>
      <c r="P58" s="56"/>
      <c r="Q58" s="56"/>
      <c r="R58" s="56"/>
      <c r="S58" s="211"/>
      <c r="T58" s="211"/>
      <c r="U58" s="209" t="s">
        <v>1223</v>
      </c>
      <c r="V58" s="211"/>
      <c r="W58" s="211"/>
      <c r="Y58" s="55"/>
      <c r="Z58" s="55"/>
      <c r="AA58" s="55"/>
      <c r="AB58" s="55"/>
      <c r="AC58" s="55"/>
      <c r="AD58" s="55"/>
      <c r="AE58" s="55"/>
      <c r="AF58" s="56"/>
      <c r="AG58" s="56"/>
      <c r="AH58" s="56"/>
      <c r="AI58" s="56"/>
      <c r="AJ58" s="56"/>
      <c r="AK58" s="56"/>
      <c r="AL58" s="56"/>
      <c r="AM58" s="56"/>
      <c r="AN58" s="56"/>
      <c r="AO58" s="56"/>
      <c r="AP58" s="211"/>
      <c r="AQ58" s="211"/>
      <c r="AR58" s="209" t="s">
        <v>1223</v>
      </c>
      <c r="AS58" s="211"/>
      <c r="AT58" s="211"/>
    </row>
    <row r="59" s="205" customFormat="1" ht="17" customHeight="1" spans="2:46">
      <c r="B59" s="49"/>
      <c r="C59" s="49"/>
      <c r="D59" s="49"/>
      <c r="E59" s="49"/>
      <c r="F59" s="49"/>
      <c r="G59" s="49"/>
      <c r="H59" s="49"/>
      <c r="I59" s="50"/>
      <c r="J59" s="50"/>
      <c r="K59" s="50"/>
      <c r="L59" s="50"/>
      <c r="M59" s="50"/>
      <c r="N59" s="50"/>
      <c r="O59" s="50"/>
      <c r="P59" s="50"/>
      <c r="Q59" s="50"/>
      <c r="R59" s="50"/>
      <c r="S59" s="210"/>
      <c r="T59" s="210"/>
      <c r="U59" s="209" t="s">
        <v>1223</v>
      </c>
      <c r="V59" s="210"/>
      <c r="W59" s="210"/>
      <c r="Y59" s="49"/>
      <c r="Z59" s="49"/>
      <c r="AA59" s="49"/>
      <c r="AB59" s="49"/>
      <c r="AC59" s="49"/>
      <c r="AD59" s="49"/>
      <c r="AE59" s="49"/>
      <c r="AF59" s="50"/>
      <c r="AG59" s="50"/>
      <c r="AH59" s="50"/>
      <c r="AI59" s="50"/>
      <c r="AJ59" s="50"/>
      <c r="AK59" s="50"/>
      <c r="AL59" s="50"/>
      <c r="AM59" s="50"/>
      <c r="AN59" s="50"/>
      <c r="AO59" s="50"/>
      <c r="AP59" s="210"/>
      <c r="AQ59" s="210"/>
      <c r="AR59" s="209" t="s">
        <v>1223</v>
      </c>
      <c r="AS59" s="210"/>
      <c r="AT59" s="210"/>
    </row>
    <row r="60" s="205" customFormat="1" ht="17" customHeight="1" spans="2:46">
      <c r="B60" s="55"/>
      <c r="C60" s="55"/>
      <c r="D60" s="55"/>
      <c r="E60" s="55"/>
      <c r="F60" s="55"/>
      <c r="G60" s="55"/>
      <c r="H60" s="55"/>
      <c r="I60" s="56"/>
      <c r="J60" s="56"/>
      <c r="K60" s="56"/>
      <c r="L60" s="56"/>
      <c r="M60" s="56"/>
      <c r="N60" s="56"/>
      <c r="O60" s="56"/>
      <c r="P60" s="56"/>
      <c r="Q60" s="56"/>
      <c r="R60" s="56"/>
      <c r="S60" s="211"/>
      <c r="T60" s="211"/>
      <c r="U60" s="209" t="s">
        <v>1223</v>
      </c>
      <c r="V60" s="211"/>
      <c r="W60" s="211"/>
      <c r="Y60" s="55"/>
      <c r="Z60" s="55"/>
      <c r="AA60" s="55"/>
      <c r="AB60" s="55"/>
      <c r="AC60" s="55"/>
      <c r="AD60" s="55"/>
      <c r="AE60" s="55"/>
      <c r="AF60" s="56"/>
      <c r="AG60" s="56"/>
      <c r="AH60" s="56"/>
      <c r="AI60" s="56"/>
      <c r="AJ60" s="56"/>
      <c r="AK60" s="56"/>
      <c r="AL60" s="56"/>
      <c r="AM60" s="56"/>
      <c r="AN60" s="56"/>
      <c r="AO60" s="56"/>
      <c r="AP60" s="211"/>
      <c r="AQ60" s="211"/>
      <c r="AR60" s="209" t="s">
        <v>1223</v>
      </c>
      <c r="AS60" s="211"/>
      <c r="AT60" s="211"/>
    </row>
    <row r="61" s="205" customFormat="1" ht="8" customHeight="1" spans="2:46">
      <c r="B61" s="45"/>
      <c r="C61" s="45"/>
      <c r="D61" s="45"/>
      <c r="E61" s="45"/>
      <c r="F61" s="45"/>
      <c r="G61" s="45"/>
      <c r="H61" s="45"/>
      <c r="I61" s="45"/>
      <c r="J61" s="45"/>
      <c r="K61" s="45"/>
      <c r="L61" s="45"/>
      <c r="M61" s="45"/>
      <c r="N61" s="45"/>
      <c r="O61" s="45"/>
      <c r="P61" s="45"/>
      <c r="Q61" s="45"/>
      <c r="R61" s="45"/>
      <c r="S61" s="215"/>
      <c r="T61" s="215"/>
      <c r="V61" s="215"/>
      <c r="W61" s="215"/>
      <c r="Y61" s="45"/>
      <c r="Z61" s="45"/>
      <c r="AA61" s="45"/>
      <c r="AB61" s="45"/>
      <c r="AC61" s="45"/>
      <c r="AD61" s="45"/>
      <c r="AE61" s="45"/>
      <c r="AF61" s="45"/>
      <c r="AG61" s="45"/>
      <c r="AH61" s="45"/>
      <c r="AI61" s="45"/>
      <c r="AJ61" s="45"/>
      <c r="AK61" s="45"/>
      <c r="AL61" s="45"/>
      <c r="AM61" s="45"/>
      <c r="AN61" s="45"/>
      <c r="AO61" s="45"/>
      <c r="AP61" s="215"/>
      <c r="AQ61" s="215"/>
      <c r="AS61" s="215"/>
      <c r="AT61" s="215"/>
    </row>
    <row r="62" s="205" customFormat="1" ht="17" customHeight="1" spans="2:46">
      <c r="B62" s="49"/>
      <c r="C62" s="49"/>
      <c r="D62" s="49"/>
      <c r="E62" s="49"/>
      <c r="F62" s="49"/>
      <c r="G62" s="49"/>
      <c r="H62" s="49"/>
      <c r="I62" s="50"/>
      <c r="J62" s="50"/>
      <c r="K62" s="50"/>
      <c r="L62" s="50"/>
      <c r="M62" s="50"/>
      <c r="N62" s="50"/>
      <c r="O62" s="50"/>
      <c r="P62" s="50"/>
      <c r="Q62" s="50"/>
      <c r="R62" s="50"/>
      <c r="S62" s="210"/>
      <c r="T62" s="210"/>
      <c r="U62" s="209" t="s">
        <v>1223</v>
      </c>
      <c r="V62" s="210"/>
      <c r="W62" s="210"/>
      <c r="Y62" s="49"/>
      <c r="Z62" s="49"/>
      <c r="AA62" s="49"/>
      <c r="AB62" s="49"/>
      <c r="AC62" s="49"/>
      <c r="AD62" s="49"/>
      <c r="AE62" s="49"/>
      <c r="AF62" s="50"/>
      <c r="AG62" s="50"/>
      <c r="AH62" s="50"/>
      <c r="AI62" s="50"/>
      <c r="AJ62" s="50"/>
      <c r="AK62" s="50"/>
      <c r="AL62" s="50"/>
      <c r="AM62" s="50"/>
      <c r="AN62" s="50"/>
      <c r="AO62" s="50"/>
      <c r="AP62" s="210"/>
      <c r="AQ62" s="210"/>
      <c r="AR62" s="209" t="s">
        <v>1223</v>
      </c>
      <c r="AS62" s="210"/>
      <c r="AT62" s="210"/>
    </row>
    <row r="63" s="205" customFormat="1" ht="17" customHeight="1" spans="2:46">
      <c r="B63" s="55"/>
      <c r="C63" s="55"/>
      <c r="D63" s="55"/>
      <c r="E63" s="55"/>
      <c r="F63" s="55"/>
      <c r="G63" s="55"/>
      <c r="H63" s="55"/>
      <c r="I63" s="56"/>
      <c r="J63" s="56"/>
      <c r="K63" s="56"/>
      <c r="L63" s="56"/>
      <c r="M63" s="56"/>
      <c r="N63" s="56"/>
      <c r="O63" s="56"/>
      <c r="P63" s="56"/>
      <c r="Q63" s="56"/>
      <c r="R63" s="56"/>
      <c r="S63" s="211"/>
      <c r="T63" s="211"/>
      <c r="U63" s="209" t="s">
        <v>1223</v>
      </c>
      <c r="V63" s="211"/>
      <c r="W63" s="211"/>
      <c r="Y63" s="55"/>
      <c r="Z63" s="55"/>
      <c r="AA63" s="55"/>
      <c r="AB63" s="55"/>
      <c r="AC63" s="55"/>
      <c r="AD63" s="55"/>
      <c r="AE63" s="55"/>
      <c r="AF63" s="56"/>
      <c r="AG63" s="56"/>
      <c r="AH63" s="56"/>
      <c r="AI63" s="56"/>
      <c r="AJ63" s="56"/>
      <c r="AK63" s="56"/>
      <c r="AL63" s="56"/>
      <c r="AM63" s="56"/>
      <c r="AN63" s="56"/>
      <c r="AO63" s="56"/>
      <c r="AP63" s="211"/>
      <c r="AQ63" s="211"/>
      <c r="AR63" s="209" t="s">
        <v>1223</v>
      </c>
      <c r="AS63" s="211"/>
      <c r="AT63" s="211"/>
    </row>
    <row r="64" s="205" customFormat="1" ht="17" customHeight="1" spans="2:46">
      <c r="B64" s="49"/>
      <c r="C64" s="49"/>
      <c r="D64" s="49"/>
      <c r="E64" s="49"/>
      <c r="F64" s="49"/>
      <c r="G64" s="49"/>
      <c r="H64" s="49"/>
      <c r="I64" s="50"/>
      <c r="J64" s="50"/>
      <c r="K64" s="50"/>
      <c r="L64" s="50"/>
      <c r="M64" s="50"/>
      <c r="N64" s="50"/>
      <c r="O64" s="50"/>
      <c r="P64" s="50"/>
      <c r="Q64" s="50"/>
      <c r="R64" s="50"/>
      <c r="S64" s="210"/>
      <c r="T64" s="210"/>
      <c r="U64" s="209" t="s">
        <v>1223</v>
      </c>
      <c r="V64" s="210"/>
      <c r="W64" s="210"/>
      <c r="Y64" s="49"/>
      <c r="Z64" s="49"/>
      <c r="AA64" s="49"/>
      <c r="AB64" s="49"/>
      <c r="AC64" s="49"/>
      <c r="AD64" s="49"/>
      <c r="AE64" s="49"/>
      <c r="AF64" s="50"/>
      <c r="AG64" s="50"/>
      <c r="AH64" s="50"/>
      <c r="AI64" s="50"/>
      <c r="AJ64" s="50"/>
      <c r="AK64" s="50"/>
      <c r="AL64" s="50"/>
      <c r="AM64" s="50"/>
      <c r="AN64" s="50"/>
      <c r="AO64" s="50"/>
      <c r="AP64" s="210"/>
      <c r="AQ64" s="210"/>
      <c r="AR64" s="209" t="s">
        <v>1223</v>
      </c>
      <c r="AS64" s="210"/>
      <c r="AT64" s="210"/>
    </row>
    <row r="65" s="205" customFormat="1" ht="17" customHeight="1" spans="2:46">
      <c r="B65" s="55"/>
      <c r="C65" s="55"/>
      <c r="D65" s="55"/>
      <c r="E65" s="55"/>
      <c r="F65" s="55"/>
      <c r="G65" s="55"/>
      <c r="H65" s="55"/>
      <c r="I65" s="56"/>
      <c r="J65" s="56"/>
      <c r="K65" s="56"/>
      <c r="L65" s="56"/>
      <c r="M65" s="56"/>
      <c r="N65" s="56"/>
      <c r="O65" s="56"/>
      <c r="P65" s="56"/>
      <c r="Q65" s="56"/>
      <c r="R65" s="56"/>
      <c r="S65" s="211"/>
      <c r="T65" s="211"/>
      <c r="U65" s="209" t="s">
        <v>1223</v>
      </c>
      <c r="V65" s="211"/>
      <c r="W65" s="211"/>
      <c r="Y65" s="55"/>
      <c r="Z65" s="55"/>
      <c r="AA65" s="55"/>
      <c r="AB65" s="55"/>
      <c r="AC65" s="55"/>
      <c r="AD65" s="55"/>
      <c r="AE65" s="55"/>
      <c r="AF65" s="56"/>
      <c r="AG65" s="56"/>
      <c r="AH65" s="56"/>
      <c r="AI65" s="56"/>
      <c r="AJ65" s="56"/>
      <c r="AK65" s="56"/>
      <c r="AL65" s="56"/>
      <c r="AM65" s="56"/>
      <c r="AN65" s="56"/>
      <c r="AO65" s="56"/>
      <c r="AP65" s="211"/>
      <c r="AQ65" s="211"/>
      <c r="AR65" s="209" t="s">
        <v>1223</v>
      </c>
      <c r="AS65" s="211"/>
      <c r="AT65" s="211"/>
    </row>
    <row r="66" s="205" customFormat="1" ht="17" customHeight="1" spans="2:46">
      <c r="B66" s="49"/>
      <c r="C66" s="49"/>
      <c r="D66" s="49"/>
      <c r="E66" s="49"/>
      <c r="F66" s="49"/>
      <c r="G66" s="49"/>
      <c r="H66" s="49"/>
      <c r="I66" s="50"/>
      <c r="J66" s="50"/>
      <c r="K66" s="50"/>
      <c r="L66" s="50"/>
      <c r="M66" s="50"/>
      <c r="N66" s="50"/>
      <c r="O66" s="50"/>
      <c r="P66" s="50"/>
      <c r="Q66" s="50"/>
      <c r="R66" s="50"/>
      <c r="S66" s="210"/>
      <c r="T66" s="210"/>
      <c r="U66" s="209" t="s">
        <v>1223</v>
      </c>
      <c r="V66" s="210"/>
      <c r="W66" s="210"/>
      <c r="Y66" s="49"/>
      <c r="Z66" s="49"/>
      <c r="AA66" s="49"/>
      <c r="AB66" s="49"/>
      <c r="AC66" s="49"/>
      <c r="AD66" s="49"/>
      <c r="AE66" s="49"/>
      <c r="AF66" s="50"/>
      <c r="AG66" s="50"/>
      <c r="AH66" s="50"/>
      <c r="AI66" s="50"/>
      <c r="AJ66" s="50"/>
      <c r="AK66" s="50"/>
      <c r="AL66" s="50"/>
      <c r="AM66" s="50"/>
      <c r="AN66" s="50"/>
      <c r="AO66" s="50"/>
      <c r="AP66" s="210"/>
      <c r="AQ66" s="210"/>
      <c r="AR66" s="209" t="s">
        <v>1223</v>
      </c>
      <c r="AS66" s="210"/>
      <c r="AT66" s="210"/>
    </row>
    <row r="67" s="205" customFormat="1" ht="17" customHeight="1" spans="2:46">
      <c r="B67" s="212"/>
      <c r="C67" s="212"/>
      <c r="D67" s="212"/>
      <c r="E67" s="212"/>
      <c r="F67" s="212"/>
      <c r="G67" s="212"/>
      <c r="H67" s="212"/>
      <c r="I67" s="213"/>
      <c r="J67" s="213"/>
      <c r="K67" s="213"/>
      <c r="L67" s="213"/>
      <c r="M67" s="213"/>
      <c r="N67" s="213"/>
      <c r="O67" s="213"/>
      <c r="P67" s="213"/>
      <c r="Q67" s="213"/>
      <c r="R67" s="213"/>
      <c r="S67" s="211"/>
      <c r="T67" s="211"/>
      <c r="U67" s="209" t="s">
        <v>1223</v>
      </c>
      <c r="V67" s="214"/>
      <c r="W67" s="214"/>
      <c r="Y67" s="212"/>
      <c r="Z67" s="212"/>
      <c r="AA67" s="212"/>
      <c r="AB67" s="212"/>
      <c r="AC67" s="212"/>
      <c r="AD67" s="212"/>
      <c r="AE67" s="212"/>
      <c r="AF67" s="213"/>
      <c r="AG67" s="213"/>
      <c r="AH67" s="213"/>
      <c r="AI67" s="213"/>
      <c r="AJ67" s="213"/>
      <c r="AK67" s="213"/>
      <c r="AL67" s="213"/>
      <c r="AM67" s="213"/>
      <c r="AN67" s="213"/>
      <c r="AO67" s="213"/>
      <c r="AP67" s="211"/>
      <c r="AQ67" s="211"/>
      <c r="AR67" s="209" t="s">
        <v>1223</v>
      </c>
      <c r="AS67" s="214"/>
      <c r="AT67" s="214"/>
    </row>
    <row r="68" s="205" customFormat="1" ht="17" customHeight="1" spans="2:46">
      <c r="B68" s="49"/>
      <c r="C68" s="49"/>
      <c r="D68" s="49"/>
      <c r="E68" s="49"/>
      <c r="F68" s="49"/>
      <c r="G68" s="49"/>
      <c r="H68" s="49"/>
      <c r="I68" s="50"/>
      <c r="J68" s="50"/>
      <c r="K68" s="50"/>
      <c r="L68" s="50"/>
      <c r="M68" s="50"/>
      <c r="N68" s="50"/>
      <c r="O68" s="50"/>
      <c r="P68" s="50"/>
      <c r="Q68" s="50"/>
      <c r="R68" s="50"/>
      <c r="S68" s="210"/>
      <c r="T68" s="210"/>
      <c r="U68" s="209" t="s">
        <v>1223</v>
      </c>
      <c r="V68" s="210"/>
      <c r="W68" s="210"/>
      <c r="Y68" s="49"/>
      <c r="Z68" s="49"/>
      <c r="AA68" s="49"/>
      <c r="AB68" s="49"/>
      <c r="AC68" s="49"/>
      <c r="AD68" s="49"/>
      <c r="AE68" s="49"/>
      <c r="AF68" s="50"/>
      <c r="AG68" s="50"/>
      <c r="AH68" s="50"/>
      <c r="AI68" s="50"/>
      <c r="AJ68" s="50"/>
      <c r="AK68" s="50"/>
      <c r="AL68" s="50"/>
      <c r="AM68" s="50"/>
      <c r="AN68" s="50"/>
      <c r="AO68" s="50"/>
      <c r="AP68" s="210"/>
      <c r="AQ68" s="210"/>
      <c r="AR68" s="209" t="s">
        <v>1223</v>
      </c>
      <c r="AS68" s="210"/>
      <c r="AT68" s="210"/>
    </row>
    <row r="69" s="205" customFormat="1" ht="17" customHeight="1" spans="2:46">
      <c r="B69" s="55"/>
      <c r="C69" s="55"/>
      <c r="D69" s="55"/>
      <c r="E69" s="55"/>
      <c r="F69" s="55"/>
      <c r="G69" s="55"/>
      <c r="H69" s="55"/>
      <c r="I69" s="56"/>
      <c r="J69" s="56"/>
      <c r="K69" s="56"/>
      <c r="L69" s="56"/>
      <c r="M69" s="56"/>
      <c r="N69" s="56"/>
      <c r="O69" s="56"/>
      <c r="P69" s="56"/>
      <c r="Q69" s="56"/>
      <c r="R69" s="56"/>
      <c r="S69" s="211"/>
      <c r="T69" s="211"/>
      <c r="U69" s="209" t="s">
        <v>1223</v>
      </c>
      <c r="V69" s="211"/>
      <c r="W69" s="211"/>
      <c r="Y69" s="55"/>
      <c r="Z69" s="55"/>
      <c r="AA69" s="55"/>
      <c r="AB69" s="55"/>
      <c r="AC69" s="55"/>
      <c r="AD69" s="55"/>
      <c r="AE69" s="55"/>
      <c r="AF69" s="56"/>
      <c r="AG69" s="56"/>
      <c r="AH69" s="56"/>
      <c r="AI69" s="56"/>
      <c r="AJ69" s="56"/>
      <c r="AK69" s="56"/>
      <c r="AL69" s="56"/>
      <c r="AM69" s="56"/>
      <c r="AN69" s="56"/>
      <c r="AO69" s="56"/>
      <c r="AP69" s="211"/>
      <c r="AQ69" s="211"/>
      <c r="AR69" s="209" t="s">
        <v>1223</v>
      </c>
      <c r="AS69" s="211"/>
      <c r="AT69" s="211"/>
    </row>
    <row r="70" s="205" customFormat="1" ht="17" customHeight="1" spans="2:46">
      <c r="B70" s="49"/>
      <c r="C70" s="49"/>
      <c r="D70" s="49"/>
      <c r="E70" s="49"/>
      <c r="F70" s="49"/>
      <c r="G70" s="49"/>
      <c r="H70" s="49"/>
      <c r="I70" s="50"/>
      <c r="J70" s="50"/>
      <c r="K70" s="50"/>
      <c r="L70" s="50"/>
      <c r="M70" s="50"/>
      <c r="N70" s="50"/>
      <c r="O70" s="50"/>
      <c r="P70" s="50"/>
      <c r="Q70" s="50"/>
      <c r="R70" s="50"/>
      <c r="S70" s="210"/>
      <c r="T70" s="210"/>
      <c r="U70" s="209" t="s">
        <v>1223</v>
      </c>
      <c r="V70" s="210"/>
      <c r="W70" s="210"/>
      <c r="Y70" s="49"/>
      <c r="Z70" s="49"/>
      <c r="AA70" s="49"/>
      <c r="AB70" s="49"/>
      <c r="AC70" s="49"/>
      <c r="AD70" s="49"/>
      <c r="AE70" s="49"/>
      <c r="AF70" s="50"/>
      <c r="AG70" s="50"/>
      <c r="AH70" s="50"/>
      <c r="AI70" s="50"/>
      <c r="AJ70" s="50"/>
      <c r="AK70" s="50"/>
      <c r="AL70" s="50"/>
      <c r="AM70" s="50"/>
      <c r="AN70" s="50"/>
      <c r="AO70" s="50"/>
      <c r="AP70" s="210"/>
      <c r="AQ70" s="210"/>
      <c r="AR70" s="209" t="s">
        <v>1223</v>
      </c>
      <c r="AS70" s="210"/>
      <c r="AT70" s="210"/>
    </row>
    <row r="71" s="205" customFormat="1" ht="17" customHeight="1" spans="2:46">
      <c r="B71" s="55"/>
      <c r="C71" s="55"/>
      <c r="D71" s="55"/>
      <c r="E71" s="55"/>
      <c r="F71" s="55"/>
      <c r="G71" s="55"/>
      <c r="H71" s="55"/>
      <c r="I71" s="56"/>
      <c r="J71" s="56"/>
      <c r="K71" s="56"/>
      <c r="L71" s="56"/>
      <c r="M71" s="56"/>
      <c r="N71" s="56"/>
      <c r="O71" s="56"/>
      <c r="P71" s="56"/>
      <c r="Q71" s="56"/>
      <c r="R71" s="56"/>
      <c r="S71" s="211"/>
      <c r="T71" s="211"/>
      <c r="U71" s="209" t="s">
        <v>1223</v>
      </c>
      <c r="V71" s="211"/>
      <c r="W71" s="211"/>
      <c r="Y71" s="55"/>
      <c r="Z71" s="55"/>
      <c r="AA71" s="55"/>
      <c r="AB71" s="55"/>
      <c r="AC71" s="55"/>
      <c r="AD71" s="55"/>
      <c r="AE71" s="55"/>
      <c r="AF71" s="56"/>
      <c r="AG71" s="56"/>
      <c r="AH71" s="56"/>
      <c r="AI71" s="56"/>
      <c r="AJ71" s="56"/>
      <c r="AK71" s="56"/>
      <c r="AL71" s="56"/>
      <c r="AM71" s="56"/>
      <c r="AN71" s="56"/>
      <c r="AO71" s="56"/>
      <c r="AP71" s="211"/>
      <c r="AQ71" s="211"/>
      <c r="AR71" s="209" t="s">
        <v>1223</v>
      </c>
      <c r="AS71" s="211"/>
      <c r="AT71" s="211"/>
    </row>
    <row r="72" s="205" customFormat="1" ht="8" customHeight="1" spans="2:46">
      <c r="B72" s="45"/>
      <c r="C72" s="45"/>
      <c r="D72" s="45"/>
      <c r="E72" s="45"/>
      <c r="F72" s="45"/>
      <c r="G72" s="45"/>
      <c r="H72" s="45"/>
      <c r="I72" s="45"/>
      <c r="J72" s="45"/>
      <c r="K72" s="45"/>
      <c r="L72" s="45"/>
      <c r="M72" s="45"/>
      <c r="N72" s="45"/>
      <c r="O72" s="45"/>
      <c r="P72" s="45"/>
      <c r="Q72" s="45"/>
      <c r="R72" s="45"/>
      <c r="S72" s="215"/>
      <c r="T72" s="215"/>
      <c r="V72" s="215"/>
      <c r="W72" s="215"/>
      <c r="Y72" s="45"/>
      <c r="Z72" s="45"/>
      <c r="AA72" s="45"/>
      <c r="AB72" s="45"/>
      <c r="AC72" s="45"/>
      <c r="AD72" s="45"/>
      <c r="AE72" s="45"/>
      <c r="AF72" s="45"/>
      <c r="AG72" s="45"/>
      <c r="AH72" s="45"/>
      <c r="AI72" s="45"/>
      <c r="AJ72" s="45"/>
      <c r="AK72" s="45"/>
      <c r="AL72" s="45"/>
      <c r="AM72" s="45"/>
      <c r="AN72" s="45"/>
      <c r="AO72" s="45"/>
      <c r="AP72" s="215"/>
      <c r="AQ72" s="215"/>
      <c r="AS72" s="215"/>
      <c r="AT72" s="215"/>
    </row>
    <row r="73" s="205" customFormat="1" ht="17" customHeight="1" spans="2:46">
      <c r="B73" s="49"/>
      <c r="C73" s="49"/>
      <c r="D73" s="49"/>
      <c r="E73" s="49"/>
      <c r="F73" s="49"/>
      <c r="G73" s="49"/>
      <c r="H73" s="49"/>
      <c r="I73" s="50"/>
      <c r="J73" s="50"/>
      <c r="K73" s="50"/>
      <c r="L73" s="50"/>
      <c r="M73" s="50"/>
      <c r="N73" s="50"/>
      <c r="O73" s="50"/>
      <c r="P73" s="50"/>
      <c r="Q73" s="50"/>
      <c r="R73" s="50"/>
      <c r="S73" s="210"/>
      <c r="T73" s="210"/>
      <c r="U73" s="209" t="s">
        <v>1223</v>
      </c>
      <c r="V73" s="210"/>
      <c r="W73" s="210"/>
      <c r="Y73" s="49"/>
      <c r="Z73" s="49"/>
      <c r="AA73" s="49"/>
      <c r="AB73" s="49"/>
      <c r="AC73" s="49"/>
      <c r="AD73" s="49"/>
      <c r="AE73" s="49"/>
      <c r="AF73" s="50"/>
      <c r="AG73" s="50"/>
      <c r="AH73" s="50"/>
      <c r="AI73" s="50"/>
      <c r="AJ73" s="50"/>
      <c r="AK73" s="50"/>
      <c r="AL73" s="50"/>
      <c r="AM73" s="50"/>
      <c r="AN73" s="50"/>
      <c r="AO73" s="50"/>
      <c r="AP73" s="210"/>
      <c r="AQ73" s="210"/>
      <c r="AR73" s="209" t="s">
        <v>1223</v>
      </c>
      <c r="AS73" s="210"/>
      <c r="AT73" s="210"/>
    </row>
    <row r="74" s="205" customFormat="1" ht="17" customHeight="1" spans="2:46">
      <c r="B74" s="55"/>
      <c r="C74" s="55"/>
      <c r="D74" s="55"/>
      <c r="E74" s="55"/>
      <c r="F74" s="55"/>
      <c r="G74" s="55"/>
      <c r="H74" s="55"/>
      <c r="I74" s="56"/>
      <c r="J74" s="56"/>
      <c r="K74" s="56"/>
      <c r="L74" s="56"/>
      <c r="M74" s="56"/>
      <c r="N74" s="56"/>
      <c r="O74" s="56"/>
      <c r="P74" s="56"/>
      <c r="Q74" s="56"/>
      <c r="R74" s="56"/>
      <c r="S74" s="211"/>
      <c r="T74" s="211"/>
      <c r="U74" s="209" t="s">
        <v>1223</v>
      </c>
      <c r="V74" s="211"/>
      <c r="W74" s="211"/>
      <c r="Y74" s="55"/>
      <c r="Z74" s="55"/>
      <c r="AA74" s="55"/>
      <c r="AB74" s="55"/>
      <c r="AC74" s="55"/>
      <c r="AD74" s="55"/>
      <c r="AE74" s="55"/>
      <c r="AF74" s="56"/>
      <c r="AG74" s="56"/>
      <c r="AH74" s="56"/>
      <c r="AI74" s="56"/>
      <c r="AJ74" s="56"/>
      <c r="AK74" s="56"/>
      <c r="AL74" s="56"/>
      <c r="AM74" s="56"/>
      <c r="AN74" s="56"/>
      <c r="AO74" s="56"/>
      <c r="AP74" s="211"/>
      <c r="AQ74" s="211"/>
      <c r="AR74" s="209" t="s">
        <v>1223</v>
      </c>
      <c r="AS74" s="211"/>
      <c r="AT74" s="211"/>
    </row>
    <row r="75" s="205" customFormat="1" ht="17" customHeight="1" spans="2:46">
      <c r="B75" s="49"/>
      <c r="C75" s="49"/>
      <c r="D75" s="49"/>
      <c r="E75" s="49"/>
      <c r="F75" s="49"/>
      <c r="G75" s="49"/>
      <c r="H75" s="49"/>
      <c r="I75" s="50"/>
      <c r="J75" s="50"/>
      <c r="K75" s="50"/>
      <c r="L75" s="50"/>
      <c r="M75" s="50"/>
      <c r="N75" s="50"/>
      <c r="O75" s="50"/>
      <c r="P75" s="50"/>
      <c r="Q75" s="50"/>
      <c r="R75" s="50"/>
      <c r="S75" s="210"/>
      <c r="T75" s="210"/>
      <c r="U75" s="209" t="s">
        <v>1223</v>
      </c>
      <c r="V75" s="210"/>
      <c r="W75" s="210"/>
      <c r="Y75" s="49"/>
      <c r="Z75" s="49"/>
      <c r="AA75" s="49"/>
      <c r="AB75" s="49"/>
      <c r="AC75" s="49"/>
      <c r="AD75" s="49"/>
      <c r="AE75" s="49"/>
      <c r="AF75" s="50"/>
      <c r="AG75" s="50"/>
      <c r="AH75" s="50"/>
      <c r="AI75" s="50"/>
      <c r="AJ75" s="50"/>
      <c r="AK75" s="50"/>
      <c r="AL75" s="50"/>
      <c r="AM75" s="50"/>
      <c r="AN75" s="50"/>
      <c r="AO75" s="50"/>
      <c r="AP75" s="210"/>
      <c r="AQ75" s="210"/>
      <c r="AR75" s="209" t="s">
        <v>1223</v>
      </c>
      <c r="AS75" s="210"/>
      <c r="AT75" s="210"/>
    </row>
    <row r="76" s="205" customFormat="1" ht="17" customHeight="1" spans="2:46">
      <c r="B76" s="55"/>
      <c r="C76" s="55"/>
      <c r="D76" s="55"/>
      <c r="E76" s="55"/>
      <c r="F76" s="55"/>
      <c r="G76" s="55"/>
      <c r="H76" s="55"/>
      <c r="I76" s="56"/>
      <c r="J76" s="56"/>
      <c r="K76" s="56"/>
      <c r="L76" s="56"/>
      <c r="M76" s="56"/>
      <c r="N76" s="56"/>
      <c r="O76" s="56"/>
      <c r="P76" s="56"/>
      <c r="Q76" s="56"/>
      <c r="R76" s="56"/>
      <c r="S76" s="211"/>
      <c r="T76" s="211"/>
      <c r="U76" s="209" t="s">
        <v>1223</v>
      </c>
      <c r="V76" s="211"/>
      <c r="W76" s="211"/>
      <c r="Y76" s="55"/>
      <c r="Z76" s="55"/>
      <c r="AA76" s="55"/>
      <c r="AB76" s="55"/>
      <c r="AC76" s="55"/>
      <c r="AD76" s="55"/>
      <c r="AE76" s="55"/>
      <c r="AF76" s="56"/>
      <c r="AG76" s="56"/>
      <c r="AH76" s="56"/>
      <c r="AI76" s="56"/>
      <c r="AJ76" s="56"/>
      <c r="AK76" s="56"/>
      <c r="AL76" s="56"/>
      <c r="AM76" s="56"/>
      <c r="AN76" s="56"/>
      <c r="AO76" s="56"/>
      <c r="AP76" s="211"/>
      <c r="AQ76" s="211"/>
      <c r="AR76" s="209" t="s">
        <v>1223</v>
      </c>
      <c r="AS76" s="211"/>
      <c r="AT76" s="211"/>
    </row>
    <row r="77" s="205" customFormat="1" ht="17" customHeight="1" spans="2:46">
      <c r="B77" s="49"/>
      <c r="C77" s="49"/>
      <c r="D77" s="49"/>
      <c r="E77" s="49"/>
      <c r="F77" s="49"/>
      <c r="G77" s="49"/>
      <c r="H77" s="49"/>
      <c r="I77" s="50"/>
      <c r="J77" s="50"/>
      <c r="K77" s="50"/>
      <c r="L77" s="50"/>
      <c r="M77" s="50"/>
      <c r="N77" s="50"/>
      <c r="O77" s="50"/>
      <c r="P77" s="50"/>
      <c r="Q77" s="50"/>
      <c r="R77" s="50"/>
      <c r="S77" s="210"/>
      <c r="T77" s="210"/>
      <c r="U77" s="209" t="s">
        <v>1223</v>
      </c>
      <c r="V77" s="210"/>
      <c r="W77" s="210"/>
      <c r="Y77" s="49"/>
      <c r="Z77" s="49"/>
      <c r="AA77" s="49"/>
      <c r="AB77" s="49"/>
      <c r="AC77" s="49"/>
      <c r="AD77" s="49"/>
      <c r="AE77" s="49"/>
      <c r="AF77" s="50"/>
      <c r="AG77" s="50"/>
      <c r="AH77" s="50"/>
      <c r="AI77" s="50"/>
      <c r="AJ77" s="50"/>
      <c r="AK77" s="50"/>
      <c r="AL77" s="50"/>
      <c r="AM77" s="50"/>
      <c r="AN77" s="50"/>
      <c r="AO77" s="50"/>
      <c r="AP77" s="210"/>
      <c r="AQ77" s="210"/>
      <c r="AR77" s="209" t="s">
        <v>1223</v>
      </c>
      <c r="AS77" s="210"/>
      <c r="AT77" s="210"/>
    </row>
    <row r="78" s="205" customFormat="1" ht="17" customHeight="1" spans="2:46">
      <c r="B78" s="212"/>
      <c r="C78" s="212"/>
      <c r="D78" s="212"/>
      <c r="E78" s="212"/>
      <c r="F78" s="212"/>
      <c r="G78" s="212"/>
      <c r="H78" s="212"/>
      <c r="I78" s="213"/>
      <c r="J78" s="213"/>
      <c r="K78" s="213"/>
      <c r="L78" s="213"/>
      <c r="M78" s="213"/>
      <c r="N78" s="213"/>
      <c r="O78" s="213"/>
      <c r="P78" s="213"/>
      <c r="Q78" s="213"/>
      <c r="R78" s="213"/>
      <c r="S78" s="211"/>
      <c r="T78" s="211"/>
      <c r="U78" s="209" t="s">
        <v>1223</v>
      </c>
      <c r="V78" s="214"/>
      <c r="W78" s="214"/>
      <c r="Y78" s="212"/>
      <c r="Z78" s="212"/>
      <c r="AA78" s="212"/>
      <c r="AB78" s="212"/>
      <c r="AC78" s="212"/>
      <c r="AD78" s="212"/>
      <c r="AE78" s="212"/>
      <c r="AF78" s="213"/>
      <c r="AG78" s="213"/>
      <c r="AH78" s="213"/>
      <c r="AI78" s="213"/>
      <c r="AJ78" s="213"/>
      <c r="AK78" s="213"/>
      <c r="AL78" s="213"/>
      <c r="AM78" s="213"/>
      <c r="AN78" s="213"/>
      <c r="AO78" s="213"/>
      <c r="AP78" s="211"/>
      <c r="AQ78" s="211"/>
      <c r="AR78" s="209" t="s">
        <v>1223</v>
      </c>
      <c r="AS78" s="214"/>
      <c r="AT78" s="214"/>
    </row>
    <row r="79" s="205" customFormat="1" ht="17" customHeight="1" spans="2:46">
      <c r="B79" s="49"/>
      <c r="C79" s="49"/>
      <c r="D79" s="49"/>
      <c r="E79" s="49"/>
      <c r="F79" s="49"/>
      <c r="G79" s="49"/>
      <c r="H79" s="49"/>
      <c r="I79" s="50"/>
      <c r="J79" s="50"/>
      <c r="K79" s="50"/>
      <c r="L79" s="50"/>
      <c r="M79" s="50"/>
      <c r="N79" s="50"/>
      <c r="O79" s="50"/>
      <c r="P79" s="50"/>
      <c r="Q79" s="50"/>
      <c r="R79" s="50"/>
      <c r="S79" s="210"/>
      <c r="T79" s="210"/>
      <c r="U79" s="209" t="s">
        <v>1223</v>
      </c>
      <c r="V79" s="210"/>
      <c r="W79" s="210"/>
      <c r="Y79" s="49"/>
      <c r="Z79" s="49"/>
      <c r="AA79" s="49"/>
      <c r="AB79" s="49"/>
      <c r="AC79" s="49"/>
      <c r="AD79" s="49"/>
      <c r="AE79" s="49"/>
      <c r="AF79" s="50"/>
      <c r="AG79" s="50"/>
      <c r="AH79" s="50"/>
      <c r="AI79" s="50"/>
      <c r="AJ79" s="50"/>
      <c r="AK79" s="50"/>
      <c r="AL79" s="50"/>
      <c r="AM79" s="50"/>
      <c r="AN79" s="50"/>
      <c r="AO79" s="50"/>
      <c r="AP79" s="210"/>
      <c r="AQ79" s="210"/>
      <c r="AR79" s="209" t="s">
        <v>1223</v>
      </c>
      <c r="AS79" s="210"/>
      <c r="AT79" s="210"/>
    </row>
    <row r="80" s="205" customFormat="1" ht="17" customHeight="1" spans="2:46">
      <c r="B80" s="55"/>
      <c r="C80" s="55"/>
      <c r="D80" s="55"/>
      <c r="E80" s="55"/>
      <c r="F80" s="55"/>
      <c r="G80" s="55"/>
      <c r="H80" s="55"/>
      <c r="I80" s="56"/>
      <c r="J80" s="56"/>
      <c r="K80" s="56"/>
      <c r="L80" s="56"/>
      <c r="M80" s="56"/>
      <c r="N80" s="56"/>
      <c r="O80" s="56"/>
      <c r="P80" s="56"/>
      <c r="Q80" s="56"/>
      <c r="R80" s="56"/>
      <c r="S80" s="211"/>
      <c r="T80" s="211"/>
      <c r="U80" s="209" t="s">
        <v>1223</v>
      </c>
      <c r="V80" s="211"/>
      <c r="W80" s="211"/>
      <c r="Y80" s="55"/>
      <c r="Z80" s="55"/>
      <c r="AA80" s="55"/>
      <c r="AB80" s="55"/>
      <c r="AC80" s="55"/>
      <c r="AD80" s="55"/>
      <c r="AE80" s="55"/>
      <c r="AF80" s="56"/>
      <c r="AG80" s="56"/>
      <c r="AH80" s="56"/>
      <c r="AI80" s="56"/>
      <c r="AJ80" s="56"/>
      <c r="AK80" s="56"/>
      <c r="AL80" s="56"/>
      <c r="AM80" s="56"/>
      <c r="AN80" s="56"/>
      <c r="AO80" s="56"/>
      <c r="AP80" s="211"/>
      <c r="AQ80" s="211"/>
      <c r="AR80" s="209" t="s">
        <v>1223</v>
      </c>
      <c r="AS80" s="211"/>
      <c r="AT80" s="211"/>
    </row>
    <row r="81" s="205" customFormat="1" ht="17" customHeight="1" spans="2:46">
      <c r="B81" s="49"/>
      <c r="C81" s="49"/>
      <c r="D81" s="49"/>
      <c r="E81" s="49"/>
      <c r="F81" s="49"/>
      <c r="G81" s="49"/>
      <c r="H81" s="49"/>
      <c r="I81" s="50"/>
      <c r="J81" s="50"/>
      <c r="K81" s="50"/>
      <c r="L81" s="50"/>
      <c r="M81" s="50"/>
      <c r="N81" s="50"/>
      <c r="O81" s="50"/>
      <c r="P81" s="50"/>
      <c r="Q81" s="50"/>
      <c r="R81" s="50"/>
      <c r="S81" s="210"/>
      <c r="T81" s="210"/>
      <c r="U81" s="209" t="s">
        <v>1223</v>
      </c>
      <c r="V81" s="210"/>
      <c r="W81" s="210"/>
      <c r="Y81" s="49"/>
      <c r="Z81" s="49"/>
      <c r="AA81" s="49"/>
      <c r="AB81" s="49"/>
      <c r="AC81" s="49"/>
      <c r="AD81" s="49"/>
      <c r="AE81" s="49"/>
      <c r="AF81" s="50"/>
      <c r="AG81" s="50"/>
      <c r="AH81" s="50"/>
      <c r="AI81" s="50"/>
      <c r="AJ81" s="50"/>
      <c r="AK81" s="50"/>
      <c r="AL81" s="50"/>
      <c r="AM81" s="50"/>
      <c r="AN81" s="50"/>
      <c r="AO81" s="50"/>
      <c r="AP81" s="210"/>
      <c r="AQ81" s="210"/>
      <c r="AR81" s="209" t="s">
        <v>1223</v>
      </c>
      <c r="AS81" s="210"/>
      <c r="AT81" s="210"/>
    </row>
    <row r="82" s="205" customFormat="1" ht="17" customHeight="1" spans="2:46">
      <c r="B82" s="55"/>
      <c r="C82" s="55"/>
      <c r="D82" s="55"/>
      <c r="E82" s="55"/>
      <c r="F82" s="55"/>
      <c r="G82" s="55"/>
      <c r="H82" s="55"/>
      <c r="I82" s="56"/>
      <c r="J82" s="56"/>
      <c r="K82" s="56"/>
      <c r="L82" s="56"/>
      <c r="M82" s="56"/>
      <c r="N82" s="56"/>
      <c r="O82" s="56"/>
      <c r="P82" s="56"/>
      <c r="Q82" s="56"/>
      <c r="R82" s="56"/>
      <c r="S82" s="211"/>
      <c r="T82" s="211"/>
      <c r="U82" s="209" t="s">
        <v>1223</v>
      </c>
      <c r="V82" s="211"/>
      <c r="W82" s="211"/>
      <c r="Y82" s="55"/>
      <c r="Z82" s="55"/>
      <c r="AA82" s="55"/>
      <c r="AB82" s="55"/>
      <c r="AC82" s="55"/>
      <c r="AD82" s="55"/>
      <c r="AE82" s="55"/>
      <c r="AF82" s="56"/>
      <c r="AG82" s="56"/>
      <c r="AH82" s="56"/>
      <c r="AI82" s="56"/>
      <c r="AJ82" s="56"/>
      <c r="AK82" s="56"/>
      <c r="AL82" s="56"/>
      <c r="AM82" s="56"/>
      <c r="AN82" s="56"/>
      <c r="AO82" s="56"/>
      <c r="AP82" s="211"/>
      <c r="AQ82" s="211"/>
      <c r="AR82" s="209" t="s">
        <v>1223</v>
      </c>
      <c r="AS82" s="211"/>
      <c r="AT82" s="211"/>
    </row>
    <row r="83" ht="8" customHeight="1"/>
    <row r="84" ht="17" customHeight="1" spans="2:46">
      <c r="B84" s="217" t="s">
        <v>1227</v>
      </c>
      <c r="C84" s="217"/>
      <c r="D84" s="217"/>
      <c r="E84" s="217"/>
      <c r="F84" s="217"/>
      <c r="G84" s="217"/>
      <c r="H84" s="217"/>
      <c r="I84" s="217"/>
      <c r="J84" s="210">
        <v>15</v>
      </c>
      <c r="K84" s="210"/>
      <c r="L84" s="215"/>
      <c r="M84" s="218" t="s">
        <v>1228</v>
      </c>
      <c r="N84" s="219"/>
      <c r="O84" s="219"/>
      <c r="P84" s="219"/>
      <c r="Q84" s="219"/>
      <c r="R84" s="219"/>
      <c r="S84" s="219"/>
      <c r="T84" s="220"/>
      <c r="U84" s="221">
        <f>SUM(DB!C2:C55)</f>
        <v>0</v>
      </c>
      <c r="V84" s="222"/>
      <c r="W84" s="223"/>
      <c r="X84" s="215"/>
      <c r="Y84" s="217" t="s">
        <v>1227</v>
      </c>
      <c r="Z84" s="217"/>
      <c r="AA84" s="217"/>
      <c r="AB84" s="217"/>
      <c r="AC84" s="217"/>
      <c r="AD84" s="217"/>
      <c r="AE84" s="217"/>
      <c r="AF84" s="217"/>
      <c r="AG84" s="210">
        <v>15</v>
      </c>
      <c r="AH84" s="210"/>
      <c r="AI84" s="215"/>
      <c r="AJ84" s="218" t="s">
        <v>1228</v>
      </c>
      <c r="AK84" s="219"/>
      <c r="AL84" s="219"/>
      <c r="AM84" s="219"/>
      <c r="AN84" s="219"/>
      <c r="AO84" s="219"/>
      <c r="AP84" s="219"/>
      <c r="AQ84" s="220"/>
      <c r="AR84" s="221">
        <f>SUM(DB!D2:D55)</f>
        <v>0</v>
      </c>
      <c r="AS84" s="222"/>
      <c r="AT84" s="223"/>
    </row>
    <row r="85" ht="17" customHeight="1"/>
    <row r="86" ht="17" customHeight="1" spans="2:46">
      <c r="B86" s="224" t="s">
        <v>1229</v>
      </c>
      <c r="C86" s="224"/>
      <c r="D86" s="224"/>
      <c r="E86" s="224"/>
      <c r="F86" s="224"/>
      <c r="G86" s="224"/>
      <c r="H86" s="224"/>
      <c r="I86" s="224"/>
      <c r="J86" s="224"/>
      <c r="K86" s="224"/>
      <c r="L86" s="224"/>
      <c r="M86" s="224"/>
      <c r="N86" s="224"/>
      <c r="O86" s="224"/>
      <c r="P86" s="224"/>
      <c r="Q86" s="224"/>
      <c r="R86" s="224"/>
      <c r="S86" s="224"/>
      <c r="T86" s="224"/>
      <c r="U86" s="224"/>
      <c r="V86" s="224"/>
      <c r="W86" s="224"/>
      <c r="Y86" s="224" t="s">
        <v>1230</v>
      </c>
      <c r="Z86" s="224"/>
      <c r="AA86" s="224"/>
      <c r="AB86" s="224"/>
      <c r="AC86" s="224"/>
      <c r="AD86" s="224"/>
      <c r="AE86" s="224"/>
      <c r="AF86" s="224"/>
      <c r="AG86" s="224"/>
      <c r="AH86" s="224"/>
      <c r="AI86" s="224"/>
      <c r="AJ86" s="224"/>
      <c r="AK86" s="224"/>
      <c r="AL86" s="224"/>
      <c r="AM86" s="224"/>
      <c r="AN86" s="224"/>
      <c r="AO86" s="224"/>
      <c r="AP86" s="224"/>
      <c r="AQ86" s="224"/>
      <c r="AR86" s="224"/>
      <c r="AS86" s="224"/>
      <c r="AT86" s="224"/>
    </row>
    <row r="87" s="205" customFormat="1" ht="8" customHeight="1"/>
    <row r="88" ht="17" customHeight="1" spans="2:46">
      <c r="B88" s="52"/>
      <c r="C88" s="53"/>
      <c r="D88" s="53"/>
      <c r="E88" s="53"/>
      <c r="F88" s="53"/>
      <c r="G88" s="53"/>
      <c r="H88" s="53"/>
      <c r="I88" s="53"/>
      <c r="J88" s="53"/>
      <c r="K88" s="53"/>
      <c r="L88" s="53"/>
      <c r="M88" s="53"/>
      <c r="N88" s="53"/>
      <c r="O88" s="53"/>
      <c r="P88" s="53"/>
      <c r="Q88" s="53"/>
      <c r="R88" s="53"/>
      <c r="S88" s="53"/>
      <c r="T88" s="53"/>
      <c r="U88" s="53"/>
      <c r="V88" s="53"/>
      <c r="W88" s="54"/>
      <c r="Y88" s="52"/>
      <c r="Z88" s="53"/>
      <c r="AA88" s="53"/>
      <c r="AB88" s="53"/>
      <c r="AC88" s="53"/>
      <c r="AD88" s="53"/>
      <c r="AE88" s="53"/>
      <c r="AF88" s="53"/>
      <c r="AG88" s="53"/>
      <c r="AH88" s="53"/>
      <c r="AI88" s="53"/>
      <c r="AJ88" s="53"/>
      <c r="AK88" s="53"/>
      <c r="AL88" s="53"/>
      <c r="AM88" s="53"/>
      <c r="AN88" s="53"/>
      <c r="AO88" s="53"/>
      <c r="AP88" s="53"/>
      <c r="AQ88" s="53"/>
      <c r="AR88" s="53"/>
      <c r="AS88" s="53"/>
      <c r="AT88" s="54"/>
    </row>
    <row r="89" ht="17" customHeight="1" spans="2:46">
      <c r="B89" s="57"/>
      <c r="C89" s="58"/>
      <c r="D89" s="58"/>
      <c r="E89" s="58"/>
      <c r="F89" s="58"/>
      <c r="G89" s="58"/>
      <c r="H89" s="58"/>
      <c r="I89" s="58"/>
      <c r="J89" s="58"/>
      <c r="K89" s="58"/>
      <c r="L89" s="58"/>
      <c r="M89" s="58"/>
      <c r="N89" s="58"/>
      <c r="O89" s="58"/>
      <c r="P89" s="58"/>
      <c r="Q89" s="58"/>
      <c r="R89" s="58"/>
      <c r="S89" s="58"/>
      <c r="T89" s="58"/>
      <c r="U89" s="58"/>
      <c r="V89" s="58"/>
      <c r="W89" s="59"/>
      <c r="Y89" s="57"/>
      <c r="Z89" s="58"/>
      <c r="AA89" s="58"/>
      <c r="AB89" s="58"/>
      <c r="AC89" s="58"/>
      <c r="AD89" s="58"/>
      <c r="AE89" s="58"/>
      <c r="AF89" s="58"/>
      <c r="AG89" s="58"/>
      <c r="AH89" s="58"/>
      <c r="AI89" s="58"/>
      <c r="AJ89" s="58"/>
      <c r="AK89" s="58"/>
      <c r="AL89" s="58"/>
      <c r="AM89" s="58"/>
      <c r="AN89" s="58"/>
      <c r="AO89" s="58"/>
      <c r="AP89" s="58"/>
      <c r="AQ89" s="58"/>
      <c r="AR89" s="58"/>
      <c r="AS89" s="58"/>
      <c r="AT89" s="59"/>
    </row>
    <row r="90" ht="17" customHeight="1" spans="2:46">
      <c r="B90" s="52"/>
      <c r="C90" s="53"/>
      <c r="D90" s="53"/>
      <c r="E90" s="53"/>
      <c r="F90" s="53"/>
      <c r="G90" s="53"/>
      <c r="H90" s="53"/>
      <c r="I90" s="53"/>
      <c r="J90" s="53"/>
      <c r="K90" s="53"/>
      <c r="L90" s="53"/>
      <c r="M90" s="53"/>
      <c r="N90" s="53"/>
      <c r="O90" s="53"/>
      <c r="P90" s="53"/>
      <c r="Q90" s="53"/>
      <c r="R90" s="53"/>
      <c r="S90" s="53"/>
      <c r="T90" s="53"/>
      <c r="U90" s="53"/>
      <c r="V90" s="53"/>
      <c r="W90" s="54"/>
      <c r="Y90" s="52"/>
      <c r="Z90" s="53"/>
      <c r="AA90" s="53"/>
      <c r="AB90" s="53"/>
      <c r="AC90" s="53"/>
      <c r="AD90" s="53"/>
      <c r="AE90" s="53"/>
      <c r="AF90" s="53"/>
      <c r="AG90" s="53"/>
      <c r="AH90" s="53"/>
      <c r="AI90" s="53"/>
      <c r="AJ90" s="53"/>
      <c r="AK90" s="53"/>
      <c r="AL90" s="53"/>
      <c r="AM90" s="53"/>
      <c r="AN90" s="53"/>
      <c r="AO90" s="53"/>
      <c r="AP90" s="53"/>
      <c r="AQ90" s="53"/>
      <c r="AR90" s="53"/>
      <c r="AS90" s="53"/>
      <c r="AT90" s="54"/>
    </row>
    <row r="91" ht="17" customHeight="1" spans="2:46">
      <c r="B91" s="57"/>
      <c r="C91" s="58"/>
      <c r="D91" s="58"/>
      <c r="E91" s="58"/>
      <c r="F91" s="58"/>
      <c r="G91" s="58"/>
      <c r="H91" s="58"/>
      <c r="I91" s="58"/>
      <c r="J91" s="58"/>
      <c r="K91" s="58"/>
      <c r="L91" s="58"/>
      <c r="M91" s="58"/>
      <c r="N91" s="58"/>
      <c r="O91" s="58"/>
      <c r="P91" s="58"/>
      <c r="Q91" s="58"/>
      <c r="R91" s="58"/>
      <c r="S91" s="58"/>
      <c r="T91" s="58"/>
      <c r="U91" s="58"/>
      <c r="V91" s="58"/>
      <c r="W91" s="59"/>
      <c r="Y91" s="57"/>
      <c r="Z91" s="58"/>
      <c r="AA91" s="58"/>
      <c r="AB91" s="58"/>
      <c r="AC91" s="58"/>
      <c r="AD91" s="58"/>
      <c r="AE91" s="58"/>
      <c r="AF91" s="58"/>
      <c r="AG91" s="58"/>
      <c r="AH91" s="58"/>
      <c r="AI91" s="58"/>
      <c r="AJ91" s="58"/>
      <c r="AK91" s="58"/>
      <c r="AL91" s="58"/>
      <c r="AM91" s="58"/>
      <c r="AN91" s="58"/>
      <c r="AO91" s="58"/>
      <c r="AP91" s="58"/>
      <c r="AQ91" s="58"/>
      <c r="AR91" s="58"/>
      <c r="AS91" s="58"/>
      <c r="AT91" s="59"/>
    </row>
    <row r="92" ht="17" customHeight="1" spans="2:46">
      <c r="B92" s="52"/>
      <c r="C92" s="53"/>
      <c r="D92" s="53"/>
      <c r="E92" s="53"/>
      <c r="F92" s="53"/>
      <c r="G92" s="53"/>
      <c r="H92" s="53"/>
      <c r="I92" s="53"/>
      <c r="J92" s="53"/>
      <c r="K92" s="53"/>
      <c r="L92" s="53"/>
      <c r="M92" s="53"/>
      <c r="N92" s="53"/>
      <c r="O92" s="53"/>
      <c r="P92" s="53"/>
      <c r="Q92" s="53"/>
      <c r="R92" s="53"/>
      <c r="S92" s="53"/>
      <c r="T92" s="53"/>
      <c r="U92" s="53"/>
      <c r="V92" s="53"/>
      <c r="W92" s="54"/>
      <c r="Y92" s="52"/>
      <c r="Z92" s="53"/>
      <c r="AA92" s="53"/>
      <c r="AB92" s="53"/>
      <c r="AC92" s="53"/>
      <c r="AD92" s="53"/>
      <c r="AE92" s="53"/>
      <c r="AF92" s="53"/>
      <c r="AG92" s="53"/>
      <c r="AH92" s="53"/>
      <c r="AI92" s="53"/>
      <c r="AJ92" s="53"/>
      <c r="AK92" s="53"/>
      <c r="AL92" s="53"/>
      <c r="AM92" s="53"/>
      <c r="AN92" s="53"/>
      <c r="AO92" s="53"/>
      <c r="AP92" s="53"/>
      <c r="AQ92" s="53"/>
      <c r="AR92" s="53"/>
      <c r="AS92" s="53"/>
      <c r="AT92" s="54"/>
    </row>
    <row r="93" ht="17" customHeight="1" spans="2:46">
      <c r="B93" s="57"/>
      <c r="C93" s="58"/>
      <c r="D93" s="58"/>
      <c r="E93" s="58"/>
      <c r="F93" s="58"/>
      <c r="G93" s="58"/>
      <c r="H93" s="58"/>
      <c r="I93" s="58"/>
      <c r="J93" s="58"/>
      <c r="K93" s="58"/>
      <c r="L93" s="58"/>
      <c r="M93" s="58"/>
      <c r="N93" s="58"/>
      <c r="O93" s="58"/>
      <c r="P93" s="58"/>
      <c r="Q93" s="58"/>
      <c r="R93" s="58"/>
      <c r="S93" s="58"/>
      <c r="T93" s="58"/>
      <c r="U93" s="58"/>
      <c r="V93" s="58"/>
      <c r="W93" s="59"/>
      <c r="Y93" s="57"/>
      <c r="Z93" s="58"/>
      <c r="AA93" s="58"/>
      <c r="AB93" s="58"/>
      <c r="AC93" s="58"/>
      <c r="AD93" s="58"/>
      <c r="AE93" s="58"/>
      <c r="AF93" s="58"/>
      <c r="AG93" s="58"/>
      <c r="AH93" s="58"/>
      <c r="AI93" s="58"/>
      <c r="AJ93" s="58"/>
      <c r="AK93" s="58"/>
      <c r="AL93" s="58"/>
      <c r="AM93" s="58"/>
      <c r="AN93" s="58"/>
      <c r="AO93" s="58"/>
      <c r="AP93" s="58"/>
      <c r="AQ93" s="58"/>
      <c r="AR93" s="58"/>
      <c r="AS93" s="58"/>
      <c r="AT93" s="59"/>
    </row>
    <row r="94" ht="17" customHeight="1" spans="2:46">
      <c r="B94" s="52"/>
      <c r="C94" s="53"/>
      <c r="D94" s="53"/>
      <c r="E94" s="53"/>
      <c r="F94" s="53"/>
      <c r="G94" s="53"/>
      <c r="H94" s="53"/>
      <c r="I94" s="53"/>
      <c r="J94" s="53"/>
      <c r="K94" s="53"/>
      <c r="L94" s="53"/>
      <c r="M94" s="53"/>
      <c r="N94" s="53"/>
      <c r="O94" s="53"/>
      <c r="P94" s="53"/>
      <c r="Q94" s="53"/>
      <c r="R94" s="53"/>
      <c r="S94" s="53"/>
      <c r="T94" s="53"/>
      <c r="U94" s="53"/>
      <c r="V94" s="53"/>
      <c r="W94" s="54"/>
      <c r="Y94" s="52"/>
      <c r="Z94" s="53"/>
      <c r="AA94" s="53"/>
      <c r="AB94" s="53"/>
      <c r="AC94" s="53"/>
      <c r="AD94" s="53"/>
      <c r="AE94" s="53"/>
      <c r="AF94" s="53"/>
      <c r="AG94" s="53"/>
      <c r="AH94" s="53"/>
      <c r="AI94" s="53"/>
      <c r="AJ94" s="53"/>
      <c r="AK94" s="53"/>
      <c r="AL94" s="53"/>
      <c r="AM94" s="53"/>
      <c r="AN94" s="53"/>
      <c r="AO94" s="53"/>
      <c r="AP94" s="53"/>
      <c r="AQ94" s="53"/>
      <c r="AR94" s="53"/>
      <c r="AS94" s="53"/>
      <c r="AT94" s="54"/>
    </row>
    <row r="95" ht="17" customHeight="1" spans="2:46">
      <c r="B95" s="57"/>
      <c r="C95" s="58"/>
      <c r="D95" s="58"/>
      <c r="E95" s="58"/>
      <c r="F95" s="58"/>
      <c r="G95" s="58"/>
      <c r="H95" s="58"/>
      <c r="I95" s="58"/>
      <c r="J95" s="58"/>
      <c r="K95" s="58"/>
      <c r="L95" s="58"/>
      <c r="M95" s="58"/>
      <c r="N95" s="58"/>
      <c r="O95" s="58"/>
      <c r="P95" s="58"/>
      <c r="Q95" s="58"/>
      <c r="R95" s="58"/>
      <c r="S95" s="58"/>
      <c r="T95" s="58"/>
      <c r="U95" s="58"/>
      <c r="V95" s="58"/>
      <c r="W95" s="59"/>
      <c r="Y95" s="57"/>
      <c r="Z95" s="58"/>
      <c r="AA95" s="58"/>
      <c r="AB95" s="58"/>
      <c r="AC95" s="58"/>
      <c r="AD95" s="58"/>
      <c r="AE95" s="58"/>
      <c r="AF95" s="58"/>
      <c r="AG95" s="58"/>
      <c r="AH95" s="58"/>
      <c r="AI95" s="58"/>
      <c r="AJ95" s="58"/>
      <c r="AK95" s="58"/>
      <c r="AL95" s="58"/>
      <c r="AM95" s="58"/>
      <c r="AN95" s="58"/>
      <c r="AO95" s="58"/>
      <c r="AP95" s="58"/>
      <c r="AQ95" s="58"/>
      <c r="AR95" s="58"/>
      <c r="AS95" s="58"/>
      <c r="AT95" s="59"/>
    </row>
    <row r="96" ht="17" customHeight="1" spans="2:46">
      <c r="B96" s="52"/>
      <c r="C96" s="53"/>
      <c r="D96" s="53"/>
      <c r="E96" s="53"/>
      <c r="F96" s="53"/>
      <c r="G96" s="53"/>
      <c r="H96" s="53"/>
      <c r="I96" s="53"/>
      <c r="J96" s="53"/>
      <c r="K96" s="53"/>
      <c r="L96" s="53"/>
      <c r="M96" s="53"/>
      <c r="N96" s="53"/>
      <c r="O96" s="53"/>
      <c r="P96" s="53"/>
      <c r="Q96" s="53"/>
      <c r="R96" s="53"/>
      <c r="S96" s="53"/>
      <c r="T96" s="53"/>
      <c r="U96" s="53"/>
      <c r="V96" s="53"/>
      <c r="W96" s="54"/>
      <c r="Y96" s="52"/>
      <c r="Z96" s="53"/>
      <c r="AA96" s="53"/>
      <c r="AB96" s="53"/>
      <c r="AC96" s="53"/>
      <c r="AD96" s="53"/>
      <c r="AE96" s="53"/>
      <c r="AF96" s="53"/>
      <c r="AG96" s="53"/>
      <c r="AH96" s="53"/>
      <c r="AI96" s="53"/>
      <c r="AJ96" s="53"/>
      <c r="AK96" s="53"/>
      <c r="AL96" s="53"/>
      <c r="AM96" s="53"/>
      <c r="AN96" s="53"/>
      <c r="AO96" s="53"/>
      <c r="AP96" s="53"/>
      <c r="AQ96" s="53"/>
      <c r="AR96" s="53"/>
      <c r="AS96" s="53"/>
      <c r="AT96" s="54"/>
    </row>
    <row r="97" ht="17" customHeight="1" spans="1:47">
      <c r="B97" s="57"/>
      <c r="C97" s="58"/>
      <c r="D97" s="58"/>
      <c r="E97" s="58"/>
      <c r="F97" s="58"/>
      <c r="G97" s="58"/>
      <c r="H97" s="58"/>
      <c r="I97" s="58"/>
      <c r="J97" s="58"/>
      <c r="K97" s="58"/>
      <c r="L97" s="58"/>
      <c r="M97" s="58"/>
      <c r="N97" s="58"/>
      <c r="O97" s="58"/>
      <c r="P97" s="58"/>
      <c r="Q97" s="58"/>
      <c r="R97" s="58"/>
      <c r="S97" s="58"/>
      <c r="T97" s="58"/>
      <c r="U97" s="58"/>
      <c r="V97" s="58"/>
      <c r="W97" s="59"/>
      <c r="Y97" s="57"/>
      <c r="Z97" s="58"/>
      <c r="AA97" s="58"/>
      <c r="AB97" s="58"/>
      <c r="AC97" s="58"/>
      <c r="AD97" s="58"/>
      <c r="AE97" s="58"/>
      <c r="AF97" s="58"/>
      <c r="AG97" s="58"/>
      <c r="AH97" s="58"/>
      <c r="AI97" s="58"/>
      <c r="AJ97" s="58"/>
      <c r="AK97" s="58"/>
      <c r="AL97" s="58"/>
      <c r="AM97" s="58"/>
      <c r="AN97" s="58"/>
      <c r="AO97" s="58"/>
      <c r="AP97" s="58"/>
      <c r="AQ97" s="58"/>
      <c r="AR97" s="58"/>
      <c r="AS97" s="58"/>
      <c r="AT97" s="59"/>
    </row>
    <row r="98" s="205" customFormat="1" ht="8" customHeight="1"/>
    <row r="99" ht="17" customHeight="1" spans="1:47">
      <c r="B99" s="52"/>
      <c r="C99" s="53"/>
      <c r="D99" s="53"/>
      <c r="E99" s="53"/>
      <c r="F99" s="53"/>
      <c r="G99" s="53"/>
      <c r="H99" s="53"/>
      <c r="I99" s="53"/>
      <c r="J99" s="53"/>
      <c r="K99" s="53"/>
      <c r="L99" s="53"/>
      <c r="M99" s="53"/>
      <c r="N99" s="53"/>
      <c r="O99" s="53"/>
      <c r="P99" s="53"/>
      <c r="Q99" s="53"/>
      <c r="R99" s="53"/>
      <c r="S99" s="53"/>
      <c r="T99" s="53"/>
      <c r="U99" s="53"/>
      <c r="V99" s="53"/>
      <c r="W99" s="54"/>
      <c r="Y99" s="52"/>
      <c r="Z99" s="53"/>
      <c r="AA99" s="53"/>
      <c r="AB99" s="53"/>
      <c r="AC99" s="53"/>
      <c r="AD99" s="53"/>
      <c r="AE99" s="53"/>
      <c r="AF99" s="53"/>
      <c r="AG99" s="53"/>
      <c r="AH99" s="53"/>
      <c r="AI99" s="53"/>
      <c r="AJ99" s="53"/>
      <c r="AK99" s="53"/>
      <c r="AL99" s="53"/>
      <c r="AM99" s="53"/>
      <c r="AN99" s="53"/>
      <c r="AO99" s="53"/>
      <c r="AP99" s="53"/>
      <c r="AQ99" s="53"/>
      <c r="AR99" s="53"/>
      <c r="AS99" s="53"/>
      <c r="AT99" s="54"/>
    </row>
    <row r="100" ht="17" customHeight="1" spans="1:47">
      <c r="B100" s="57"/>
      <c r="C100" s="58"/>
      <c r="D100" s="58"/>
      <c r="E100" s="58"/>
      <c r="F100" s="58"/>
      <c r="G100" s="58"/>
      <c r="H100" s="58"/>
      <c r="I100" s="58"/>
      <c r="J100" s="58"/>
      <c r="K100" s="58"/>
      <c r="L100" s="58"/>
      <c r="M100" s="58"/>
      <c r="N100" s="58"/>
      <c r="O100" s="58"/>
      <c r="P100" s="58"/>
      <c r="Q100" s="58"/>
      <c r="R100" s="58"/>
      <c r="S100" s="58"/>
      <c r="T100" s="58"/>
      <c r="U100" s="58"/>
      <c r="V100" s="58"/>
      <c r="W100" s="59"/>
      <c r="Y100" s="57"/>
      <c r="Z100" s="58"/>
      <c r="AA100" s="58"/>
      <c r="AB100" s="58"/>
      <c r="AC100" s="58"/>
      <c r="AD100" s="58"/>
      <c r="AE100" s="58"/>
      <c r="AF100" s="58"/>
      <c r="AG100" s="58"/>
      <c r="AH100" s="58"/>
      <c r="AI100" s="58"/>
      <c r="AJ100" s="58"/>
      <c r="AK100" s="58"/>
      <c r="AL100" s="58"/>
      <c r="AM100" s="58"/>
      <c r="AN100" s="58"/>
      <c r="AO100" s="58"/>
      <c r="AP100" s="58"/>
      <c r="AQ100" s="58"/>
      <c r="AR100" s="58"/>
      <c r="AS100" s="58"/>
      <c r="AT100" s="59"/>
    </row>
    <row r="101" ht="17" customHeight="1" spans="1:47">
      <c r="B101" s="52"/>
      <c r="C101" s="53"/>
      <c r="D101" s="53"/>
      <c r="E101" s="53"/>
      <c r="F101" s="53"/>
      <c r="G101" s="53"/>
      <c r="H101" s="53"/>
      <c r="I101" s="53"/>
      <c r="J101" s="53"/>
      <c r="K101" s="53"/>
      <c r="L101" s="53"/>
      <c r="M101" s="53"/>
      <c r="N101" s="53"/>
      <c r="O101" s="53"/>
      <c r="P101" s="53"/>
      <c r="Q101" s="53"/>
      <c r="R101" s="53"/>
      <c r="S101" s="53"/>
      <c r="T101" s="53"/>
      <c r="U101" s="53"/>
      <c r="V101" s="53"/>
      <c r="W101" s="54"/>
      <c r="Y101" s="52"/>
      <c r="Z101" s="53"/>
      <c r="AA101" s="53"/>
      <c r="AB101" s="53"/>
      <c r="AC101" s="53"/>
      <c r="AD101" s="53"/>
      <c r="AE101" s="53"/>
      <c r="AF101" s="53"/>
      <c r="AG101" s="53"/>
      <c r="AH101" s="53"/>
      <c r="AI101" s="53"/>
      <c r="AJ101" s="53"/>
      <c r="AK101" s="53"/>
      <c r="AL101" s="53"/>
      <c r="AM101" s="53"/>
      <c r="AN101" s="53"/>
      <c r="AO101" s="53"/>
      <c r="AP101" s="53"/>
      <c r="AQ101" s="53"/>
      <c r="AR101" s="53"/>
      <c r="AS101" s="53"/>
      <c r="AT101" s="54"/>
    </row>
    <row r="102" ht="17" customHeight="1" spans="1:47">
      <c r="B102" s="57"/>
      <c r="C102" s="58"/>
      <c r="D102" s="58"/>
      <c r="E102" s="58"/>
      <c r="F102" s="58"/>
      <c r="G102" s="58"/>
      <c r="H102" s="58"/>
      <c r="I102" s="58"/>
      <c r="J102" s="58"/>
      <c r="K102" s="58"/>
      <c r="L102" s="58"/>
      <c r="M102" s="58"/>
      <c r="N102" s="58"/>
      <c r="O102" s="58"/>
      <c r="P102" s="58"/>
      <c r="Q102" s="58"/>
      <c r="R102" s="58"/>
      <c r="S102" s="58"/>
      <c r="T102" s="58"/>
      <c r="U102" s="58"/>
      <c r="V102" s="58"/>
      <c r="W102" s="59"/>
      <c r="Y102" s="57"/>
      <c r="Z102" s="58"/>
      <c r="AA102" s="58"/>
      <c r="AB102" s="58"/>
      <c r="AC102" s="58"/>
      <c r="AD102" s="58"/>
      <c r="AE102" s="58"/>
      <c r="AF102" s="58"/>
      <c r="AG102" s="58"/>
      <c r="AH102" s="58"/>
      <c r="AI102" s="58"/>
      <c r="AJ102" s="58"/>
      <c r="AK102" s="58"/>
      <c r="AL102" s="58"/>
      <c r="AM102" s="58"/>
      <c r="AN102" s="58"/>
      <c r="AO102" s="58"/>
      <c r="AP102" s="58"/>
      <c r="AQ102" s="58"/>
      <c r="AR102" s="58"/>
      <c r="AS102" s="58"/>
      <c r="AT102" s="59"/>
    </row>
    <row r="103" ht="17" customHeight="1" spans="1:47">
      <c r="B103" s="52"/>
      <c r="C103" s="53"/>
      <c r="D103" s="53"/>
      <c r="E103" s="53"/>
      <c r="F103" s="53"/>
      <c r="G103" s="53"/>
      <c r="H103" s="53"/>
      <c r="I103" s="53"/>
      <c r="J103" s="53"/>
      <c r="K103" s="53"/>
      <c r="L103" s="53"/>
      <c r="M103" s="53"/>
      <c r="N103" s="53"/>
      <c r="O103" s="53"/>
      <c r="P103" s="53"/>
      <c r="Q103" s="53"/>
      <c r="R103" s="53"/>
      <c r="S103" s="53"/>
      <c r="T103" s="53"/>
      <c r="U103" s="53"/>
      <c r="V103" s="53"/>
      <c r="W103" s="54"/>
      <c r="Y103" s="52"/>
      <c r="Z103" s="53"/>
      <c r="AA103" s="53"/>
      <c r="AB103" s="53"/>
      <c r="AC103" s="53"/>
      <c r="AD103" s="53"/>
      <c r="AE103" s="53"/>
      <c r="AF103" s="53"/>
      <c r="AG103" s="53"/>
      <c r="AH103" s="53"/>
      <c r="AI103" s="53"/>
      <c r="AJ103" s="53"/>
      <c r="AK103" s="53"/>
      <c r="AL103" s="53"/>
      <c r="AM103" s="53"/>
      <c r="AN103" s="53"/>
      <c r="AO103" s="53"/>
      <c r="AP103" s="53"/>
      <c r="AQ103" s="53"/>
      <c r="AR103" s="53"/>
      <c r="AS103" s="53"/>
      <c r="AT103" s="54"/>
    </row>
    <row r="104" ht="17" customHeight="1" spans="1:47">
      <c r="B104" s="57"/>
      <c r="C104" s="58"/>
      <c r="D104" s="58"/>
      <c r="E104" s="58"/>
      <c r="F104" s="58"/>
      <c r="G104" s="58"/>
      <c r="H104" s="58"/>
      <c r="I104" s="58"/>
      <c r="J104" s="58"/>
      <c r="K104" s="58"/>
      <c r="L104" s="58"/>
      <c r="M104" s="58"/>
      <c r="N104" s="58"/>
      <c r="O104" s="58"/>
      <c r="P104" s="58"/>
      <c r="Q104" s="58"/>
      <c r="R104" s="58"/>
      <c r="S104" s="58"/>
      <c r="T104" s="58"/>
      <c r="U104" s="58"/>
      <c r="V104" s="58"/>
      <c r="W104" s="59"/>
      <c r="Y104" s="57"/>
      <c r="Z104" s="58"/>
      <c r="AA104" s="58"/>
      <c r="AB104" s="58"/>
      <c r="AC104" s="58"/>
      <c r="AD104" s="58"/>
      <c r="AE104" s="58"/>
      <c r="AF104" s="58"/>
      <c r="AG104" s="58"/>
      <c r="AH104" s="58"/>
      <c r="AI104" s="58"/>
      <c r="AJ104" s="58"/>
      <c r="AK104" s="58"/>
      <c r="AL104" s="58"/>
      <c r="AM104" s="58"/>
      <c r="AN104" s="58"/>
      <c r="AO104" s="58"/>
      <c r="AP104" s="58"/>
      <c r="AQ104" s="58"/>
      <c r="AR104" s="58"/>
      <c r="AS104" s="58"/>
      <c r="AT104" s="59"/>
    </row>
    <row r="105" ht="17" customHeight="1" spans="1:47">
      <c r="B105" s="52"/>
      <c r="C105" s="53"/>
      <c r="D105" s="53"/>
      <c r="E105" s="53"/>
      <c r="F105" s="53"/>
      <c r="G105" s="53"/>
      <c r="H105" s="53"/>
      <c r="I105" s="53"/>
      <c r="J105" s="53"/>
      <c r="K105" s="53"/>
      <c r="L105" s="53"/>
      <c r="M105" s="53"/>
      <c r="N105" s="53"/>
      <c r="O105" s="53"/>
      <c r="P105" s="53"/>
      <c r="Q105" s="53"/>
      <c r="R105" s="53"/>
      <c r="S105" s="53"/>
      <c r="T105" s="53"/>
      <c r="U105" s="53"/>
      <c r="V105" s="53"/>
      <c r="W105" s="54"/>
      <c r="Y105" s="52"/>
      <c r="Z105" s="53"/>
      <c r="AA105" s="53"/>
      <c r="AB105" s="53"/>
      <c r="AC105" s="53"/>
      <c r="AD105" s="53"/>
      <c r="AE105" s="53"/>
      <c r="AF105" s="53"/>
      <c r="AG105" s="53"/>
      <c r="AH105" s="53"/>
      <c r="AI105" s="53"/>
      <c r="AJ105" s="53"/>
      <c r="AK105" s="53"/>
      <c r="AL105" s="53"/>
      <c r="AM105" s="53"/>
      <c r="AN105" s="53"/>
      <c r="AO105" s="53"/>
      <c r="AP105" s="53"/>
      <c r="AQ105" s="53"/>
      <c r="AR105" s="53"/>
      <c r="AS105" s="53"/>
      <c r="AT105" s="54"/>
    </row>
    <row r="106" ht="17" customHeight="1" spans="1:47">
      <c r="B106" s="57"/>
      <c r="C106" s="58"/>
      <c r="D106" s="58"/>
      <c r="E106" s="58"/>
      <c r="F106" s="58"/>
      <c r="G106" s="58"/>
      <c r="H106" s="58"/>
      <c r="I106" s="58"/>
      <c r="J106" s="58"/>
      <c r="K106" s="58"/>
      <c r="L106" s="58"/>
      <c r="M106" s="58"/>
      <c r="N106" s="58"/>
      <c r="O106" s="58"/>
      <c r="P106" s="58"/>
      <c r="Q106" s="58"/>
      <c r="R106" s="58"/>
      <c r="S106" s="58"/>
      <c r="T106" s="58"/>
      <c r="U106" s="58"/>
      <c r="V106" s="58"/>
      <c r="W106" s="59"/>
      <c r="Y106" s="57"/>
      <c r="Z106" s="58"/>
      <c r="AA106" s="58"/>
      <c r="AB106" s="58"/>
      <c r="AC106" s="58"/>
      <c r="AD106" s="58"/>
      <c r="AE106" s="58"/>
      <c r="AF106" s="58"/>
      <c r="AG106" s="58"/>
      <c r="AH106" s="58"/>
      <c r="AI106" s="58"/>
      <c r="AJ106" s="58"/>
      <c r="AK106" s="58"/>
      <c r="AL106" s="58"/>
      <c r="AM106" s="58"/>
      <c r="AN106" s="58"/>
      <c r="AO106" s="58"/>
      <c r="AP106" s="58"/>
      <c r="AQ106" s="58"/>
      <c r="AR106" s="58"/>
      <c r="AS106" s="58"/>
      <c r="AT106" s="59"/>
    </row>
    <row r="107" ht="17" customHeight="1" spans="1:47">
      <c r="B107" s="52"/>
      <c r="C107" s="53"/>
      <c r="D107" s="53"/>
      <c r="E107" s="53"/>
      <c r="F107" s="53"/>
      <c r="G107" s="53"/>
      <c r="H107" s="53"/>
      <c r="I107" s="53"/>
      <c r="J107" s="53"/>
      <c r="K107" s="53"/>
      <c r="L107" s="53"/>
      <c r="M107" s="53"/>
      <c r="N107" s="53"/>
      <c r="O107" s="53"/>
      <c r="P107" s="53"/>
      <c r="Q107" s="53"/>
      <c r="R107" s="53"/>
      <c r="S107" s="53"/>
      <c r="T107" s="53"/>
      <c r="U107" s="53"/>
      <c r="V107" s="53"/>
      <c r="W107" s="54"/>
      <c r="Y107" s="52"/>
      <c r="Z107" s="53"/>
      <c r="AA107" s="53"/>
      <c r="AB107" s="53"/>
      <c r="AC107" s="53"/>
      <c r="AD107" s="53"/>
      <c r="AE107" s="53"/>
      <c r="AF107" s="53"/>
      <c r="AG107" s="53"/>
      <c r="AH107" s="53"/>
      <c r="AI107" s="53"/>
      <c r="AJ107" s="53"/>
      <c r="AK107" s="53"/>
      <c r="AL107" s="53"/>
      <c r="AM107" s="53"/>
      <c r="AN107" s="53"/>
      <c r="AO107" s="53"/>
      <c r="AP107" s="53"/>
      <c r="AQ107" s="53"/>
      <c r="AR107" s="53"/>
      <c r="AS107" s="53"/>
      <c r="AT107" s="54"/>
    </row>
    <row r="108" ht="17" customHeight="1" spans="1:47">
      <c r="B108" s="57"/>
      <c r="C108" s="58"/>
      <c r="D108" s="58"/>
      <c r="E108" s="58"/>
      <c r="F108" s="58"/>
      <c r="G108" s="58"/>
      <c r="H108" s="58"/>
      <c r="I108" s="58"/>
      <c r="J108" s="58"/>
      <c r="K108" s="58"/>
      <c r="L108" s="58"/>
      <c r="M108" s="58"/>
      <c r="N108" s="58"/>
      <c r="O108" s="58"/>
      <c r="P108" s="58"/>
      <c r="Q108" s="58"/>
      <c r="R108" s="58"/>
      <c r="S108" s="58"/>
      <c r="T108" s="58"/>
      <c r="U108" s="58"/>
      <c r="V108" s="58"/>
      <c r="W108" s="59"/>
      <c r="Y108" s="57"/>
      <c r="Z108" s="58"/>
      <c r="AA108" s="58"/>
      <c r="AB108" s="58"/>
      <c r="AC108" s="58"/>
      <c r="AD108" s="58"/>
      <c r="AE108" s="58"/>
      <c r="AF108" s="58"/>
      <c r="AG108" s="58"/>
      <c r="AH108" s="58"/>
      <c r="AI108" s="58"/>
      <c r="AJ108" s="58"/>
      <c r="AK108" s="58"/>
      <c r="AL108" s="58"/>
      <c r="AM108" s="58"/>
      <c r="AN108" s="58"/>
      <c r="AO108" s="58"/>
      <c r="AP108" s="58"/>
      <c r="AQ108" s="58"/>
      <c r="AR108" s="58"/>
      <c r="AS108" s="58"/>
      <c r="AT108" s="59"/>
    </row>
    <row r="109" ht="17" customHeight="1"/>
    <row r="110" ht="17" customHeight="1" spans="1:47">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c r="AH110" s="225"/>
      <c r="AI110" s="225"/>
      <c r="AJ110" s="225"/>
      <c r="AK110" s="225"/>
      <c r="AL110" s="225"/>
      <c r="AM110" s="225"/>
      <c r="AN110" s="225"/>
      <c r="AO110" s="225"/>
      <c r="AP110" s="225"/>
      <c r="AQ110" s="225"/>
      <c r="AR110" s="225"/>
      <c r="AS110" s="225"/>
      <c r="AT110" s="225"/>
      <c r="AU110" s="225"/>
    </row>
    <row r="111" ht="17" customHeight="1"/>
    <row r="112" ht="17" customHeight="1" spans="1:47">
      <c r="B112" s="226" t="s">
        <v>1231</v>
      </c>
      <c r="C112" s="226"/>
      <c r="D112" s="226"/>
      <c r="E112" s="226"/>
      <c r="F112" s="226"/>
      <c r="G112" s="226"/>
      <c r="H112" s="226"/>
      <c r="I112" s="226"/>
      <c r="J112" s="226"/>
      <c r="K112" s="226"/>
      <c r="L112" s="226"/>
      <c r="M112" s="226"/>
      <c r="N112" s="226"/>
      <c r="O112" s="226"/>
      <c r="P112" s="226"/>
      <c r="Q112" s="226"/>
      <c r="R112" s="226"/>
      <c r="S112" s="226"/>
      <c r="T112" s="226"/>
      <c r="U112" s="226"/>
      <c r="V112" s="226"/>
      <c r="W112" s="226"/>
      <c r="Y112" s="227" t="s">
        <v>1232</v>
      </c>
      <c r="Z112" s="227"/>
      <c r="AA112" s="227"/>
      <c r="AB112" s="227"/>
      <c r="AC112" s="227"/>
      <c r="AD112" s="227"/>
      <c r="AE112" s="227"/>
      <c r="AF112" s="227"/>
      <c r="AG112" s="228"/>
      <c r="AH112" s="226" t="s">
        <v>1233</v>
      </c>
      <c r="AI112" s="226"/>
      <c r="AJ112" s="226"/>
      <c r="AK112" s="226"/>
      <c r="AL112" s="226"/>
      <c r="AM112" s="226"/>
      <c r="AN112" s="226"/>
      <c r="AO112" s="226"/>
      <c r="AP112" s="226"/>
      <c r="AQ112" s="226"/>
      <c r="AR112" s="226"/>
      <c r="AS112" s="226"/>
      <c r="AT112" s="226"/>
    </row>
    <row r="113" ht="17" customHeight="1" spans="2:46">
      <c r="B113" s="228"/>
      <c r="C113" s="229" t="s">
        <v>1234</v>
      </c>
      <c r="D113" s="229"/>
      <c r="E113" s="229"/>
      <c r="F113" s="229"/>
      <c r="G113" s="229"/>
      <c r="H113" s="229"/>
      <c r="I113" s="229" t="s">
        <v>1235</v>
      </c>
      <c r="J113" s="229"/>
      <c r="K113" s="229"/>
      <c r="L113" s="229"/>
      <c r="M113" s="229"/>
      <c r="N113" s="229"/>
      <c r="O113" s="229"/>
      <c r="P113" s="229"/>
      <c r="Q113" s="229"/>
      <c r="R113" s="229"/>
      <c r="S113" s="229"/>
      <c r="T113" s="229"/>
      <c r="U113" s="229"/>
      <c r="V113" s="229" t="s">
        <v>1222</v>
      </c>
      <c r="W113" s="229"/>
      <c r="Y113" s="230" t="s">
        <v>1236</v>
      </c>
      <c r="Z113" s="230"/>
      <c r="AA113" s="229" t="s">
        <v>1222</v>
      </c>
      <c r="AB113" s="229"/>
      <c r="AC113" s="229"/>
      <c r="AD113" s="229"/>
      <c r="AE113" s="229"/>
      <c r="AF113" s="229"/>
      <c r="AG113" s="228"/>
      <c r="AH113" s="229" t="s">
        <v>1236</v>
      </c>
      <c r="AI113" s="229"/>
      <c r="AJ113" s="229" t="s">
        <v>1237</v>
      </c>
      <c r="AK113" s="229"/>
      <c r="AL113" s="229"/>
      <c r="AM113" s="229"/>
      <c r="AN113" s="229"/>
      <c r="AO113" s="229"/>
      <c r="AP113" s="229"/>
      <c r="AQ113" s="229"/>
      <c r="AR113" s="229"/>
      <c r="AS113" s="229"/>
      <c r="AT113" s="229"/>
    </row>
    <row r="114" ht="17" customHeight="1" spans="2:46">
      <c r="B114" s="231">
        <v>1</v>
      </c>
      <c r="C114" s="232"/>
      <c r="D114" s="233"/>
      <c r="E114" s="233"/>
      <c r="F114" s="233"/>
      <c r="G114" s="233"/>
      <c r="H114" s="234"/>
      <c r="I114" s="235"/>
      <c r="J114" s="235"/>
      <c r="K114" s="235"/>
      <c r="L114" s="235"/>
      <c r="M114" s="235"/>
      <c r="N114" s="235"/>
      <c r="O114" s="235"/>
      <c r="P114" s="235"/>
      <c r="Q114" s="235"/>
      <c r="R114" s="235"/>
      <c r="S114" s="235"/>
      <c r="T114" s="235"/>
      <c r="U114" s="235"/>
      <c r="V114" s="236"/>
      <c r="W114" s="236"/>
      <c r="Y114" s="237" t="s">
        <v>114</v>
      </c>
      <c r="Z114" s="237"/>
      <c r="AA114" s="236"/>
      <c r="AB114" s="236"/>
      <c r="AC114" s="236"/>
      <c r="AD114" s="236"/>
      <c r="AE114" s="236"/>
      <c r="AF114" s="236"/>
      <c r="AG114" s="228"/>
      <c r="AH114" s="237" t="s">
        <v>114</v>
      </c>
      <c r="AI114" s="237"/>
      <c r="AJ114" s="236"/>
      <c r="AK114" s="236"/>
      <c r="AL114" s="236"/>
      <c r="AM114" s="236"/>
      <c r="AN114" s="236"/>
      <c r="AO114" s="236"/>
      <c r="AP114" s="236"/>
      <c r="AQ114" s="236"/>
      <c r="AR114" s="236"/>
      <c r="AS114" s="236"/>
      <c r="AT114" s="236"/>
    </row>
    <row r="115" ht="17" customHeight="1" spans="2:46">
      <c r="B115" s="238">
        <v>2</v>
      </c>
      <c r="C115" s="239"/>
      <c r="D115" s="240"/>
      <c r="E115" s="240"/>
      <c r="F115" s="240"/>
      <c r="G115" s="240"/>
      <c r="H115" s="241"/>
      <c r="I115" s="242"/>
      <c r="J115" s="242"/>
      <c r="K115" s="242"/>
      <c r="L115" s="242"/>
      <c r="M115" s="242"/>
      <c r="N115" s="242"/>
      <c r="O115" s="242"/>
      <c r="P115" s="242"/>
      <c r="Q115" s="242"/>
      <c r="R115" s="242"/>
      <c r="S115" s="242"/>
      <c r="T115" s="242"/>
      <c r="U115" s="242"/>
      <c r="V115" s="243"/>
      <c r="W115" s="243"/>
      <c r="Y115" s="244" t="s">
        <v>120</v>
      </c>
      <c r="Z115" s="244"/>
      <c r="AA115" s="236"/>
      <c r="AB115" s="236"/>
      <c r="AC115" s="236"/>
      <c r="AD115" s="236"/>
      <c r="AE115" s="236"/>
      <c r="AF115" s="236"/>
      <c r="AG115" s="228"/>
      <c r="AH115" s="244" t="s">
        <v>120</v>
      </c>
      <c r="AI115" s="244"/>
      <c r="AJ115" s="236"/>
      <c r="AK115" s="236"/>
      <c r="AL115" s="236"/>
      <c r="AM115" s="236"/>
      <c r="AN115" s="236"/>
      <c r="AO115" s="236"/>
      <c r="AP115" s="236"/>
      <c r="AQ115" s="236"/>
      <c r="AR115" s="236"/>
      <c r="AS115" s="236"/>
      <c r="AT115" s="236"/>
    </row>
    <row r="116" ht="17" customHeight="1" spans="2:46">
      <c r="B116" s="231">
        <v>3</v>
      </c>
      <c r="C116" s="232"/>
      <c r="D116" s="233"/>
      <c r="E116" s="233"/>
      <c r="F116" s="233"/>
      <c r="G116" s="233"/>
      <c r="H116" s="234"/>
      <c r="I116" s="235"/>
      <c r="J116" s="235"/>
      <c r="K116" s="235"/>
      <c r="L116" s="235"/>
      <c r="M116" s="235"/>
      <c r="N116" s="235"/>
      <c r="O116" s="235"/>
      <c r="P116" s="235"/>
      <c r="Q116" s="235"/>
      <c r="R116" s="235"/>
      <c r="S116" s="235"/>
      <c r="T116" s="235"/>
      <c r="U116" s="235"/>
      <c r="V116" s="236"/>
      <c r="W116" s="236"/>
      <c r="Y116" s="245" t="s">
        <v>122</v>
      </c>
      <c r="Z116" s="245"/>
      <c r="AA116" s="236"/>
      <c r="AB116" s="236"/>
      <c r="AC116" s="236"/>
      <c r="AD116" s="236"/>
      <c r="AE116" s="236"/>
      <c r="AF116" s="236"/>
      <c r="AG116" s="228"/>
      <c r="AH116" s="245" t="s">
        <v>122</v>
      </c>
      <c r="AI116" s="245"/>
      <c r="AJ116" s="236"/>
      <c r="AK116" s="236"/>
      <c r="AL116" s="236"/>
      <c r="AM116" s="236"/>
      <c r="AN116" s="236"/>
      <c r="AO116" s="236"/>
      <c r="AP116" s="236"/>
      <c r="AQ116" s="236"/>
      <c r="AR116" s="236"/>
      <c r="AS116" s="236"/>
      <c r="AT116" s="236"/>
    </row>
    <row r="117" ht="17" customHeight="1" spans="2:46">
      <c r="B117" s="238">
        <v>4</v>
      </c>
      <c r="C117" s="239"/>
      <c r="D117" s="240"/>
      <c r="E117" s="240"/>
      <c r="F117" s="240"/>
      <c r="G117" s="240"/>
      <c r="H117" s="241"/>
      <c r="I117" s="242"/>
      <c r="J117" s="242"/>
      <c r="K117" s="242"/>
      <c r="L117" s="242"/>
      <c r="M117" s="242"/>
      <c r="N117" s="242"/>
      <c r="O117" s="242"/>
      <c r="P117" s="242"/>
      <c r="Q117" s="242"/>
      <c r="R117" s="242"/>
      <c r="S117" s="242"/>
      <c r="T117" s="242"/>
      <c r="U117" s="242"/>
      <c r="V117" s="243"/>
      <c r="W117" s="243"/>
      <c r="Y117" s="246" t="s">
        <v>129</v>
      </c>
      <c r="Z117" s="246"/>
      <c r="AA117" s="236"/>
      <c r="AB117" s="236"/>
      <c r="AC117" s="236"/>
      <c r="AD117" s="236"/>
      <c r="AE117" s="236"/>
      <c r="AF117" s="236"/>
      <c r="AG117" s="228"/>
      <c r="AH117" s="246" t="s">
        <v>129</v>
      </c>
      <c r="AI117" s="246"/>
      <c r="AJ117" s="236"/>
      <c r="AK117" s="236"/>
      <c r="AL117" s="236"/>
      <c r="AM117" s="236"/>
      <c r="AN117" s="236"/>
      <c r="AO117" s="236"/>
      <c r="AP117" s="236"/>
      <c r="AQ117" s="236"/>
      <c r="AR117" s="236"/>
      <c r="AS117" s="236"/>
      <c r="AT117" s="236"/>
    </row>
    <row r="118" ht="17" customHeight="1" spans="2:46">
      <c r="B118" s="231">
        <v>5</v>
      </c>
      <c r="C118" s="232"/>
      <c r="D118" s="233"/>
      <c r="E118" s="233"/>
      <c r="F118" s="233"/>
      <c r="G118" s="233"/>
      <c r="H118" s="234"/>
      <c r="I118" s="235"/>
      <c r="J118" s="235"/>
      <c r="K118" s="235"/>
      <c r="L118" s="235"/>
      <c r="M118" s="235"/>
      <c r="N118" s="235"/>
      <c r="O118" s="235"/>
      <c r="P118" s="235"/>
      <c r="Q118" s="235"/>
      <c r="R118" s="235"/>
      <c r="S118" s="235"/>
      <c r="T118" s="235"/>
      <c r="U118" s="235"/>
      <c r="V118" s="236"/>
      <c r="W118" s="236"/>
      <c r="Y118" s="247" t="s">
        <v>131</v>
      </c>
      <c r="Z118" s="247"/>
      <c r="AA118" s="236"/>
      <c r="AB118" s="236"/>
      <c r="AC118" s="236"/>
      <c r="AD118" s="236"/>
      <c r="AE118" s="236"/>
      <c r="AF118" s="236"/>
      <c r="AG118" s="228"/>
      <c r="AH118" s="247" t="s">
        <v>131</v>
      </c>
      <c r="AI118" s="247"/>
      <c r="AJ118" s="236"/>
      <c r="AK118" s="236"/>
      <c r="AL118" s="236"/>
      <c r="AM118" s="236"/>
      <c r="AN118" s="236"/>
      <c r="AO118" s="236"/>
      <c r="AP118" s="236"/>
      <c r="AQ118" s="236"/>
      <c r="AR118" s="236"/>
      <c r="AS118" s="236"/>
      <c r="AT118" s="236"/>
    </row>
    <row r="119" ht="17" customHeight="1" spans="2:46">
      <c r="B119" s="238">
        <v>6</v>
      </c>
      <c r="C119" s="239"/>
      <c r="D119" s="240"/>
      <c r="E119" s="240"/>
      <c r="F119" s="240"/>
      <c r="G119" s="240"/>
      <c r="H119" s="241"/>
      <c r="I119" s="242"/>
      <c r="J119" s="242"/>
      <c r="K119" s="242"/>
      <c r="L119" s="242"/>
      <c r="M119" s="242"/>
      <c r="N119" s="242"/>
      <c r="O119" s="242"/>
      <c r="P119" s="242"/>
      <c r="Q119" s="242"/>
      <c r="R119" s="242"/>
      <c r="S119" s="242"/>
      <c r="T119" s="242"/>
      <c r="U119" s="242"/>
      <c r="V119" s="243"/>
      <c r="W119" s="243"/>
      <c r="Y119" s="228"/>
      <c r="Z119" s="228"/>
      <c r="AA119" s="228"/>
      <c r="AB119" s="228"/>
      <c r="AC119" s="228"/>
      <c r="AD119" s="228"/>
      <c r="AE119" s="228"/>
      <c r="AF119" s="228"/>
      <c r="AG119" s="228"/>
      <c r="AH119" s="228"/>
      <c r="AI119" s="228"/>
      <c r="AJ119" s="228"/>
      <c r="AK119" s="228"/>
      <c r="AL119" s="228"/>
      <c r="AM119" s="228"/>
      <c r="AN119" s="228"/>
      <c r="AO119" s="228"/>
    </row>
    <row r="120" ht="17" customHeight="1" spans="2:46">
      <c r="B120" s="231">
        <v>7</v>
      </c>
      <c r="C120" s="232"/>
      <c r="D120" s="233"/>
      <c r="E120" s="233"/>
      <c r="F120" s="233"/>
      <c r="G120" s="233"/>
      <c r="H120" s="234"/>
      <c r="I120" s="235"/>
      <c r="J120" s="235"/>
      <c r="K120" s="235"/>
      <c r="L120" s="235"/>
      <c r="M120" s="235"/>
      <c r="N120" s="235"/>
      <c r="O120" s="235"/>
      <c r="P120" s="235"/>
      <c r="Q120" s="235"/>
      <c r="R120" s="235"/>
      <c r="S120" s="235"/>
      <c r="T120" s="235"/>
      <c r="U120" s="235"/>
      <c r="V120" s="236"/>
      <c r="W120" s="236"/>
      <c r="Y120" s="226" t="s">
        <v>1238</v>
      </c>
      <c r="Z120" s="226"/>
      <c r="AA120" s="226"/>
      <c r="AB120" s="226"/>
      <c r="AC120" s="226"/>
      <c r="AD120" s="226"/>
      <c r="AE120" s="226"/>
      <c r="AF120" s="226"/>
      <c r="AG120" s="226"/>
      <c r="AH120" s="226"/>
      <c r="AI120" s="226"/>
      <c r="AJ120" s="226"/>
      <c r="AK120" s="226"/>
      <c r="AL120" s="226"/>
      <c r="AM120" s="226"/>
      <c r="AN120" s="226"/>
      <c r="AO120" s="226"/>
      <c r="AP120" s="226"/>
      <c r="AQ120" s="226"/>
      <c r="AR120" s="226"/>
      <c r="AS120" s="226"/>
      <c r="AT120" s="226"/>
    </row>
    <row r="121" ht="17" customHeight="1" spans="2:46">
      <c r="B121" s="238">
        <v>8</v>
      </c>
      <c r="C121" s="239"/>
      <c r="D121" s="240"/>
      <c r="E121" s="240"/>
      <c r="F121" s="240"/>
      <c r="G121" s="240"/>
      <c r="H121" s="241"/>
      <c r="I121" s="242"/>
      <c r="J121" s="242"/>
      <c r="K121" s="242"/>
      <c r="L121" s="242"/>
      <c r="M121" s="242"/>
      <c r="N121" s="242"/>
      <c r="O121" s="242"/>
      <c r="P121" s="242"/>
      <c r="Q121" s="242"/>
      <c r="R121" s="242"/>
      <c r="S121" s="242"/>
      <c r="T121" s="242"/>
      <c r="U121" s="242"/>
      <c r="V121" s="243"/>
      <c r="W121" s="243"/>
      <c r="Y121" s="228"/>
      <c r="Z121" s="229" t="s">
        <v>68</v>
      </c>
      <c r="AA121" s="229"/>
      <c r="AB121" s="229"/>
      <c r="AC121" s="229"/>
      <c r="AD121" s="229"/>
      <c r="AE121" s="229"/>
      <c r="AF121" s="229" t="s">
        <v>153</v>
      </c>
      <c r="AG121" s="229"/>
      <c r="AH121" s="229"/>
      <c r="AI121" s="229"/>
      <c r="AJ121" s="229"/>
      <c r="AK121" s="229"/>
      <c r="AL121" s="229"/>
      <c r="AM121" s="229"/>
      <c r="AN121" s="229"/>
      <c r="AO121" s="229"/>
      <c r="AP121" s="229"/>
      <c r="AQ121" s="229"/>
      <c r="AR121" s="229"/>
      <c r="AS121" s="229" t="s">
        <v>1222</v>
      </c>
      <c r="AT121" s="229"/>
    </row>
    <row r="122" ht="17" customHeight="1" spans="2:46">
      <c r="B122" s="231">
        <v>9</v>
      </c>
      <c r="C122" s="232"/>
      <c r="D122" s="233"/>
      <c r="E122" s="233"/>
      <c r="F122" s="233"/>
      <c r="G122" s="233"/>
      <c r="H122" s="234"/>
      <c r="I122" s="235"/>
      <c r="J122" s="235"/>
      <c r="K122" s="235"/>
      <c r="L122" s="235"/>
      <c r="M122" s="235"/>
      <c r="N122" s="235"/>
      <c r="O122" s="235"/>
      <c r="P122" s="235"/>
      <c r="Q122" s="235"/>
      <c r="R122" s="235"/>
      <c r="S122" s="235"/>
      <c r="T122" s="235"/>
      <c r="U122" s="235"/>
      <c r="V122" s="236"/>
      <c r="W122" s="236"/>
      <c r="Y122" s="231">
        <v>1</v>
      </c>
      <c r="Z122" s="232"/>
      <c r="AA122" s="233"/>
      <c r="AB122" s="233"/>
      <c r="AC122" s="233"/>
      <c r="AD122" s="233"/>
      <c r="AE122" s="234"/>
      <c r="AF122" s="235"/>
      <c r="AG122" s="235"/>
      <c r="AH122" s="235"/>
      <c r="AI122" s="235"/>
      <c r="AJ122" s="235"/>
      <c r="AK122" s="235"/>
      <c r="AL122" s="235"/>
      <c r="AM122" s="235"/>
      <c r="AN122" s="235"/>
      <c r="AO122" s="235"/>
      <c r="AP122" s="235"/>
      <c r="AQ122" s="235"/>
      <c r="AR122" s="235"/>
      <c r="AS122" s="236"/>
      <c r="AT122" s="236"/>
    </row>
    <row r="123" ht="17" customHeight="1" spans="2:46">
      <c r="B123" s="238">
        <v>10</v>
      </c>
      <c r="C123" s="239"/>
      <c r="D123" s="240"/>
      <c r="E123" s="240"/>
      <c r="F123" s="240"/>
      <c r="G123" s="240"/>
      <c r="H123" s="241"/>
      <c r="I123" s="242"/>
      <c r="J123" s="242"/>
      <c r="K123" s="242"/>
      <c r="L123" s="242"/>
      <c r="M123" s="242"/>
      <c r="N123" s="242"/>
      <c r="O123" s="242"/>
      <c r="P123" s="242"/>
      <c r="Q123" s="242"/>
      <c r="R123" s="242"/>
      <c r="S123" s="242"/>
      <c r="T123" s="242"/>
      <c r="U123" s="242"/>
      <c r="V123" s="243"/>
      <c r="W123" s="243"/>
      <c r="Y123" s="238">
        <v>2</v>
      </c>
      <c r="Z123" s="239"/>
      <c r="AA123" s="240"/>
      <c r="AB123" s="240"/>
      <c r="AC123" s="240"/>
      <c r="AD123" s="240"/>
      <c r="AE123" s="241"/>
      <c r="AF123" s="242"/>
      <c r="AG123" s="242"/>
      <c r="AH123" s="242"/>
      <c r="AI123" s="242"/>
      <c r="AJ123" s="242"/>
      <c r="AK123" s="242"/>
      <c r="AL123" s="242"/>
      <c r="AM123" s="242"/>
      <c r="AN123" s="242"/>
      <c r="AO123" s="242"/>
      <c r="AP123" s="242"/>
      <c r="AQ123" s="242"/>
      <c r="AR123" s="242"/>
      <c r="AS123" s="243"/>
      <c r="AT123" s="243"/>
    </row>
    <row r="124" ht="17" customHeight="1" spans="2:46">
      <c r="B124" s="231">
        <v>11</v>
      </c>
      <c r="C124" s="232"/>
      <c r="D124" s="233"/>
      <c r="E124" s="233"/>
      <c r="F124" s="233"/>
      <c r="G124" s="233"/>
      <c r="H124" s="234"/>
      <c r="I124" s="235"/>
      <c r="J124" s="235"/>
      <c r="K124" s="235"/>
      <c r="L124" s="235"/>
      <c r="M124" s="235"/>
      <c r="N124" s="235"/>
      <c r="O124" s="235"/>
      <c r="P124" s="235"/>
      <c r="Q124" s="235"/>
      <c r="R124" s="235"/>
      <c r="S124" s="235"/>
      <c r="T124" s="235"/>
      <c r="U124" s="235"/>
      <c r="V124" s="236"/>
      <c r="W124" s="236"/>
      <c r="Y124" s="231">
        <v>3</v>
      </c>
      <c r="Z124" s="232"/>
      <c r="AA124" s="233"/>
      <c r="AB124" s="233"/>
      <c r="AC124" s="233"/>
      <c r="AD124" s="233"/>
      <c r="AE124" s="234"/>
      <c r="AF124" s="235"/>
      <c r="AG124" s="235"/>
      <c r="AH124" s="235"/>
      <c r="AI124" s="235"/>
      <c r="AJ124" s="235"/>
      <c r="AK124" s="235"/>
      <c r="AL124" s="235"/>
      <c r="AM124" s="235"/>
      <c r="AN124" s="235"/>
      <c r="AO124" s="235"/>
      <c r="AP124" s="235"/>
      <c r="AQ124" s="235"/>
      <c r="AR124" s="235"/>
      <c r="AS124" s="236"/>
      <c r="AT124" s="236"/>
    </row>
    <row r="125" ht="17" customHeight="1" spans="2:46">
      <c r="B125" s="238">
        <v>12</v>
      </c>
      <c r="C125" s="239"/>
      <c r="D125" s="240"/>
      <c r="E125" s="240"/>
      <c r="F125" s="240"/>
      <c r="G125" s="240"/>
      <c r="H125" s="241"/>
      <c r="I125" s="242"/>
      <c r="J125" s="242"/>
      <c r="K125" s="242"/>
      <c r="L125" s="242"/>
      <c r="M125" s="242"/>
      <c r="N125" s="242"/>
      <c r="O125" s="242"/>
      <c r="P125" s="242"/>
      <c r="Q125" s="242"/>
      <c r="R125" s="242"/>
      <c r="S125" s="242"/>
      <c r="T125" s="242"/>
      <c r="U125" s="242"/>
      <c r="V125" s="243"/>
      <c r="W125" s="243"/>
      <c r="Y125" s="238">
        <v>4</v>
      </c>
      <c r="Z125" s="239"/>
      <c r="AA125" s="240"/>
      <c r="AB125" s="240"/>
      <c r="AC125" s="240"/>
      <c r="AD125" s="240"/>
      <c r="AE125" s="241"/>
      <c r="AF125" s="242"/>
      <c r="AG125" s="242"/>
      <c r="AH125" s="242"/>
      <c r="AI125" s="242"/>
      <c r="AJ125" s="242"/>
      <c r="AK125" s="242"/>
      <c r="AL125" s="242"/>
      <c r="AM125" s="242"/>
      <c r="AN125" s="242"/>
      <c r="AO125" s="242"/>
      <c r="AP125" s="242"/>
      <c r="AQ125" s="242"/>
      <c r="AR125" s="242"/>
      <c r="AS125" s="243"/>
      <c r="AT125" s="243"/>
    </row>
    <row r="126" ht="17" customHeight="1" spans="2:46">
      <c r="B126" s="231">
        <v>13</v>
      </c>
      <c r="C126" s="232"/>
      <c r="D126" s="233"/>
      <c r="E126" s="233"/>
      <c r="F126" s="233"/>
      <c r="G126" s="233"/>
      <c r="H126" s="234"/>
      <c r="I126" s="235"/>
      <c r="J126" s="235"/>
      <c r="K126" s="235"/>
      <c r="L126" s="235"/>
      <c r="M126" s="235"/>
      <c r="N126" s="235"/>
      <c r="O126" s="235"/>
      <c r="P126" s="235"/>
      <c r="Q126" s="235"/>
      <c r="R126" s="235"/>
      <c r="S126" s="235"/>
      <c r="T126" s="235"/>
      <c r="U126" s="235"/>
      <c r="V126" s="236"/>
      <c r="W126" s="236"/>
      <c r="Y126" s="231">
        <v>5</v>
      </c>
      <c r="Z126" s="232"/>
      <c r="AA126" s="233"/>
      <c r="AB126" s="233"/>
      <c r="AC126" s="233"/>
      <c r="AD126" s="233"/>
      <c r="AE126" s="234"/>
      <c r="AF126" s="235"/>
      <c r="AG126" s="235"/>
      <c r="AH126" s="235"/>
      <c r="AI126" s="235"/>
      <c r="AJ126" s="235"/>
      <c r="AK126" s="235"/>
      <c r="AL126" s="235"/>
      <c r="AM126" s="235"/>
      <c r="AN126" s="235"/>
      <c r="AO126" s="235"/>
      <c r="AP126" s="235"/>
      <c r="AQ126" s="235"/>
      <c r="AR126" s="235"/>
      <c r="AS126" s="236"/>
      <c r="AT126" s="236"/>
    </row>
    <row r="127" ht="17" customHeight="1" spans="2:46">
      <c r="B127" s="238">
        <v>14</v>
      </c>
      <c r="C127" s="239"/>
      <c r="D127" s="240"/>
      <c r="E127" s="240"/>
      <c r="F127" s="240"/>
      <c r="G127" s="240"/>
      <c r="H127" s="241"/>
      <c r="I127" s="242"/>
      <c r="J127" s="242"/>
      <c r="K127" s="242"/>
      <c r="L127" s="242"/>
      <c r="M127" s="242"/>
      <c r="N127" s="242"/>
      <c r="O127" s="242"/>
      <c r="P127" s="242"/>
      <c r="Q127" s="242"/>
      <c r="R127" s="242"/>
      <c r="S127" s="242"/>
      <c r="T127" s="242"/>
      <c r="U127" s="242"/>
      <c r="V127" s="243"/>
      <c r="W127" s="243"/>
      <c r="Y127" s="238">
        <v>6</v>
      </c>
      <c r="Z127" s="239"/>
      <c r="AA127" s="240"/>
      <c r="AB127" s="240"/>
      <c r="AC127" s="240"/>
      <c r="AD127" s="240"/>
      <c r="AE127" s="241"/>
      <c r="AF127" s="242"/>
      <c r="AG127" s="242"/>
      <c r="AH127" s="242"/>
      <c r="AI127" s="242"/>
      <c r="AJ127" s="242"/>
      <c r="AK127" s="242"/>
      <c r="AL127" s="242"/>
      <c r="AM127" s="242"/>
      <c r="AN127" s="242"/>
      <c r="AO127" s="242"/>
      <c r="AP127" s="242"/>
      <c r="AQ127" s="242"/>
      <c r="AR127" s="242"/>
      <c r="AS127" s="243"/>
      <c r="AT127" s="243"/>
    </row>
    <row r="128" ht="17" customHeight="1" spans="2:46">
      <c r="B128" s="231">
        <v>15</v>
      </c>
      <c r="C128" s="232"/>
      <c r="D128" s="233"/>
      <c r="E128" s="233"/>
      <c r="F128" s="233"/>
      <c r="G128" s="233"/>
      <c r="H128" s="234"/>
      <c r="I128" s="235"/>
      <c r="J128" s="235"/>
      <c r="K128" s="235"/>
      <c r="L128" s="235"/>
      <c r="M128" s="235"/>
      <c r="N128" s="235"/>
      <c r="O128" s="235"/>
      <c r="P128" s="235"/>
      <c r="Q128" s="235"/>
      <c r="R128" s="235"/>
      <c r="S128" s="235"/>
      <c r="T128" s="235"/>
      <c r="U128" s="235"/>
      <c r="V128" s="236"/>
      <c r="W128" s="236"/>
      <c r="Y128" s="231">
        <v>7</v>
      </c>
      <c r="Z128" s="232"/>
      <c r="AA128" s="233"/>
      <c r="AB128" s="233"/>
      <c r="AC128" s="233"/>
      <c r="AD128" s="233"/>
      <c r="AE128" s="234"/>
      <c r="AF128" s="235"/>
      <c r="AG128" s="235"/>
      <c r="AH128" s="235"/>
      <c r="AI128" s="235"/>
      <c r="AJ128" s="235"/>
      <c r="AK128" s="235"/>
      <c r="AL128" s="235"/>
      <c r="AM128" s="235"/>
      <c r="AN128" s="235"/>
      <c r="AO128" s="235"/>
      <c r="AP128" s="235"/>
      <c r="AQ128" s="235"/>
      <c r="AR128" s="235"/>
      <c r="AS128" s="236"/>
      <c r="AT128" s="236"/>
    </row>
    <row r="129" ht="17" customHeight="1" spans="2:46">
      <c r="B129" s="238">
        <v>16</v>
      </c>
      <c r="C129" s="239"/>
      <c r="D129" s="240"/>
      <c r="E129" s="240"/>
      <c r="F129" s="240"/>
      <c r="G129" s="240"/>
      <c r="H129" s="241"/>
      <c r="I129" s="242"/>
      <c r="J129" s="242"/>
      <c r="K129" s="242"/>
      <c r="L129" s="242"/>
      <c r="M129" s="242"/>
      <c r="N129" s="242"/>
      <c r="O129" s="242"/>
      <c r="P129" s="242"/>
      <c r="Q129" s="242"/>
      <c r="R129" s="242"/>
      <c r="S129" s="242"/>
      <c r="T129" s="242"/>
      <c r="U129" s="242"/>
      <c r="V129" s="243"/>
      <c r="W129" s="243"/>
      <c r="Y129" s="238">
        <v>8</v>
      </c>
      <c r="Z129" s="239"/>
      <c r="AA129" s="240"/>
      <c r="AB129" s="240"/>
      <c r="AC129" s="240"/>
      <c r="AD129" s="240"/>
      <c r="AE129" s="241"/>
      <c r="AF129" s="242"/>
      <c r="AG129" s="242"/>
      <c r="AH129" s="242"/>
      <c r="AI129" s="242"/>
      <c r="AJ129" s="242"/>
      <c r="AK129" s="242"/>
      <c r="AL129" s="242"/>
      <c r="AM129" s="242"/>
      <c r="AN129" s="242"/>
      <c r="AO129" s="242"/>
      <c r="AP129" s="242"/>
      <c r="AQ129" s="242"/>
      <c r="AR129" s="242"/>
      <c r="AS129" s="243"/>
      <c r="AT129" s="243"/>
    </row>
    <row r="130" ht="17" customHeight="1" spans="2:46">
      <c r="B130" s="231">
        <v>17</v>
      </c>
      <c r="C130" s="232"/>
      <c r="D130" s="233"/>
      <c r="E130" s="233"/>
      <c r="F130" s="233"/>
      <c r="G130" s="233"/>
      <c r="H130" s="234"/>
      <c r="I130" s="235"/>
      <c r="J130" s="235"/>
      <c r="K130" s="235"/>
      <c r="L130" s="235"/>
      <c r="M130" s="235"/>
      <c r="N130" s="235"/>
      <c r="O130" s="235"/>
      <c r="P130" s="235"/>
      <c r="Q130" s="235"/>
      <c r="R130" s="235"/>
      <c r="S130" s="235"/>
      <c r="T130" s="235"/>
      <c r="U130" s="235"/>
      <c r="V130" s="236"/>
      <c r="W130" s="236"/>
      <c r="Y130" s="231">
        <v>9</v>
      </c>
      <c r="Z130" s="232"/>
      <c r="AA130" s="233"/>
      <c r="AB130" s="233"/>
      <c r="AC130" s="233"/>
      <c r="AD130" s="233"/>
      <c r="AE130" s="234"/>
      <c r="AF130" s="235"/>
      <c r="AG130" s="235"/>
      <c r="AH130" s="235"/>
      <c r="AI130" s="235"/>
      <c r="AJ130" s="235"/>
      <c r="AK130" s="235"/>
      <c r="AL130" s="235"/>
      <c r="AM130" s="235"/>
      <c r="AN130" s="235"/>
      <c r="AO130" s="235"/>
      <c r="AP130" s="235"/>
      <c r="AQ130" s="235"/>
      <c r="AR130" s="235"/>
      <c r="AS130" s="236"/>
      <c r="AT130" s="236"/>
    </row>
    <row r="131" ht="17" customHeight="1" spans="2:46">
      <c r="B131" s="238">
        <v>18</v>
      </c>
      <c r="C131" s="239"/>
      <c r="D131" s="240"/>
      <c r="E131" s="240"/>
      <c r="F131" s="240"/>
      <c r="G131" s="240"/>
      <c r="H131" s="241"/>
      <c r="I131" s="242"/>
      <c r="J131" s="242"/>
      <c r="K131" s="242"/>
      <c r="L131" s="242"/>
      <c r="M131" s="242"/>
      <c r="N131" s="242"/>
      <c r="O131" s="242"/>
      <c r="P131" s="242"/>
      <c r="Q131" s="242"/>
      <c r="R131" s="242"/>
      <c r="S131" s="242"/>
      <c r="T131" s="242"/>
      <c r="U131" s="242"/>
      <c r="V131" s="243"/>
      <c r="W131" s="243"/>
      <c r="Y131" s="238">
        <v>10</v>
      </c>
      <c r="Z131" s="239"/>
      <c r="AA131" s="240"/>
      <c r="AB131" s="240"/>
      <c r="AC131" s="240"/>
      <c r="AD131" s="240"/>
      <c r="AE131" s="241"/>
      <c r="AF131" s="242"/>
      <c r="AG131" s="242"/>
      <c r="AH131" s="242"/>
      <c r="AI131" s="242"/>
      <c r="AJ131" s="242"/>
      <c r="AK131" s="242"/>
      <c r="AL131" s="242"/>
      <c r="AM131" s="242"/>
      <c r="AN131" s="242"/>
      <c r="AO131" s="242"/>
      <c r="AP131" s="242"/>
      <c r="AQ131" s="242"/>
      <c r="AR131" s="242"/>
      <c r="AS131" s="243"/>
      <c r="AT131" s="243"/>
    </row>
    <row r="132" ht="17" customHeight="1" spans="2:46">
      <c r="B132" s="231">
        <v>19</v>
      </c>
      <c r="C132" s="232"/>
      <c r="D132" s="233"/>
      <c r="E132" s="233"/>
      <c r="F132" s="233"/>
      <c r="G132" s="233"/>
      <c r="H132" s="234"/>
      <c r="I132" s="235"/>
      <c r="J132" s="235"/>
      <c r="K132" s="235"/>
      <c r="L132" s="235"/>
      <c r="M132" s="235"/>
      <c r="N132" s="235"/>
      <c r="O132" s="235"/>
      <c r="P132" s="235"/>
      <c r="Q132" s="235"/>
      <c r="R132" s="235"/>
      <c r="S132" s="235"/>
      <c r="T132" s="235"/>
      <c r="U132" s="235"/>
      <c r="V132" s="236"/>
      <c r="W132" s="236"/>
      <c r="Y132" s="231">
        <v>11</v>
      </c>
      <c r="Z132" s="232"/>
      <c r="AA132" s="233"/>
      <c r="AB132" s="233"/>
      <c r="AC132" s="233"/>
      <c r="AD132" s="233"/>
      <c r="AE132" s="234"/>
      <c r="AF132" s="235"/>
      <c r="AG132" s="235"/>
      <c r="AH132" s="235"/>
      <c r="AI132" s="235"/>
      <c r="AJ132" s="235"/>
      <c r="AK132" s="235"/>
      <c r="AL132" s="235"/>
      <c r="AM132" s="235"/>
      <c r="AN132" s="235"/>
      <c r="AO132" s="235"/>
      <c r="AP132" s="235"/>
      <c r="AQ132" s="235"/>
      <c r="AR132" s="235"/>
      <c r="AS132" s="236"/>
      <c r="AT132" s="236"/>
    </row>
    <row r="133" ht="17" customHeight="1" spans="2:46">
      <c r="B133" s="238">
        <v>20</v>
      </c>
      <c r="C133" s="239"/>
      <c r="D133" s="240"/>
      <c r="E133" s="240"/>
      <c r="F133" s="240"/>
      <c r="G133" s="240"/>
      <c r="H133" s="241"/>
      <c r="I133" s="242"/>
      <c r="J133" s="242"/>
      <c r="K133" s="242"/>
      <c r="L133" s="242"/>
      <c r="M133" s="242"/>
      <c r="N133" s="242"/>
      <c r="O133" s="242"/>
      <c r="P133" s="242"/>
      <c r="Q133" s="242"/>
      <c r="R133" s="242"/>
      <c r="S133" s="242"/>
      <c r="T133" s="242"/>
      <c r="U133" s="242"/>
      <c r="V133" s="243"/>
      <c r="W133" s="243"/>
      <c r="Y133" s="238">
        <v>12</v>
      </c>
      <c r="Z133" s="239"/>
      <c r="AA133" s="240"/>
      <c r="AB133" s="240"/>
      <c r="AC133" s="240"/>
      <c r="AD133" s="240"/>
      <c r="AE133" s="241"/>
      <c r="AF133" s="242"/>
      <c r="AG133" s="242"/>
      <c r="AH133" s="242"/>
      <c r="AI133" s="242"/>
      <c r="AJ133" s="242"/>
      <c r="AK133" s="242"/>
      <c r="AL133" s="242"/>
      <c r="AM133" s="242"/>
      <c r="AN133" s="242"/>
      <c r="AO133" s="242"/>
      <c r="AP133" s="242"/>
      <c r="AQ133" s="242"/>
      <c r="AR133" s="242"/>
      <c r="AS133" s="243"/>
      <c r="AT133" s="243"/>
    </row>
    <row r="134" ht="17" customHeight="1" spans="2:46">
      <c r="B134" s="231">
        <v>21</v>
      </c>
      <c r="C134" s="232"/>
      <c r="D134" s="233"/>
      <c r="E134" s="233"/>
      <c r="F134" s="233"/>
      <c r="G134" s="233"/>
      <c r="H134" s="234"/>
      <c r="I134" s="235"/>
      <c r="J134" s="235"/>
      <c r="K134" s="235"/>
      <c r="L134" s="235"/>
      <c r="M134" s="235"/>
      <c r="N134" s="235"/>
      <c r="O134" s="235"/>
      <c r="P134" s="235"/>
      <c r="Q134" s="235"/>
      <c r="R134" s="235"/>
      <c r="S134" s="235"/>
      <c r="T134" s="235"/>
      <c r="U134" s="235"/>
      <c r="V134" s="236"/>
      <c r="W134" s="236"/>
      <c r="Y134" s="231">
        <v>13</v>
      </c>
      <c r="Z134" s="232"/>
      <c r="AA134" s="233"/>
      <c r="AB134" s="233"/>
      <c r="AC134" s="233"/>
      <c r="AD134" s="233"/>
      <c r="AE134" s="234"/>
      <c r="AF134" s="235"/>
      <c r="AG134" s="235"/>
      <c r="AH134" s="235"/>
      <c r="AI134" s="235"/>
      <c r="AJ134" s="235"/>
      <c r="AK134" s="235"/>
      <c r="AL134" s="235"/>
      <c r="AM134" s="235"/>
      <c r="AN134" s="235"/>
      <c r="AO134" s="235"/>
      <c r="AP134" s="235"/>
      <c r="AQ134" s="235"/>
      <c r="AR134" s="235"/>
      <c r="AS134" s="236"/>
      <c r="AT134" s="236"/>
    </row>
    <row r="135" spans="2:46">
      <c r="B135" s="238">
        <v>22</v>
      </c>
      <c r="C135" s="239"/>
      <c r="D135" s="240"/>
      <c r="E135" s="240"/>
      <c r="F135" s="240"/>
      <c r="G135" s="240"/>
      <c r="H135" s="241"/>
      <c r="I135" s="242"/>
      <c r="J135" s="242"/>
      <c r="K135" s="242"/>
      <c r="L135" s="242"/>
      <c r="M135" s="242"/>
      <c r="N135" s="242"/>
      <c r="O135" s="242"/>
      <c r="P135" s="242"/>
      <c r="Q135" s="242"/>
      <c r="R135" s="242"/>
      <c r="S135" s="242"/>
      <c r="T135" s="242"/>
      <c r="U135" s="242"/>
      <c r="V135" s="243"/>
      <c r="W135" s="243"/>
      <c r="Y135" s="238">
        <v>14</v>
      </c>
      <c r="Z135" s="239"/>
      <c r="AA135" s="240"/>
      <c r="AB135" s="240"/>
      <c r="AC135" s="240"/>
      <c r="AD135" s="240"/>
      <c r="AE135" s="241"/>
      <c r="AF135" s="242"/>
      <c r="AG135" s="242"/>
      <c r="AH135" s="242"/>
      <c r="AI135" s="242"/>
      <c r="AJ135" s="242"/>
      <c r="AK135" s="242"/>
      <c r="AL135" s="242"/>
      <c r="AM135" s="242"/>
      <c r="AN135" s="242"/>
      <c r="AO135" s="242"/>
      <c r="AP135" s="242"/>
      <c r="AQ135" s="242"/>
      <c r="AR135" s="242"/>
      <c r="AS135" s="243"/>
      <c r="AT135" s="243"/>
    </row>
    <row r="136" spans="2:46">
      <c r="B136" s="231">
        <v>23</v>
      </c>
      <c r="C136" s="232"/>
      <c r="D136" s="233"/>
      <c r="E136" s="233"/>
      <c r="F136" s="233"/>
      <c r="G136" s="233"/>
      <c r="H136" s="234"/>
      <c r="I136" s="235"/>
      <c r="J136" s="235"/>
      <c r="K136" s="235"/>
      <c r="L136" s="235"/>
      <c r="M136" s="235"/>
      <c r="N136" s="235"/>
      <c r="O136" s="235"/>
      <c r="P136" s="235"/>
      <c r="Q136" s="235"/>
      <c r="R136" s="235"/>
      <c r="S136" s="235"/>
      <c r="T136" s="235"/>
      <c r="U136" s="235"/>
      <c r="V136" s="236"/>
      <c r="W136" s="236"/>
      <c r="Y136" s="231">
        <v>15</v>
      </c>
      <c r="Z136" s="232"/>
      <c r="AA136" s="233"/>
      <c r="AB136" s="233"/>
      <c r="AC136" s="233"/>
      <c r="AD136" s="233"/>
      <c r="AE136" s="234"/>
      <c r="AF136" s="235"/>
      <c r="AG136" s="235"/>
      <c r="AH136" s="235"/>
      <c r="AI136" s="235"/>
      <c r="AJ136" s="235"/>
      <c r="AK136" s="235"/>
      <c r="AL136" s="235"/>
      <c r="AM136" s="235"/>
      <c r="AN136" s="235"/>
      <c r="AO136" s="235"/>
      <c r="AP136" s="235"/>
      <c r="AQ136" s="235"/>
      <c r="AR136" s="235"/>
      <c r="AS136" s="236"/>
      <c r="AT136" s="236"/>
    </row>
    <row r="137" spans="2:46">
      <c r="B137" s="238">
        <v>24</v>
      </c>
      <c r="C137" s="239"/>
      <c r="D137" s="240"/>
      <c r="E137" s="240"/>
      <c r="F137" s="240"/>
      <c r="G137" s="240"/>
      <c r="H137" s="241"/>
      <c r="I137" s="242"/>
      <c r="J137" s="242"/>
      <c r="K137" s="242"/>
      <c r="L137" s="242"/>
      <c r="M137" s="242"/>
      <c r="N137" s="242"/>
      <c r="O137" s="242"/>
      <c r="P137" s="242"/>
      <c r="Q137" s="242"/>
      <c r="R137" s="242"/>
      <c r="S137" s="242"/>
      <c r="T137" s="242"/>
      <c r="U137" s="242"/>
      <c r="V137" s="243"/>
      <c r="W137" s="243"/>
      <c r="Y137" s="238">
        <v>16</v>
      </c>
      <c r="Z137" s="239"/>
      <c r="AA137" s="240"/>
      <c r="AB137" s="240"/>
      <c r="AC137" s="240"/>
      <c r="AD137" s="240"/>
      <c r="AE137" s="241"/>
      <c r="AF137" s="242"/>
      <c r="AG137" s="242"/>
      <c r="AH137" s="242"/>
      <c r="AI137" s="242"/>
      <c r="AJ137" s="242"/>
      <c r="AK137" s="242"/>
      <c r="AL137" s="242"/>
      <c r="AM137" s="242"/>
      <c r="AN137" s="242"/>
      <c r="AO137" s="242"/>
      <c r="AP137" s="242"/>
      <c r="AQ137" s="242"/>
      <c r="AR137" s="242"/>
      <c r="AS137" s="243"/>
      <c r="AT137" s="243"/>
    </row>
    <row r="138" spans="2:46">
      <c r="B138" s="231">
        <v>25</v>
      </c>
      <c r="C138" s="232"/>
      <c r="D138" s="233"/>
      <c r="E138" s="233"/>
      <c r="F138" s="233"/>
      <c r="G138" s="233"/>
      <c r="H138" s="234"/>
      <c r="I138" s="235"/>
      <c r="J138" s="235"/>
      <c r="K138" s="235"/>
      <c r="L138" s="235"/>
      <c r="M138" s="235"/>
      <c r="N138" s="235"/>
      <c r="O138" s="235"/>
      <c r="P138" s="235"/>
      <c r="Q138" s="235"/>
      <c r="R138" s="235"/>
      <c r="S138" s="235"/>
      <c r="T138" s="235"/>
      <c r="U138" s="235"/>
      <c r="V138" s="236"/>
      <c r="W138" s="236"/>
      <c r="Y138" s="231">
        <v>17</v>
      </c>
      <c r="Z138" s="232"/>
      <c r="AA138" s="233"/>
      <c r="AB138" s="233"/>
      <c r="AC138" s="233"/>
      <c r="AD138" s="233"/>
      <c r="AE138" s="234"/>
      <c r="AF138" s="235"/>
      <c r="AG138" s="235"/>
      <c r="AH138" s="235"/>
      <c r="AI138" s="235"/>
      <c r="AJ138" s="235"/>
      <c r="AK138" s="235"/>
      <c r="AL138" s="235"/>
      <c r="AM138" s="235"/>
      <c r="AN138" s="235"/>
      <c r="AO138" s="235"/>
      <c r="AP138" s="235"/>
      <c r="AQ138" s="235"/>
      <c r="AR138" s="235"/>
      <c r="AS138" s="236"/>
      <c r="AT138" s="236"/>
    </row>
    <row r="139" spans="2:46">
      <c r="B139" s="238">
        <v>26</v>
      </c>
      <c r="C139" s="239"/>
      <c r="D139" s="240"/>
      <c r="E139" s="240"/>
      <c r="F139" s="240"/>
      <c r="G139" s="240"/>
      <c r="H139" s="241"/>
      <c r="I139" s="242"/>
      <c r="J139" s="242"/>
      <c r="K139" s="242"/>
      <c r="L139" s="242"/>
      <c r="M139" s="242"/>
      <c r="N139" s="242"/>
      <c r="O139" s="242"/>
      <c r="P139" s="242"/>
      <c r="Q139" s="242"/>
      <c r="R139" s="242"/>
      <c r="S139" s="242"/>
      <c r="T139" s="242"/>
      <c r="U139" s="242"/>
      <c r="V139" s="243"/>
      <c r="W139" s="243"/>
      <c r="Y139" s="238">
        <v>18</v>
      </c>
      <c r="Z139" s="239"/>
      <c r="AA139" s="240"/>
      <c r="AB139" s="240"/>
      <c r="AC139" s="240"/>
      <c r="AD139" s="240"/>
      <c r="AE139" s="241"/>
      <c r="AF139" s="242"/>
      <c r="AG139" s="242"/>
      <c r="AH139" s="242"/>
      <c r="AI139" s="242"/>
      <c r="AJ139" s="242"/>
      <c r="AK139" s="242"/>
      <c r="AL139" s="242"/>
      <c r="AM139" s="242"/>
      <c r="AN139" s="242"/>
      <c r="AO139" s="242"/>
      <c r="AP139" s="242"/>
      <c r="AQ139" s="242"/>
      <c r="AR139" s="242"/>
      <c r="AS139" s="243"/>
      <c r="AT139" s="243"/>
    </row>
    <row r="140" spans="2:46">
      <c r="B140" s="231">
        <v>27</v>
      </c>
      <c r="C140" s="232"/>
      <c r="D140" s="233"/>
      <c r="E140" s="233"/>
      <c r="F140" s="233"/>
      <c r="G140" s="233"/>
      <c r="H140" s="234"/>
      <c r="I140" s="235"/>
      <c r="J140" s="235"/>
      <c r="K140" s="235"/>
      <c r="L140" s="235"/>
      <c r="M140" s="235"/>
      <c r="N140" s="235"/>
      <c r="O140" s="235"/>
      <c r="P140" s="235"/>
      <c r="Q140" s="235"/>
      <c r="R140" s="235"/>
      <c r="S140" s="235"/>
      <c r="T140" s="235"/>
      <c r="U140" s="235"/>
      <c r="V140" s="236"/>
      <c r="W140" s="236"/>
      <c r="Y140" s="231">
        <v>19</v>
      </c>
      <c r="Z140" s="232"/>
      <c r="AA140" s="233"/>
      <c r="AB140" s="233"/>
      <c r="AC140" s="233"/>
      <c r="AD140" s="233"/>
      <c r="AE140" s="234"/>
      <c r="AF140" s="235"/>
      <c r="AG140" s="235"/>
      <c r="AH140" s="235"/>
      <c r="AI140" s="235"/>
      <c r="AJ140" s="235"/>
      <c r="AK140" s="235"/>
      <c r="AL140" s="235"/>
      <c r="AM140" s="235"/>
      <c r="AN140" s="235"/>
      <c r="AO140" s="235"/>
      <c r="AP140" s="235"/>
      <c r="AQ140" s="235"/>
      <c r="AR140" s="235"/>
      <c r="AS140" s="236"/>
      <c r="AT140" s="236"/>
    </row>
    <row r="141" spans="2:46">
      <c r="B141" s="238">
        <v>28</v>
      </c>
      <c r="C141" s="239"/>
      <c r="D141" s="240"/>
      <c r="E141" s="240"/>
      <c r="F141" s="240"/>
      <c r="G141" s="240"/>
      <c r="H141" s="241"/>
      <c r="I141" s="242"/>
      <c r="J141" s="242"/>
      <c r="K141" s="242"/>
      <c r="L141" s="242"/>
      <c r="M141" s="242"/>
      <c r="N141" s="242"/>
      <c r="O141" s="242"/>
      <c r="P141" s="242"/>
      <c r="Q141" s="242"/>
      <c r="R141" s="242"/>
      <c r="S141" s="242"/>
      <c r="T141" s="242"/>
      <c r="U141" s="242"/>
      <c r="V141" s="243"/>
      <c r="W141" s="243"/>
      <c r="Y141" s="238">
        <v>20</v>
      </c>
      <c r="Z141" s="239"/>
      <c r="AA141" s="240"/>
      <c r="AB141" s="240"/>
      <c r="AC141" s="240"/>
      <c r="AD141" s="240"/>
      <c r="AE141" s="241"/>
      <c r="AF141" s="242"/>
      <c r="AG141" s="242"/>
      <c r="AH141" s="242"/>
      <c r="AI141" s="242"/>
      <c r="AJ141" s="242"/>
      <c r="AK141" s="242"/>
      <c r="AL141" s="242"/>
      <c r="AM141" s="242"/>
      <c r="AN141" s="242"/>
      <c r="AO141" s="242"/>
      <c r="AP141" s="242"/>
      <c r="AQ141" s="242"/>
      <c r="AR141" s="242"/>
      <c r="AS141" s="243"/>
      <c r="AT141" s="243"/>
    </row>
    <row r="142" spans="2:46">
      <c r="B142" s="231">
        <v>29</v>
      </c>
      <c r="C142" s="232"/>
      <c r="D142" s="233"/>
      <c r="E142" s="233"/>
      <c r="F142" s="233"/>
      <c r="G142" s="233"/>
      <c r="H142" s="234"/>
      <c r="I142" s="235"/>
      <c r="J142" s="235"/>
      <c r="K142" s="235"/>
      <c r="L142" s="235"/>
      <c r="M142" s="235"/>
      <c r="N142" s="235"/>
      <c r="O142" s="235"/>
      <c r="P142" s="235"/>
      <c r="Q142" s="235"/>
      <c r="R142" s="235"/>
      <c r="S142" s="235"/>
      <c r="T142" s="235"/>
      <c r="U142" s="235"/>
      <c r="V142" s="236"/>
      <c r="W142" s="236"/>
      <c r="Y142" s="231">
        <v>21</v>
      </c>
      <c r="Z142" s="232"/>
      <c r="AA142" s="233"/>
      <c r="AB142" s="233"/>
      <c r="AC142" s="233"/>
      <c r="AD142" s="233"/>
      <c r="AE142" s="234"/>
      <c r="AF142" s="235"/>
      <c r="AG142" s="235"/>
      <c r="AH142" s="235"/>
      <c r="AI142" s="235"/>
      <c r="AJ142" s="235"/>
      <c r="AK142" s="235"/>
      <c r="AL142" s="235"/>
      <c r="AM142" s="235"/>
      <c r="AN142" s="235"/>
      <c r="AO142" s="235"/>
      <c r="AP142" s="235"/>
      <c r="AQ142" s="235"/>
      <c r="AR142" s="235"/>
      <c r="AS142" s="236"/>
      <c r="AT142" s="236"/>
    </row>
    <row r="143" spans="2:46">
      <c r="B143" s="238">
        <v>30</v>
      </c>
      <c r="C143" s="239"/>
      <c r="D143" s="240"/>
      <c r="E143" s="240"/>
      <c r="F143" s="240"/>
      <c r="G143" s="240"/>
      <c r="H143" s="241"/>
      <c r="I143" s="242"/>
      <c r="J143" s="242"/>
      <c r="K143" s="242"/>
      <c r="L143" s="242"/>
      <c r="M143" s="242"/>
      <c r="N143" s="242"/>
      <c r="O143" s="242"/>
      <c r="P143" s="242"/>
      <c r="Q143" s="242"/>
      <c r="R143" s="242"/>
      <c r="S143" s="242"/>
      <c r="T143" s="242"/>
      <c r="U143" s="242"/>
      <c r="V143" s="243"/>
      <c r="W143" s="243"/>
      <c r="Y143" s="238">
        <v>22</v>
      </c>
      <c r="Z143" s="239"/>
      <c r="AA143" s="240"/>
      <c r="AB143" s="240"/>
      <c r="AC143" s="240"/>
      <c r="AD143" s="240"/>
      <c r="AE143" s="241"/>
      <c r="AF143" s="242"/>
      <c r="AG143" s="242"/>
      <c r="AH143" s="242"/>
      <c r="AI143" s="242"/>
      <c r="AJ143" s="242"/>
      <c r="AK143" s="242"/>
      <c r="AL143" s="242"/>
      <c r="AM143" s="242"/>
      <c r="AN143" s="242"/>
      <c r="AO143" s="242"/>
      <c r="AP143" s="242"/>
      <c r="AQ143" s="242"/>
      <c r="AR143" s="242"/>
      <c r="AS143" s="243"/>
      <c r="AT143" s="243"/>
    </row>
    <row r="144" spans="2:46">
      <c r="B144" s="231">
        <v>31</v>
      </c>
      <c r="C144" s="232"/>
      <c r="D144" s="233"/>
      <c r="E144" s="233"/>
      <c r="F144" s="233"/>
      <c r="G144" s="233"/>
      <c r="H144" s="234"/>
      <c r="I144" s="235"/>
      <c r="J144" s="235"/>
      <c r="K144" s="235"/>
      <c r="L144" s="235"/>
      <c r="M144" s="235"/>
      <c r="N144" s="235"/>
      <c r="O144" s="235"/>
      <c r="P144" s="235"/>
      <c r="Q144" s="235"/>
      <c r="R144" s="235"/>
      <c r="S144" s="235"/>
      <c r="T144" s="235"/>
      <c r="U144" s="235"/>
      <c r="V144" s="236"/>
      <c r="W144" s="236"/>
      <c r="Y144" s="231">
        <v>23</v>
      </c>
      <c r="Z144" s="232"/>
      <c r="AA144" s="233"/>
      <c r="AB144" s="233"/>
      <c r="AC144" s="233"/>
      <c r="AD144" s="233"/>
      <c r="AE144" s="234"/>
      <c r="AF144" s="235"/>
      <c r="AG144" s="235"/>
      <c r="AH144" s="235"/>
      <c r="AI144" s="235"/>
      <c r="AJ144" s="235"/>
      <c r="AK144" s="235"/>
      <c r="AL144" s="235"/>
      <c r="AM144" s="235"/>
      <c r="AN144" s="235"/>
      <c r="AO144" s="235"/>
      <c r="AP144" s="235"/>
      <c r="AQ144" s="235"/>
      <c r="AR144" s="235"/>
      <c r="AS144" s="236"/>
      <c r="AT144" s="236"/>
    </row>
    <row r="145" spans="2:46">
      <c r="B145" s="238">
        <v>32</v>
      </c>
      <c r="C145" s="239"/>
      <c r="D145" s="240"/>
      <c r="E145" s="240"/>
      <c r="F145" s="240"/>
      <c r="G145" s="240"/>
      <c r="H145" s="241"/>
      <c r="I145" s="242"/>
      <c r="J145" s="242"/>
      <c r="K145" s="242"/>
      <c r="L145" s="242"/>
      <c r="M145" s="242"/>
      <c r="N145" s="242"/>
      <c r="O145" s="242"/>
      <c r="P145" s="242"/>
      <c r="Q145" s="242"/>
      <c r="R145" s="242"/>
      <c r="S145" s="242"/>
      <c r="T145" s="242"/>
      <c r="U145" s="242"/>
      <c r="V145" s="243"/>
      <c r="W145" s="243"/>
      <c r="Y145" s="238">
        <v>24</v>
      </c>
      <c r="Z145" s="239"/>
      <c r="AA145" s="240"/>
      <c r="AB145" s="240"/>
      <c r="AC145" s="240"/>
      <c r="AD145" s="240"/>
      <c r="AE145" s="241"/>
      <c r="AF145" s="242"/>
      <c r="AG145" s="242"/>
      <c r="AH145" s="242"/>
      <c r="AI145" s="242"/>
      <c r="AJ145" s="242"/>
      <c r="AK145" s="242"/>
      <c r="AL145" s="242"/>
      <c r="AM145" s="242"/>
      <c r="AN145" s="242"/>
      <c r="AO145" s="242"/>
      <c r="AP145" s="242"/>
      <c r="AQ145" s="242"/>
      <c r="AR145" s="242"/>
      <c r="AS145" s="243"/>
      <c r="AT145" s="243"/>
    </row>
    <row r="146" spans="2:46">
      <c r="B146" s="231">
        <v>33</v>
      </c>
      <c r="C146" s="232"/>
      <c r="D146" s="233"/>
      <c r="E146" s="233"/>
      <c r="F146" s="233"/>
      <c r="G146" s="233"/>
      <c r="H146" s="234"/>
      <c r="I146" s="235"/>
      <c r="J146" s="235"/>
      <c r="K146" s="235"/>
      <c r="L146" s="235"/>
      <c r="M146" s="235"/>
      <c r="N146" s="235"/>
      <c r="O146" s="235"/>
      <c r="P146" s="235"/>
      <c r="Q146" s="235"/>
      <c r="R146" s="235"/>
      <c r="S146" s="235"/>
      <c r="T146" s="235"/>
      <c r="U146" s="235"/>
      <c r="V146" s="236"/>
      <c r="W146" s="236"/>
      <c r="Y146" s="231">
        <v>25</v>
      </c>
      <c r="Z146" s="232"/>
      <c r="AA146" s="233"/>
      <c r="AB146" s="233"/>
      <c r="AC146" s="233"/>
      <c r="AD146" s="233"/>
      <c r="AE146" s="234"/>
      <c r="AF146" s="235"/>
      <c r="AG146" s="235"/>
      <c r="AH146" s="235"/>
      <c r="AI146" s="235"/>
      <c r="AJ146" s="235"/>
      <c r="AK146" s="235"/>
      <c r="AL146" s="235"/>
      <c r="AM146" s="235"/>
      <c r="AN146" s="235"/>
      <c r="AO146" s="235"/>
      <c r="AP146" s="235"/>
      <c r="AQ146" s="235"/>
      <c r="AR146" s="235"/>
      <c r="AS146" s="236"/>
      <c r="AT146" s="236"/>
    </row>
    <row r="147" spans="2:46">
      <c r="B147" s="238">
        <v>34</v>
      </c>
      <c r="C147" s="239"/>
      <c r="D147" s="240"/>
      <c r="E147" s="240"/>
      <c r="F147" s="240"/>
      <c r="G147" s="240"/>
      <c r="H147" s="241"/>
      <c r="I147" s="242"/>
      <c r="J147" s="242"/>
      <c r="K147" s="242"/>
      <c r="L147" s="242"/>
      <c r="M147" s="242"/>
      <c r="N147" s="242"/>
      <c r="O147" s="242"/>
      <c r="P147" s="242"/>
      <c r="Q147" s="242"/>
      <c r="R147" s="242"/>
      <c r="S147" s="242"/>
      <c r="T147" s="242"/>
      <c r="U147" s="242"/>
      <c r="V147" s="243"/>
      <c r="W147" s="243"/>
      <c r="Y147" s="238">
        <v>26</v>
      </c>
      <c r="Z147" s="239"/>
      <c r="AA147" s="240"/>
      <c r="AB147" s="240"/>
      <c r="AC147" s="240"/>
      <c r="AD147" s="240"/>
      <c r="AE147" s="241"/>
      <c r="AF147" s="242"/>
      <c r="AG147" s="242"/>
      <c r="AH147" s="242"/>
      <c r="AI147" s="242"/>
      <c r="AJ147" s="242"/>
      <c r="AK147" s="242"/>
      <c r="AL147" s="242"/>
      <c r="AM147" s="242"/>
      <c r="AN147" s="242"/>
      <c r="AO147" s="242"/>
      <c r="AP147" s="242"/>
      <c r="AQ147" s="242"/>
      <c r="AR147" s="242"/>
      <c r="AS147" s="243"/>
      <c r="AT147" s="243"/>
    </row>
    <row r="148" spans="2:46">
      <c r="B148" s="231">
        <v>35</v>
      </c>
      <c r="C148" s="232"/>
      <c r="D148" s="233"/>
      <c r="E148" s="233"/>
      <c r="F148" s="233"/>
      <c r="G148" s="233"/>
      <c r="H148" s="234"/>
      <c r="I148" s="235"/>
      <c r="J148" s="235"/>
      <c r="K148" s="235"/>
      <c r="L148" s="235"/>
      <c r="M148" s="235"/>
      <c r="N148" s="235"/>
      <c r="O148" s="235"/>
      <c r="P148" s="235"/>
      <c r="Q148" s="235"/>
      <c r="R148" s="235"/>
      <c r="S148" s="235"/>
      <c r="T148" s="235"/>
      <c r="U148" s="235"/>
      <c r="V148" s="236"/>
      <c r="W148" s="236"/>
      <c r="Y148" s="231">
        <v>27</v>
      </c>
      <c r="Z148" s="232"/>
      <c r="AA148" s="233"/>
      <c r="AB148" s="233"/>
      <c r="AC148" s="233"/>
      <c r="AD148" s="233"/>
      <c r="AE148" s="234"/>
      <c r="AF148" s="235"/>
      <c r="AG148" s="235"/>
      <c r="AH148" s="235"/>
      <c r="AI148" s="235"/>
      <c r="AJ148" s="235"/>
      <c r="AK148" s="235"/>
      <c r="AL148" s="235"/>
      <c r="AM148" s="235"/>
      <c r="AN148" s="235"/>
      <c r="AO148" s="235"/>
      <c r="AP148" s="235"/>
      <c r="AQ148" s="235"/>
      <c r="AR148" s="235"/>
      <c r="AS148" s="236"/>
      <c r="AT148" s="236"/>
    </row>
    <row r="149" spans="2:46">
      <c r="B149" s="238">
        <v>36</v>
      </c>
      <c r="C149" s="239"/>
      <c r="D149" s="240"/>
      <c r="E149" s="240"/>
      <c r="F149" s="240"/>
      <c r="G149" s="240"/>
      <c r="H149" s="241"/>
      <c r="I149" s="242"/>
      <c r="J149" s="242"/>
      <c r="K149" s="242"/>
      <c r="L149" s="242"/>
      <c r="M149" s="242"/>
      <c r="N149" s="242"/>
      <c r="O149" s="242"/>
      <c r="P149" s="242"/>
      <c r="Q149" s="242"/>
      <c r="R149" s="242"/>
      <c r="S149" s="242"/>
      <c r="T149" s="242"/>
      <c r="U149" s="242"/>
      <c r="V149" s="243"/>
      <c r="W149" s="243"/>
      <c r="Y149" s="238">
        <v>28</v>
      </c>
      <c r="Z149" s="239"/>
      <c r="AA149" s="240"/>
      <c r="AB149" s="240"/>
      <c r="AC149" s="240"/>
      <c r="AD149" s="240"/>
      <c r="AE149" s="241"/>
      <c r="AF149" s="242"/>
      <c r="AG149" s="242"/>
      <c r="AH149" s="242"/>
      <c r="AI149" s="242"/>
      <c r="AJ149" s="242"/>
      <c r="AK149" s="242"/>
      <c r="AL149" s="242"/>
      <c r="AM149" s="242"/>
      <c r="AN149" s="242"/>
      <c r="AO149" s="242"/>
      <c r="AP149" s="242"/>
      <c r="AQ149" s="242"/>
      <c r="AR149" s="242"/>
      <c r="AS149" s="243"/>
      <c r="AT149" s="243"/>
    </row>
    <row r="150" spans="2:46">
      <c r="B150" s="231">
        <v>37</v>
      </c>
      <c r="C150" s="232"/>
      <c r="D150" s="233"/>
      <c r="E150" s="233"/>
      <c r="F150" s="233"/>
      <c r="G150" s="233"/>
      <c r="H150" s="234"/>
      <c r="I150" s="235"/>
      <c r="J150" s="235"/>
      <c r="K150" s="235"/>
      <c r="L150" s="235"/>
      <c r="M150" s="235"/>
      <c r="N150" s="235"/>
      <c r="O150" s="235"/>
      <c r="P150" s="235"/>
      <c r="Q150" s="235"/>
      <c r="R150" s="235"/>
      <c r="S150" s="235"/>
      <c r="T150" s="235"/>
      <c r="U150" s="235"/>
      <c r="V150" s="236"/>
      <c r="W150" s="236"/>
      <c r="Y150" s="231">
        <v>29</v>
      </c>
      <c r="Z150" s="232"/>
      <c r="AA150" s="233"/>
      <c r="AB150" s="233"/>
      <c r="AC150" s="233"/>
      <c r="AD150" s="233"/>
      <c r="AE150" s="234"/>
      <c r="AF150" s="235"/>
      <c r="AG150" s="235"/>
      <c r="AH150" s="235"/>
      <c r="AI150" s="235"/>
      <c r="AJ150" s="235"/>
      <c r="AK150" s="235"/>
      <c r="AL150" s="235"/>
      <c r="AM150" s="235"/>
      <c r="AN150" s="235"/>
      <c r="AO150" s="235"/>
      <c r="AP150" s="235"/>
      <c r="AQ150" s="235"/>
      <c r="AR150" s="235"/>
      <c r="AS150" s="236"/>
      <c r="AT150" s="236"/>
    </row>
    <row r="151" spans="2:46">
      <c r="B151" s="238">
        <v>38</v>
      </c>
      <c r="C151" s="239"/>
      <c r="D151" s="240"/>
      <c r="E151" s="240"/>
      <c r="F151" s="240"/>
      <c r="G151" s="240"/>
      <c r="H151" s="241"/>
      <c r="I151" s="242"/>
      <c r="J151" s="242"/>
      <c r="K151" s="242"/>
      <c r="L151" s="242"/>
      <c r="M151" s="242"/>
      <c r="N151" s="242"/>
      <c r="O151" s="242"/>
      <c r="P151" s="242"/>
      <c r="Q151" s="242"/>
      <c r="R151" s="242"/>
      <c r="S151" s="242"/>
      <c r="T151" s="242"/>
      <c r="U151" s="242"/>
      <c r="V151" s="243"/>
      <c r="W151" s="243"/>
      <c r="Y151" s="238">
        <v>30</v>
      </c>
      <c r="Z151" s="239"/>
      <c r="AA151" s="240"/>
      <c r="AB151" s="240"/>
      <c r="AC151" s="240"/>
      <c r="AD151" s="240"/>
      <c r="AE151" s="241"/>
      <c r="AF151" s="242"/>
      <c r="AG151" s="242"/>
      <c r="AH151" s="242"/>
      <c r="AI151" s="242"/>
      <c r="AJ151" s="242"/>
      <c r="AK151" s="242"/>
      <c r="AL151" s="242"/>
      <c r="AM151" s="242"/>
      <c r="AN151" s="242"/>
      <c r="AO151" s="242"/>
      <c r="AP151" s="242"/>
      <c r="AQ151" s="242"/>
      <c r="AR151" s="242"/>
      <c r="AS151" s="243"/>
      <c r="AT151" s="243"/>
    </row>
    <row r="152" spans="2:46">
      <c r="B152" s="231">
        <v>39</v>
      </c>
      <c r="C152" s="232"/>
      <c r="D152" s="233"/>
      <c r="E152" s="233"/>
      <c r="F152" s="233"/>
      <c r="G152" s="233"/>
      <c r="H152" s="234"/>
      <c r="I152" s="235"/>
      <c r="J152" s="235"/>
      <c r="K152" s="235"/>
      <c r="L152" s="235"/>
      <c r="M152" s="235"/>
      <c r="N152" s="235"/>
      <c r="O152" s="235"/>
      <c r="P152" s="235"/>
      <c r="Q152" s="235"/>
      <c r="R152" s="235"/>
      <c r="S152" s="235"/>
      <c r="T152" s="235"/>
      <c r="U152" s="235"/>
      <c r="V152" s="236"/>
      <c r="W152" s="236"/>
      <c r="Y152" s="231">
        <v>31</v>
      </c>
      <c r="Z152" s="232"/>
      <c r="AA152" s="233"/>
      <c r="AB152" s="233"/>
      <c r="AC152" s="233"/>
      <c r="AD152" s="233"/>
      <c r="AE152" s="234"/>
      <c r="AF152" s="235"/>
      <c r="AG152" s="235"/>
      <c r="AH152" s="235"/>
      <c r="AI152" s="235"/>
      <c r="AJ152" s="235"/>
      <c r="AK152" s="235"/>
      <c r="AL152" s="235"/>
      <c r="AM152" s="235"/>
      <c r="AN152" s="235"/>
      <c r="AO152" s="235"/>
      <c r="AP152" s="235"/>
      <c r="AQ152" s="235"/>
      <c r="AR152" s="235"/>
      <c r="AS152" s="236"/>
      <c r="AT152" s="236"/>
    </row>
    <row r="153" spans="2:46">
      <c r="B153" s="238">
        <v>40</v>
      </c>
      <c r="C153" s="239"/>
      <c r="D153" s="240"/>
      <c r="E153" s="240"/>
      <c r="F153" s="240"/>
      <c r="G153" s="240"/>
      <c r="H153" s="241"/>
      <c r="I153" s="242"/>
      <c r="J153" s="242"/>
      <c r="K153" s="242"/>
      <c r="L153" s="242"/>
      <c r="M153" s="242"/>
      <c r="N153" s="242"/>
      <c r="O153" s="242"/>
      <c r="P153" s="242"/>
      <c r="Q153" s="242"/>
      <c r="R153" s="242"/>
      <c r="S153" s="242"/>
      <c r="T153" s="242"/>
      <c r="U153" s="242"/>
      <c r="V153" s="243"/>
      <c r="W153" s="243"/>
      <c r="Y153" s="238">
        <v>32</v>
      </c>
      <c r="Z153" s="239"/>
      <c r="AA153" s="240"/>
      <c r="AB153" s="240"/>
      <c r="AC153" s="240"/>
      <c r="AD153" s="240"/>
      <c r="AE153" s="241"/>
      <c r="AF153" s="242"/>
      <c r="AG153" s="242"/>
      <c r="AH153" s="242"/>
      <c r="AI153" s="242"/>
      <c r="AJ153" s="242"/>
      <c r="AK153" s="242"/>
      <c r="AL153" s="242"/>
      <c r="AM153" s="242"/>
      <c r="AN153" s="242"/>
      <c r="AO153" s="242"/>
      <c r="AP153" s="242"/>
      <c r="AQ153" s="242"/>
      <c r="AR153" s="242"/>
      <c r="AS153" s="243"/>
      <c r="AT153" s="243"/>
    </row>
    <row r="154" spans="2:46">
      <c r="B154" s="231">
        <v>41</v>
      </c>
      <c r="C154" s="232"/>
      <c r="D154" s="233"/>
      <c r="E154" s="233"/>
      <c r="F154" s="233"/>
      <c r="G154" s="233"/>
      <c r="H154" s="234"/>
      <c r="I154" s="235"/>
      <c r="J154" s="235"/>
      <c r="K154" s="235"/>
      <c r="L154" s="235"/>
      <c r="M154" s="235"/>
      <c r="N154" s="235"/>
      <c r="O154" s="235"/>
      <c r="P154" s="235"/>
      <c r="Q154" s="235"/>
      <c r="R154" s="235"/>
      <c r="S154" s="235"/>
      <c r="T154" s="235"/>
      <c r="U154" s="235"/>
      <c r="V154" s="236"/>
      <c r="W154" s="236"/>
      <c r="Y154" s="231">
        <v>33</v>
      </c>
      <c r="Z154" s="232"/>
      <c r="AA154" s="233"/>
      <c r="AB154" s="233"/>
      <c r="AC154" s="233"/>
      <c r="AD154" s="233"/>
      <c r="AE154" s="234"/>
      <c r="AF154" s="235"/>
      <c r="AG154" s="235"/>
      <c r="AH154" s="235"/>
      <c r="AI154" s="235"/>
      <c r="AJ154" s="235"/>
      <c r="AK154" s="235"/>
      <c r="AL154" s="235"/>
      <c r="AM154" s="235"/>
      <c r="AN154" s="235"/>
      <c r="AO154" s="235"/>
      <c r="AP154" s="235"/>
      <c r="AQ154" s="235"/>
      <c r="AR154" s="235"/>
      <c r="AS154" s="236"/>
      <c r="AT154" s="236"/>
    </row>
    <row r="155" spans="2:46">
      <c r="B155" s="238">
        <v>42</v>
      </c>
      <c r="C155" s="239"/>
      <c r="D155" s="240"/>
      <c r="E155" s="240"/>
      <c r="F155" s="240"/>
      <c r="G155" s="240"/>
      <c r="H155" s="241"/>
      <c r="I155" s="242"/>
      <c r="J155" s="242"/>
      <c r="K155" s="242"/>
      <c r="L155" s="242"/>
      <c r="M155" s="242"/>
      <c r="N155" s="242"/>
      <c r="O155" s="242"/>
      <c r="P155" s="242"/>
      <c r="Q155" s="242"/>
      <c r="R155" s="242"/>
      <c r="S155" s="242"/>
      <c r="T155" s="242"/>
      <c r="U155" s="242"/>
      <c r="V155" s="243"/>
      <c r="W155" s="243"/>
      <c r="Y155" s="238">
        <v>34</v>
      </c>
      <c r="Z155" s="239"/>
      <c r="AA155" s="240"/>
      <c r="AB155" s="240"/>
      <c r="AC155" s="240"/>
      <c r="AD155" s="240"/>
      <c r="AE155" s="241"/>
      <c r="AF155" s="242"/>
      <c r="AG155" s="242"/>
      <c r="AH155" s="242"/>
      <c r="AI155" s="242"/>
      <c r="AJ155" s="242"/>
      <c r="AK155" s="242"/>
      <c r="AL155" s="242"/>
      <c r="AM155" s="242"/>
      <c r="AN155" s="242"/>
      <c r="AO155" s="242"/>
      <c r="AP155" s="242"/>
      <c r="AQ155" s="242"/>
      <c r="AR155" s="242"/>
      <c r="AS155" s="243"/>
      <c r="AT155" s="243"/>
    </row>
    <row r="156" spans="2:46">
      <c r="B156" s="231">
        <v>43</v>
      </c>
      <c r="C156" s="232"/>
      <c r="D156" s="233"/>
      <c r="E156" s="233"/>
      <c r="F156" s="233"/>
      <c r="G156" s="233"/>
      <c r="H156" s="234"/>
      <c r="I156" s="235"/>
      <c r="J156" s="235"/>
      <c r="K156" s="235"/>
      <c r="L156" s="235"/>
      <c r="M156" s="235"/>
      <c r="N156" s="235"/>
      <c r="O156" s="235"/>
      <c r="P156" s="235"/>
      <c r="Q156" s="235"/>
      <c r="R156" s="235"/>
      <c r="S156" s="235"/>
      <c r="T156" s="235"/>
      <c r="U156" s="235"/>
      <c r="V156" s="236"/>
      <c r="W156" s="236"/>
      <c r="Y156" s="231">
        <v>35</v>
      </c>
      <c r="Z156" s="232"/>
      <c r="AA156" s="233"/>
      <c r="AB156" s="233"/>
      <c r="AC156" s="233"/>
      <c r="AD156" s="233"/>
      <c r="AE156" s="234"/>
      <c r="AF156" s="235"/>
      <c r="AG156" s="235"/>
      <c r="AH156" s="235"/>
      <c r="AI156" s="235"/>
      <c r="AJ156" s="235"/>
      <c r="AK156" s="235"/>
      <c r="AL156" s="235"/>
      <c r="AM156" s="235"/>
      <c r="AN156" s="235"/>
      <c r="AO156" s="235"/>
      <c r="AP156" s="235"/>
      <c r="AQ156" s="235"/>
      <c r="AR156" s="235"/>
      <c r="AS156" s="236"/>
      <c r="AT156" s="236"/>
    </row>
    <row r="157" spans="2:46">
      <c r="B157" s="238">
        <v>44</v>
      </c>
      <c r="C157" s="239"/>
      <c r="D157" s="240"/>
      <c r="E157" s="240"/>
      <c r="F157" s="240"/>
      <c r="G157" s="240"/>
      <c r="H157" s="241"/>
      <c r="I157" s="242"/>
      <c r="J157" s="242"/>
      <c r="K157" s="242"/>
      <c r="L157" s="242"/>
      <c r="M157" s="242"/>
      <c r="N157" s="242"/>
      <c r="O157" s="242"/>
      <c r="P157" s="242"/>
      <c r="Q157" s="242"/>
      <c r="R157" s="242"/>
      <c r="S157" s="242"/>
      <c r="T157" s="242"/>
      <c r="U157" s="242"/>
      <c r="V157" s="243"/>
      <c r="W157" s="243"/>
      <c r="Y157" s="238">
        <v>36</v>
      </c>
      <c r="Z157" s="239"/>
      <c r="AA157" s="240"/>
      <c r="AB157" s="240"/>
      <c r="AC157" s="240"/>
      <c r="AD157" s="240"/>
      <c r="AE157" s="241"/>
      <c r="AF157" s="242"/>
      <c r="AG157" s="242"/>
      <c r="AH157" s="242"/>
      <c r="AI157" s="242"/>
      <c r="AJ157" s="242"/>
      <c r="AK157" s="242"/>
      <c r="AL157" s="242"/>
      <c r="AM157" s="242"/>
      <c r="AN157" s="242"/>
      <c r="AO157" s="242"/>
      <c r="AP157" s="242"/>
      <c r="AQ157" s="242"/>
      <c r="AR157" s="242"/>
      <c r="AS157" s="243"/>
      <c r="AT157" s="243"/>
    </row>
    <row r="158" spans="2:46">
      <c r="B158" s="231">
        <v>45</v>
      </c>
      <c r="C158" s="232"/>
      <c r="D158" s="233"/>
      <c r="E158" s="233"/>
      <c r="F158" s="233"/>
      <c r="G158" s="233"/>
      <c r="H158" s="234"/>
      <c r="I158" s="235"/>
      <c r="J158" s="235"/>
      <c r="K158" s="235"/>
      <c r="L158" s="235"/>
      <c r="M158" s="235"/>
      <c r="N158" s="235"/>
      <c r="O158" s="235"/>
      <c r="P158" s="235"/>
      <c r="Q158" s="235"/>
      <c r="R158" s="235"/>
      <c r="S158" s="235"/>
      <c r="T158" s="235"/>
      <c r="U158" s="235"/>
      <c r="V158" s="236"/>
      <c r="W158" s="236"/>
      <c r="Y158" s="231">
        <v>37</v>
      </c>
      <c r="Z158" s="232"/>
      <c r="AA158" s="233"/>
      <c r="AB158" s="233"/>
      <c r="AC158" s="233"/>
      <c r="AD158" s="233"/>
      <c r="AE158" s="234"/>
      <c r="AF158" s="235"/>
      <c r="AG158" s="235"/>
      <c r="AH158" s="235"/>
      <c r="AI158" s="235"/>
      <c r="AJ158" s="235"/>
      <c r="AK158" s="235"/>
      <c r="AL158" s="235"/>
      <c r="AM158" s="235"/>
      <c r="AN158" s="235"/>
      <c r="AO158" s="235"/>
      <c r="AP158" s="235"/>
      <c r="AQ158" s="235"/>
      <c r="AR158" s="235"/>
      <c r="AS158" s="236"/>
      <c r="AT158" s="236"/>
    </row>
    <row r="159" spans="2:46">
      <c r="B159" s="238">
        <v>46</v>
      </c>
      <c r="C159" s="239"/>
      <c r="D159" s="240"/>
      <c r="E159" s="240"/>
      <c r="F159" s="240"/>
      <c r="G159" s="240"/>
      <c r="H159" s="241"/>
      <c r="I159" s="242"/>
      <c r="J159" s="242"/>
      <c r="K159" s="242"/>
      <c r="L159" s="242"/>
      <c r="M159" s="242"/>
      <c r="N159" s="242"/>
      <c r="O159" s="242"/>
      <c r="P159" s="242"/>
      <c r="Q159" s="242"/>
      <c r="R159" s="242"/>
      <c r="S159" s="242"/>
      <c r="T159" s="242"/>
      <c r="U159" s="242"/>
      <c r="V159" s="243"/>
      <c r="W159" s="243"/>
      <c r="Y159" s="238">
        <v>38</v>
      </c>
      <c r="Z159" s="239"/>
      <c r="AA159" s="240"/>
      <c r="AB159" s="240"/>
      <c r="AC159" s="240"/>
      <c r="AD159" s="240"/>
      <c r="AE159" s="241"/>
      <c r="AF159" s="242"/>
      <c r="AG159" s="242"/>
      <c r="AH159" s="242"/>
      <c r="AI159" s="242"/>
      <c r="AJ159" s="242"/>
      <c r="AK159" s="242"/>
      <c r="AL159" s="242"/>
      <c r="AM159" s="242"/>
      <c r="AN159" s="242"/>
      <c r="AO159" s="242"/>
      <c r="AP159" s="242"/>
      <c r="AQ159" s="242"/>
      <c r="AR159" s="242"/>
      <c r="AS159" s="243"/>
      <c r="AT159" s="243"/>
    </row>
    <row r="160" spans="2:46">
      <c r="B160" s="231">
        <v>47</v>
      </c>
      <c r="C160" s="232"/>
      <c r="D160" s="233"/>
      <c r="E160" s="233"/>
      <c r="F160" s="233"/>
      <c r="G160" s="233"/>
      <c r="H160" s="234"/>
      <c r="I160" s="235"/>
      <c r="J160" s="235"/>
      <c r="K160" s="235"/>
      <c r="L160" s="235"/>
      <c r="M160" s="235"/>
      <c r="N160" s="235"/>
      <c r="O160" s="235"/>
      <c r="P160" s="235"/>
      <c r="Q160" s="235"/>
      <c r="R160" s="235"/>
      <c r="S160" s="235"/>
      <c r="T160" s="235"/>
      <c r="U160" s="235"/>
      <c r="V160" s="236"/>
      <c r="W160" s="236"/>
      <c r="Y160" s="231">
        <v>39</v>
      </c>
      <c r="Z160" s="232"/>
      <c r="AA160" s="233"/>
      <c r="AB160" s="233"/>
      <c r="AC160" s="233"/>
      <c r="AD160" s="233"/>
      <c r="AE160" s="234"/>
      <c r="AF160" s="235"/>
      <c r="AG160" s="235"/>
      <c r="AH160" s="235"/>
      <c r="AI160" s="235"/>
      <c r="AJ160" s="235"/>
      <c r="AK160" s="235"/>
      <c r="AL160" s="235"/>
      <c r="AM160" s="235"/>
      <c r="AN160" s="235"/>
      <c r="AO160" s="235"/>
      <c r="AP160" s="235"/>
      <c r="AQ160" s="235"/>
      <c r="AR160" s="235"/>
      <c r="AS160" s="236"/>
      <c r="AT160" s="236"/>
    </row>
    <row r="161" spans="2:46">
      <c r="B161" s="238">
        <v>48</v>
      </c>
      <c r="C161" s="239"/>
      <c r="D161" s="240"/>
      <c r="E161" s="240"/>
      <c r="F161" s="240"/>
      <c r="G161" s="240"/>
      <c r="H161" s="241"/>
      <c r="I161" s="242"/>
      <c r="J161" s="242"/>
      <c r="K161" s="242"/>
      <c r="L161" s="242"/>
      <c r="M161" s="242"/>
      <c r="N161" s="242"/>
      <c r="O161" s="242"/>
      <c r="P161" s="242"/>
      <c r="Q161" s="242"/>
      <c r="R161" s="242"/>
      <c r="S161" s="242"/>
      <c r="T161" s="242"/>
      <c r="U161" s="242"/>
      <c r="V161" s="243"/>
      <c r="W161" s="243"/>
      <c r="Y161" s="238">
        <v>40</v>
      </c>
      <c r="Z161" s="239"/>
      <c r="AA161" s="240"/>
      <c r="AB161" s="240"/>
      <c r="AC161" s="240"/>
      <c r="AD161" s="240"/>
      <c r="AE161" s="241"/>
      <c r="AF161" s="242"/>
      <c r="AG161" s="242"/>
      <c r="AH161" s="242"/>
      <c r="AI161" s="242"/>
      <c r="AJ161" s="242"/>
      <c r="AK161" s="242"/>
      <c r="AL161" s="242"/>
      <c r="AM161" s="242"/>
      <c r="AN161" s="242"/>
      <c r="AO161" s="242"/>
      <c r="AP161" s="242"/>
      <c r="AQ161" s="242"/>
      <c r="AR161" s="242"/>
      <c r="AS161" s="243"/>
      <c r="AT161" s="243"/>
    </row>
    <row r="162" spans="2:46">
      <c r="B162" s="231">
        <v>49</v>
      </c>
      <c r="C162" s="232"/>
      <c r="D162" s="233"/>
      <c r="E162" s="233"/>
      <c r="F162" s="233"/>
      <c r="G162" s="233"/>
      <c r="H162" s="234"/>
      <c r="I162" s="235"/>
      <c r="J162" s="235"/>
      <c r="K162" s="235"/>
      <c r="L162" s="235"/>
      <c r="M162" s="235"/>
      <c r="N162" s="235"/>
      <c r="O162" s="235"/>
      <c r="P162" s="235"/>
      <c r="Q162" s="235"/>
      <c r="R162" s="235"/>
      <c r="S162" s="235"/>
      <c r="T162" s="235"/>
      <c r="U162" s="235"/>
      <c r="V162" s="236"/>
      <c r="W162" s="236"/>
      <c r="Y162" s="231">
        <v>41</v>
      </c>
      <c r="Z162" s="232"/>
      <c r="AA162" s="233"/>
      <c r="AB162" s="233"/>
      <c r="AC162" s="233"/>
      <c r="AD162" s="233"/>
      <c r="AE162" s="234"/>
      <c r="AF162" s="235"/>
      <c r="AG162" s="235"/>
      <c r="AH162" s="235"/>
      <c r="AI162" s="235"/>
      <c r="AJ162" s="235"/>
      <c r="AK162" s="235"/>
      <c r="AL162" s="235"/>
      <c r="AM162" s="235"/>
      <c r="AN162" s="235"/>
      <c r="AO162" s="235"/>
      <c r="AP162" s="235"/>
      <c r="AQ162" s="235"/>
      <c r="AR162" s="235"/>
      <c r="AS162" s="236"/>
      <c r="AT162" s="236"/>
    </row>
    <row r="163" spans="2:46">
      <c r="B163" s="238">
        <v>50</v>
      </c>
      <c r="C163" s="239"/>
      <c r="D163" s="240"/>
      <c r="E163" s="240"/>
      <c r="F163" s="240"/>
      <c r="G163" s="240"/>
      <c r="H163" s="241"/>
      <c r="I163" s="242"/>
      <c r="J163" s="242"/>
      <c r="K163" s="242"/>
      <c r="L163" s="242"/>
      <c r="M163" s="242"/>
      <c r="N163" s="242"/>
      <c r="O163" s="242"/>
      <c r="P163" s="242"/>
      <c r="Q163" s="242"/>
      <c r="R163" s="242"/>
      <c r="S163" s="242"/>
      <c r="T163" s="242"/>
      <c r="U163" s="242"/>
      <c r="V163" s="243"/>
      <c r="W163" s="243"/>
      <c r="Y163" s="238">
        <v>42</v>
      </c>
      <c r="Z163" s="239"/>
      <c r="AA163" s="240"/>
      <c r="AB163" s="240"/>
      <c r="AC163" s="240"/>
      <c r="AD163" s="240"/>
      <c r="AE163" s="241"/>
      <c r="AF163" s="242"/>
      <c r="AG163" s="242"/>
      <c r="AH163" s="242"/>
      <c r="AI163" s="242"/>
      <c r="AJ163" s="242"/>
      <c r="AK163" s="242"/>
      <c r="AL163" s="242"/>
      <c r="AM163" s="242"/>
      <c r="AN163" s="242"/>
      <c r="AO163" s="242"/>
      <c r="AP163" s="242"/>
      <c r="AQ163" s="242"/>
      <c r="AR163" s="242"/>
      <c r="AS163" s="243"/>
      <c r="AT163" s="243"/>
    </row>
    <row r="164" spans="2:46">
      <c r="B164" s="231">
        <v>51</v>
      </c>
      <c r="C164" s="232"/>
      <c r="D164" s="233"/>
      <c r="E164" s="233"/>
      <c r="F164" s="233"/>
      <c r="G164" s="233"/>
      <c r="H164" s="234"/>
      <c r="I164" s="235"/>
      <c r="J164" s="235"/>
      <c r="K164" s="235"/>
      <c r="L164" s="235"/>
      <c r="M164" s="235"/>
      <c r="N164" s="235"/>
      <c r="O164" s="235"/>
      <c r="P164" s="235"/>
      <c r="Q164" s="235"/>
      <c r="R164" s="235"/>
      <c r="S164" s="235"/>
      <c r="T164" s="235"/>
      <c r="U164" s="235"/>
      <c r="V164" s="236"/>
      <c r="W164" s="236"/>
      <c r="Y164" s="231">
        <v>43</v>
      </c>
      <c r="Z164" s="232"/>
      <c r="AA164" s="233"/>
      <c r="AB164" s="233"/>
      <c r="AC164" s="233"/>
      <c r="AD164" s="233"/>
      <c r="AE164" s="234"/>
      <c r="AF164" s="235"/>
      <c r="AG164" s="235"/>
      <c r="AH164" s="235"/>
      <c r="AI164" s="235"/>
      <c r="AJ164" s="235"/>
      <c r="AK164" s="235"/>
      <c r="AL164" s="235"/>
      <c r="AM164" s="235"/>
      <c r="AN164" s="235"/>
      <c r="AO164" s="235"/>
      <c r="AP164" s="235"/>
      <c r="AQ164" s="235"/>
      <c r="AR164" s="235"/>
      <c r="AS164" s="236"/>
      <c r="AT164" s="236"/>
    </row>
    <row r="165" spans="2:46">
      <c r="B165" s="238">
        <v>52</v>
      </c>
      <c r="C165" s="239"/>
      <c r="D165" s="240"/>
      <c r="E165" s="240"/>
      <c r="F165" s="240"/>
      <c r="G165" s="240"/>
      <c r="H165" s="241"/>
      <c r="I165" s="242"/>
      <c r="J165" s="242"/>
      <c r="K165" s="242"/>
      <c r="L165" s="242"/>
      <c r="M165" s="242"/>
      <c r="N165" s="242"/>
      <c r="O165" s="242"/>
      <c r="P165" s="242"/>
      <c r="Q165" s="242"/>
      <c r="R165" s="242"/>
      <c r="S165" s="242"/>
      <c r="T165" s="242"/>
      <c r="U165" s="242"/>
      <c r="V165" s="243"/>
      <c r="W165" s="243"/>
      <c r="Y165" s="238">
        <v>44</v>
      </c>
      <c r="Z165" s="239"/>
      <c r="AA165" s="240"/>
      <c r="AB165" s="240"/>
      <c r="AC165" s="240"/>
      <c r="AD165" s="240"/>
      <c r="AE165" s="241"/>
      <c r="AF165" s="242"/>
      <c r="AG165" s="242"/>
      <c r="AH165" s="242"/>
      <c r="AI165" s="242"/>
      <c r="AJ165" s="242"/>
      <c r="AK165" s="242"/>
      <c r="AL165" s="242"/>
      <c r="AM165" s="242"/>
      <c r="AN165" s="242"/>
      <c r="AO165" s="242"/>
      <c r="AP165" s="242"/>
      <c r="AQ165" s="242"/>
      <c r="AR165" s="242"/>
      <c r="AS165" s="243"/>
      <c r="AT165" s="243"/>
    </row>
    <row r="166" spans="2:46">
      <c r="B166" s="231">
        <v>53</v>
      </c>
      <c r="C166" s="232"/>
      <c r="D166" s="233"/>
      <c r="E166" s="233"/>
      <c r="F166" s="233"/>
      <c r="G166" s="233"/>
      <c r="H166" s="234"/>
      <c r="I166" s="235"/>
      <c r="J166" s="235"/>
      <c r="K166" s="235"/>
      <c r="L166" s="235"/>
      <c r="M166" s="235"/>
      <c r="N166" s="235"/>
      <c r="O166" s="235"/>
      <c r="P166" s="235"/>
      <c r="Q166" s="235"/>
      <c r="R166" s="235"/>
      <c r="S166" s="235"/>
      <c r="T166" s="235"/>
      <c r="U166" s="235"/>
      <c r="V166" s="236"/>
      <c r="W166" s="236"/>
      <c r="Y166" s="231">
        <v>45</v>
      </c>
      <c r="Z166" s="232"/>
      <c r="AA166" s="233"/>
      <c r="AB166" s="233"/>
      <c r="AC166" s="233"/>
      <c r="AD166" s="233"/>
      <c r="AE166" s="234"/>
      <c r="AF166" s="235"/>
      <c r="AG166" s="235"/>
      <c r="AH166" s="235"/>
      <c r="AI166" s="235"/>
      <c r="AJ166" s="235"/>
      <c r="AK166" s="235"/>
      <c r="AL166" s="235"/>
      <c r="AM166" s="235"/>
      <c r="AN166" s="235"/>
      <c r="AO166" s="235"/>
      <c r="AP166" s="235"/>
      <c r="AQ166" s="235"/>
      <c r="AR166" s="235"/>
      <c r="AS166" s="236"/>
      <c r="AT166" s="236"/>
    </row>
    <row r="167" spans="2:46">
      <c r="B167" s="238">
        <v>54</v>
      </c>
      <c r="C167" s="239"/>
      <c r="D167" s="240"/>
      <c r="E167" s="240"/>
      <c r="F167" s="240"/>
      <c r="G167" s="240"/>
      <c r="H167" s="241"/>
      <c r="I167" s="242"/>
      <c r="J167" s="242"/>
      <c r="K167" s="242"/>
      <c r="L167" s="242"/>
      <c r="M167" s="242"/>
      <c r="N167" s="242"/>
      <c r="O167" s="242"/>
      <c r="P167" s="242"/>
      <c r="Q167" s="242"/>
      <c r="R167" s="242"/>
      <c r="S167" s="242"/>
      <c r="T167" s="242"/>
      <c r="U167" s="242"/>
      <c r="V167" s="243"/>
      <c r="W167" s="243"/>
      <c r="Y167" s="238">
        <v>46</v>
      </c>
      <c r="Z167" s="239"/>
      <c r="AA167" s="240"/>
      <c r="AB167" s="240"/>
      <c r="AC167" s="240"/>
      <c r="AD167" s="240"/>
      <c r="AE167" s="241"/>
      <c r="AF167" s="242"/>
      <c r="AG167" s="242"/>
      <c r="AH167" s="242"/>
      <c r="AI167" s="242"/>
      <c r="AJ167" s="242"/>
      <c r="AK167" s="242"/>
      <c r="AL167" s="242"/>
      <c r="AM167" s="242"/>
      <c r="AN167" s="242"/>
      <c r="AO167" s="242"/>
      <c r="AP167" s="242"/>
      <c r="AQ167" s="242"/>
      <c r="AR167" s="242"/>
      <c r="AS167" s="243"/>
      <c r="AT167" s="243"/>
    </row>
    <row r="168" spans="2:46">
      <c r="B168" s="231">
        <v>55</v>
      </c>
      <c r="C168" s="232"/>
      <c r="D168" s="233"/>
      <c r="E168" s="233"/>
      <c r="F168" s="233"/>
      <c r="G168" s="233"/>
      <c r="H168" s="234"/>
      <c r="I168" s="235"/>
      <c r="J168" s="235"/>
      <c r="K168" s="235"/>
      <c r="L168" s="235"/>
      <c r="M168" s="235"/>
      <c r="N168" s="235"/>
      <c r="O168" s="235"/>
      <c r="P168" s="235"/>
      <c r="Q168" s="235"/>
      <c r="R168" s="235"/>
      <c r="S168" s="235"/>
      <c r="T168" s="235"/>
      <c r="U168" s="235"/>
      <c r="V168" s="236"/>
      <c r="W168" s="236"/>
      <c r="Y168" s="231">
        <v>47</v>
      </c>
      <c r="Z168" s="232"/>
      <c r="AA168" s="233"/>
      <c r="AB168" s="233"/>
      <c r="AC168" s="233"/>
      <c r="AD168" s="233"/>
      <c r="AE168" s="234"/>
      <c r="AF168" s="235"/>
      <c r="AG168" s="235"/>
      <c r="AH168" s="235"/>
      <c r="AI168" s="235"/>
      <c r="AJ168" s="235"/>
      <c r="AK168" s="235"/>
      <c r="AL168" s="235"/>
      <c r="AM168" s="235"/>
      <c r="AN168" s="235"/>
      <c r="AO168" s="235"/>
      <c r="AP168" s="235"/>
      <c r="AQ168" s="235"/>
      <c r="AR168" s="235"/>
      <c r="AS168" s="236"/>
      <c r="AT168" s="236"/>
    </row>
    <row r="169" spans="2:46">
      <c r="B169" s="238">
        <v>56</v>
      </c>
      <c r="C169" s="239"/>
      <c r="D169" s="240"/>
      <c r="E169" s="240"/>
      <c r="F169" s="240"/>
      <c r="G169" s="240"/>
      <c r="H169" s="241"/>
      <c r="I169" s="242"/>
      <c r="J169" s="242"/>
      <c r="K169" s="242"/>
      <c r="L169" s="242"/>
      <c r="M169" s="242"/>
      <c r="N169" s="242"/>
      <c r="O169" s="242"/>
      <c r="P169" s="242"/>
      <c r="Q169" s="242"/>
      <c r="R169" s="242"/>
      <c r="S169" s="242"/>
      <c r="T169" s="242"/>
      <c r="U169" s="242"/>
      <c r="V169" s="243"/>
      <c r="W169" s="243"/>
      <c r="Y169" s="238">
        <v>48</v>
      </c>
      <c r="Z169" s="239"/>
      <c r="AA169" s="240"/>
      <c r="AB169" s="240"/>
      <c r="AC169" s="240"/>
      <c r="AD169" s="240"/>
      <c r="AE169" s="241"/>
      <c r="AF169" s="242"/>
      <c r="AG169" s="242"/>
      <c r="AH169" s="242"/>
      <c r="AI169" s="242"/>
      <c r="AJ169" s="242"/>
      <c r="AK169" s="242"/>
      <c r="AL169" s="242"/>
      <c r="AM169" s="242"/>
      <c r="AN169" s="242"/>
      <c r="AO169" s="242"/>
      <c r="AP169" s="242"/>
      <c r="AQ169" s="242"/>
      <c r="AR169" s="242"/>
      <c r="AS169" s="243"/>
      <c r="AT169" s="243"/>
    </row>
    <row r="170" spans="2:46">
      <c r="B170" s="231">
        <v>57</v>
      </c>
      <c r="C170" s="232"/>
      <c r="D170" s="233"/>
      <c r="E170" s="233"/>
      <c r="F170" s="233"/>
      <c r="G170" s="233"/>
      <c r="H170" s="234"/>
      <c r="I170" s="235"/>
      <c r="J170" s="235"/>
      <c r="K170" s="235"/>
      <c r="L170" s="235"/>
      <c r="M170" s="235"/>
      <c r="N170" s="235"/>
      <c r="O170" s="235"/>
      <c r="P170" s="235"/>
      <c r="Q170" s="235"/>
      <c r="R170" s="235"/>
      <c r="S170" s="235"/>
      <c r="T170" s="235"/>
      <c r="U170" s="235"/>
      <c r="V170" s="236"/>
      <c r="W170" s="236"/>
      <c r="Y170" s="231">
        <v>49</v>
      </c>
      <c r="Z170" s="232"/>
      <c r="AA170" s="233"/>
      <c r="AB170" s="233"/>
      <c r="AC170" s="233"/>
      <c r="AD170" s="233"/>
      <c r="AE170" s="234"/>
      <c r="AF170" s="235"/>
      <c r="AG170" s="235"/>
      <c r="AH170" s="235"/>
      <c r="AI170" s="235"/>
      <c r="AJ170" s="235"/>
      <c r="AK170" s="235"/>
      <c r="AL170" s="235"/>
      <c r="AM170" s="235"/>
      <c r="AN170" s="235"/>
      <c r="AO170" s="235"/>
      <c r="AP170" s="235"/>
      <c r="AQ170" s="235"/>
      <c r="AR170" s="235"/>
      <c r="AS170" s="236"/>
      <c r="AT170" s="236"/>
    </row>
    <row r="171" spans="2:46">
      <c r="B171" s="238">
        <v>58</v>
      </c>
      <c r="C171" s="239"/>
      <c r="D171" s="240"/>
      <c r="E171" s="240"/>
      <c r="F171" s="240"/>
      <c r="G171" s="240"/>
      <c r="H171" s="241"/>
      <c r="I171" s="242"/>
      <c r="J171" s="242"/>
      <c r="K171" s="242"/>
      <c r="L171" s="242"/>
      <c r="M171" s="242"/>
      <c r="N171" s="242"/>
      <c r="O171" s="242"/>
      <c r="P171" s="242"/>
      <c r="Q171" s="242"/>
      <c r="R171" s="242"/>
      <c r="S171" s="242"/>
      <c r="T171" s="242"/>
      <c r="U171" s="242"/>
      <c r="V171" s="243"/>
      <c r="W171" s="243"/>
      <c r="Y171" s="238">
        <v>50</v>
      </c>
      <c r="Z171" s="239"/>
      <c r="AA171" s="240"/>
      <c r="AB171" s="240"/>
      <c r="AC171" s="240"/>
      <c r="AD171" s="240"/>
      <c r="AE171" s="241"/>
      <c r="AF171" s="242"/>
      <c r="AG171" s="242"/>
      <c r="AH171" s="242"/>
      <c r="AI171" s="242"/>
      <c r="AJ171" s="242"/>
      <c r="AK171" s="242"/>
      <c r="AL171" s="242"/>
      <c r="AM171" s="242"/>
      <c r="AN171" s="242"/>
      <c r="AO171" s="242"/>
      <c r="AP171" s="242"/>
      <c r="AQ171" s="242"/>
      <c r="AR171" s="242"/>
      <c r="AS171" s="243"/>
      <c r="AT171" s="243"/>
    </row>
    <row r="172" spans="2:46">
      <c r="B172" s="231">
        <v>59</v>
      </c>
      <c r="C172" s="232"/>
      <c r="D172" s="233"/>
      <c r="E172" s="233"/>
      <c r="F172" s="233"/>
      <c r="G172" s="233"/>
      <c r="H172" s="234"/>
      <c r="I172" s="235"/>
      <c r="J172" s="235"/>
      <c r="K172" s="235"/>
      <c r="L172" s="235"/>
      <c r="M172" s="235"/>
      <c r="N172" s="235"/>
      <c r="O172" s="235"/>
      <c r="P172" s="235"/>
      <c r="Q172" s="235"/>
      <c r="R172" s="235"/>
      <c r="S172" s="235"/>
      <c r="T172" s="235"/>
      <c r="U172" s="235"/>
      <c r="V172" s="236"/>
      <c r="W172" s="236"/>
    </row>
    <row r="173" spans="2:46">
      <c r="B173" s="238">
        <v>60</v>
      </c>
      <c r="C173" s="239"/>
      <c r="D173" s="240"/>
      <c r="E173" s="240"/>
      <c r="F173" s="240"/>
      <c r="G173" s="240"/>
      <c r="H173" s="241"/>
      <c r="I173" s="242"/>
      <c r="J173" s="242"/>
      <c r="K173" s="242"/>
      <c r="L173" s="242"/>
      <c r="M173" s="242"/>
      <c r="N173" s="242"/>
      <c r="O173" s="242"/>
      <c r="P173" s="242"/>
      <c r="Q173" s="242"/>
      <c r="R173" s="242"/>
      <c r="S173" s="242"/>
      <c r="T173" s="242"/>
      <c r="U173" s="242"/>
      <c r="V173" s="243"/>
      <c r="W173" s="243"/>
      <c r="Y173" s="226" t="s">
        <v>1239</v>
      </c>
      <c r="Z173" s="226"/>
      <c r="AA173" s="226"/>
      <c r="AB173" s="226"/>
      <c r="AC173" s="226"/>
      <c r="AD173" s="226"/>
      <c r="AE173" s="226"/>
      <c r="AF173" s="226"/>
      <c r="AG173" s="226"/>
      <c r="AH173" s="226"/>
      <c r="AI173" s="226"/>
      <c r="AJ173" s="226"/>
      <c r="AK173" s="226"/>
      <c r="AL173" s="226"/>
      <c r="AM173" s="226"/>
      <c r="AN173" s="226"/>
      <c r="AO173" s="226"/>
      <c r="AP173" s="226"/>
      <c r="AQ173" s="226"/>
      <c r="AR173" s="226"/>
      <c r="AS173" s="226"/>
      <c r="AT173" s="226"/>
    </row>
    <row r="174" spans="2:46">
      <c r="B174" s="231">
        <v>61</v>
      </c>
      <c r="C174" s="232"/>
      <c r="D174" s="233"/>
      <c r="E174" s="233"/>
      <c r="F174" s="233"/>
      <c r="G174" s="233"/>
      <c r="H174" s="234"/>
      <c r="I174" s="235"/>
      <c r="J174" s="235"/>
      <c r="K174" s="235"/>
      <c r="L174" s="235"/>
      <c r="M174" s="235"/>
      <c r="N174" s="235"/>
      <c r="O174" s="235"/>
      <c r="P174" s="235"/>
      <c r="Q174" s="235"/>
      <c r="R174" s="235"/>
      <c r="S174" s="235"/>
      <c r="T174" s="235"/>
      <c r="U174" s="235"/>
      <c r="V174" s="236"/>
      <c r="W174" s="236"/>
      <c r="Y174" s="228"/>
      <c r="Z174" s="229" t="s">
        <v>68</v>
      </c>
      <c r="AA174" s="229"/>
      <c r="AB174" s="229"/>
      <c r="AC174" s="229"/>
      <c r="AD174" s="229"/>
      <c r="AE174" s="229"/>
      <c r="AF174" s="229" t="s">
        <v>153</v>
      </c>
      <c r="AG174" s="229"/>
      <c r="AH174" s="229"/>
      <c r="AI174" s="229"/>
      <c r="AJ174" s="229"/>
      <c r="AK174" s="229"/>
      <c r="AL174" s="229"/>
      <c r="AM174" s="229"/>
      <c r="AN174" s="229"/>
      <c r="AO174" s="229"/>
      <c r="AP174" s="229"/>
      <c r="AQ174" s="229"/>
      <c r="AR174" s="229"/>
      <c r="AS174" s="229" t="s">
        <v>1222</v>
      </c>
      <c r="AT174" s="229"/>
    </row>
    <row r="175" spans="2:46">
      <c r="B175" s="238">
        <v>62</v>
      </c>
      <c r="C175" s="239"/>
      <c r="D175" s="240"/>
      <c r="E175" s="240"/>
      <c r="F175" s="240"/>
      <c r="G175" s="240"/>
      <c r="H175" s="241"/>
      <c r="I175" s="242"/>
      <c r="J175" s="242"/>
      <c r="K175" s="242"/>
      <c r="L175" s="242"/>
      <c r="M175" s="242"/>
      <c r="N175" s="242"/>
      <c r="O175" s="242"/>
      <c r="P175" s="242"/>
      <c r="Q175" s="242"/>
      <c r="R175" s="242"/>
      <c r="S175" s="242"/>
      <c r="T175" s="242"/>
      <c r="U175" s="242"/>
      <c r="V175" s="243"/>
      <c r="W175" s="243"/>
      <c r="Y175" s="231">
        <v>1</v>
      </c>
      <c r="Z175" s="232"/>
      <c r="AA175" s="233"/>
      <c r="AB175" s="233"/>
      <c r="AC175" s="233"/>
      <c r="AD175" s="233"/>
      <c r="AE175" s="234"/>
      <c r="AF175" s="235"/>
      <c r="AG175" s="235"/>
      <c r="AH175" s="235"/>
      <c r="AI175" s="235"/>
      <c r="AJ175" s="235"/>
      <c r="AK175" s="235"/>
      <c r="AL175" s="235"/>
      <c r="AM175" s="235"/>
      <c r="AN175" s="235"/>
      <c r="AO175" s="235"/>
      <c r="AP175" s="235"/>
      <c r="AQ175" s="235"/>
      <c r="AR175" s="235"/>
      <c r="AS175" s="236"/>
      <c r="AT175" s="236"/>
    </row>
    <row r="176" spans="2:46">
      <c r="B176" s="231">
        <v>63</v>
      </c>
      <c r="C176" s="232"/>
      <c r="D176" s="233"/>
      <c r="E176" s="233"/>
      <c r="F176" s="233"/>
      <c r="G176" s="233"/>
      <c r="H176" s="234"/>
      <c r="I176" s="235"/>
      <c r="J176" s="235"/>
      <c r="K176" s="235"/>
      <c r="L176" s="235"/>
      <c r="M176" s="235"/>
      <c r="N176" s="235"/>
      <c r="O176" s="235"/>
      <c r="P176" s="235"/>
      <c r="Q176" s="235"/>
      <c r="R176" s="235"/>
      <c r="S176" s="235"/>
      <c r="T176" s="235"/>
      <c r="U176" s="235"/>
      <c r="V176" s="236"/>
      <c r="W176" s="236"/>
      <c r="Y176" s="238">
        <v>2</v>
      </c>
      <c r="Z176" s="239"/>
      <c r="AA176" s="240"/>
      <c r="AB176" s="240"/>
      <c r="AC176" s="240"/>
      <c r="AD176" s="240"/>
      <c r="AE176" s="241"/>
      <c r="AF176" s="242"/>
      <c r="AG176" s="242"/>
      <c r="AH176" s="242"/>
      <c r="AI176" s="242"/>
      <c r="AJ176" s="242"/>
      <c r="AK176" s="242"/>
      <c r="AL176" s="242"/>
      <c r="AM176" s="242"/>
      <c r="AN176" s="242"/>
      <c r="AO176" s="242"/>
      <c r="AP176" s="242"/>
      <c r="AQ176" s="242"/>
      <c r="AR176" s="242"/>
      <c r="AS176" s="243"/>
      <c r="AT176" s="243"/>
    </row>
    <row r="177" spans="2:46">
      <c r="B177" s="238">
        <v>64</v>
      </c>
      <c r="C177" s="239"/>
      <c r="D177" s="240"/>
      <c r="E177" s="240"/>
      <c r="F177" s="240"/>
      <c r="G177" s="240"/>
      <c r="H177" s="241"/>
      <c r="I177" s="242"/>
      <c r="J177" s="242"/>
      <c r="K177" s="242"/>
      <c r="L177" s="242"/>
      <c r="M177" s="242"/>
      <c r="N177" s="242"/>
      <c r="O177" s="242"/>
      <c r="P177" s="242"/>
      <c r="Q177" s="242"/>
      <c r="R177" s="242"/>
      <c r="S177" s="242"/>
      <c r="T177" s="242"/>
      <c r="U177" s="242"/>
      <c r="V177" s="243"/>
      <c r="W177" s="243"/>
      <c r="Y177" s="231">
        <v>3</v>
      </c>
      <c r="Z177" s="232"/>
      <c r="AA177" s="233"/>
      <c r="AB177" s="233"/>
      <c r="AC177" s="233"/>
      <c r="AD177" s="233"/>
      <c r="AE177" s="234"/>
      <c r="AF177" s="235"/>
      <c r="AG177" s="235"/>
      <c r="AH177" s="235"/>
      <c r="AI177" s="235"/>
      <c r="AJ177" s="235"/>
      <c r="AK177" s="235"/>
      <c r="AL177" s="235"/>
      <c r="AM177" s="235"/>
      <c r="AN177" s="235"/>
      <c r="AO177" s="235"/>
      <c r="AP177" s="235"/>
      <c r="AQ177" s="235"/>
      <c r="AR177" s="235"/>
      <c r="AS177" s="236"/>
      <c r="AT177" s="236"/>
    </row>
    <row r="178" spans="2:46">
      <c r="B178" s="231">
        <v>65</v>
      </c>
      <c r="C178" s="232"/>
      <c r="D178" s="233"/>
      <c r="E178" s="233"/>
      <c r="F178" s="233"/>
      <c r="G178" s="233"/>
      <c r="H178" s="234"/>
      <c r="I178" s="235"/>
      <c r="J178" s="235"/>
      <c r="K178" s="235"/>
      <c r="L178" s="235"/>
      <c r="M178" s="235"/>
      <c r="N178" s="235"/>
      <c r="O178" s="235"/>
      <c r="P178" s="235"/>
      <c r="Q178" s="235"/>
      <c r="R178" s="235"/>
      <c r="S178" s="235"/>
      <c r="T178" s="235"/>
      <c r="U178" s="235"/>
      <c r="V178" s="236"/>
      <c r="W178" s="236"/>
      <c r="Y178" s="238">
        <v>4</v>
      </c>
      <c r="Z178" s="239"/>
      <c r="AA178" s="240"/>
      <c r="AB178" s="240"/>
      <c r="AC178" s="240"/>
      <c r="AD178" s="240"/>
      <c r="AE178" s="241"/>
      <c r="AF178" s="242"/>
      <c r="AG178" s="242"/>
      <c r="AH178" s="242"/>
      <c r="AI178" s="242"/>
      <c r="AJ178" s="242"/>
      <c r="AK178" s="242"/>
      <c r="AL178" s="242"/>
      <c r="AM178" s="242"/>
      <c r="AN178" s="242"/>
      <c r="AO178" s="242"/>
      <c r="AP178" s="242"/>
      <c r="AQ178" s="242"/>
      <c r="AR178" s="242"/>
      <c r="AS178" s="243"/>
      <c r="AT178" s="243"/>
    </row>
    <row r="179" spans="2:46">
      <c r="B179" s="238">
        <v>66</v>
      </c>
      <c r="C179" s="239"/>
      <c r="D179" s="240"/>
      <c r="E179" s="240"/>
      <c r="F179" s="240"/>
      <c r="G179" s="240"/>
      <c r="H179" s="241"/>
      <c r="I179" s="242"/>
      <c r="J179" s="242"/>
      <c r="K179" s="242"/>
      <c r="L179" s="242"/>
      <c r="M179" s="242"/>
      <c r="N179" s="242"/>
      <c r="O179" s="242"/>
      <c r="P179" s="242"/>
      <c r="Q179" s="242"/>
      <c r="R179" s="242"/>
      <c r="S179" s="242"/>
      <c r="T179" s="242"/>
      <c r="U179" s="242"/>
      <c r="V179" s="243"/>
      <c r="W179" s="243"/>
      <c r="Y179" s="231">
        <v>5</v>
      </c>
      <c r="Z179" s="232"/>
      <c r="AA179" s="233"/>
      <c r="AB179" s="233"/>
      <c r="AC179" s="233"/>
      <c r="AD179" s="233"/>
      <c r="AE179" s="234"/>
      <c r="AF179" s="235"/>
      <c r="AG179" s="235"/>
      <c r="AH179" s="235"/>
      <c r="AI179" s="235"/>
      <c r="AJ179" s="235"/>
      <c r="AK179" s="235"/>
      <c r="AL179" s="235"/>
      <c r="AM179" s="235"/>
      <c r="AN179" s="235"/>
      <c r="AO179" s="235"/>
      <c r="AP179" s="235"/>
      <c r="AQ179" s="235"/>
      <c r="AR179" s="235"/>
      <c r="AS179" s="236"/>
      <c r="AT179" s="236"/>
    </row>
    <row r="180" spans="2:46">
      <c r="B180" s="231">
        <v>67</v>
      </c>
      <c r="C180" s="232"/>
      <c r="D180" s="233"/>
      <c r="E180" s="233"/>
      <c r="F180" s="233"/>
      <c r="G180" s="233"/>
      <c r="H180" s="234"/>
      <c r="I180" s="235"/>
      <c r="J180" s="235"/>
      <c r="K180" s="235"/>
      <c r="L180" s="235"/>
      <c r="M180" s="235"/>
      <c r="N180" s="235"/>
      <c r="O180" s="235"/>
      <c r="P180" s="235"/>
      <c r="Q180" s="235"/>
      <c r="R180" s="235"/>
      <c r="S180" s="235"/>
      <c r="T180" s="235"/>
      <c r="U180" s="235"/>
      <c r="V180" s="236"/>
      <c r="W180" s="236"/>
      <c r="Y180" s="238">
        <v>6</v>
      </c>
      <c r="Z180" s="239"/>
      <c r="AA180" s="240"/>
      <c r="AB180" s="240"/>
      <c r="AC180" s="240"/>
      <c r="AD180" s="240"/>
      <c r="AE180" s="241"/>
      <c r="AF180" s="242"/>
      <c r="AG180" s="242"/>
      <c r="AH180" s="242"/>
      <c r="AI180" s="242"/>
      <c r="AJ180" s="242"/>
      <c r="AK180" s="242"/>
      <c r="AL180" s="242"/>
      <c r="AM180" s="242"/>
      <c r="AN180" s="242"/>
      <c r="AO180" s="242"/>
      <c r="AP180" s="242"/>
      <c r="AQ180" s="242"/>
      <c r="AR180" s="242"/>
      <c r="AS180" s="243"/>
      <c r="AT180" s="243"/>
    </row>
    <row r="181" spans="2:46">
      <c r="B181" s="238">
        <v>68</v>
      </c>
      <c r="C181" s="239"/>
      <c r="D181" s="240"/>
      <c r="E181" s="240"/>
      <c r="F181" s="240"/>
      <c r="G181" s="240"/>
      <c r="H181" s="241"/>
      <c r="I181" s="242"/>
      <c r="J181" s="242"/>
      <c r="K181" s="242"/>
      <c r="L181" s="242"/>
      <c r="M181" s="242"/>
      <c r="N181" s="242"/>
      <c r="O181" s="242"/>
      <c r="P181" s="242"/>
      <c r="Q181" s="242"/>
      <c r="R181" s="242"/>
      <c r="S181" s="242"/>
      <c r="T181" s="242"/>
      <c r="U181" s="242"/>
      <c r="V181" s="243"/>
      <c r="W181" s="243"/>
      <c r="Y181" s="231">
        <v>7</v>
      </c>
      <c r="Z181" s="232"/>
      <c r="AA181" s="233"/>
      <c r="AB181" s="233"/>
      <c r="AC181" s="233"/>
      <c r="AD181" s="233"/>
      <c r="AE181" s="234"/>
      <c r="AF181" s="235"/>
      <c r="AG181" s="235"/>
      <c r="AH181" s="235"/>
      <c r="AI181" s="235"/>
      <c r="AJ181" s="235"/>
      <c r="AK181" s="235"/>
      <c r="AL181" s="235"/>
      <c r="AM181" s="235"/>
      <c r="AN181" s="235"/>
      <c r="AO181" s="235"/>
      <c r="AP181" s="235"/>
      <c r="AQ181" s="235"/>
      <c r="AR181" s="235"/>
      <c r="AS181" s="236"/>
      <c r="AT181" s="236"/>
    </row>
    <row r="182" spans="2:46">
      <c r="B182" s="231">
        <v>69</v>
      </c>
      <c r="C182" s="232"/>
      <c r="D182" s="233"/>
      <c r="E182" s="233"/>
      <c r="F182" s="233"/>
      <c r="G182" s="233"/>
      <c r="H182" s="234"/>
      <c r="I182" s="235"/>
      <c r="J182" s="235"/>
      <c r="K182" s="235"/>
      <c r="L182" s="235"/>
      <c r="M182" s="235"/>
      <c r="N182" s="235"/>
      <c r="O182" s="235"/>
      <c r="P182" s="235"/>
      <c r="Q182" s="235"/>
      <c r="R182" s="235"/>
      <c r="S182" s="235"/>
      <c r="T182" s="235"/>
      <c r="U182" s="235"/>
      <c r="V182" s="236"/>
      <c r="W182" s="236"/>
      <c r="Y182" s="238">
        <v>8</v>
      </c>
      <c r="Z182" s="239"/>
      <c r="AA182" s="240"/>
      <c r="AB182" s="240"/>
      <c r="AC182" s="240"/>
      <c r="AD182" s="240"/>
      <c r="AE182" s="241"/>
      <c r="AF182" s="242"/>
      <c r="AG182" s="242"/>
      <c r="AH182" s="242"/>
      <c r="AI182" s="242"/>
      <c r="AJ182" s="242"/>
      <c r="AK182" s="242"/>
      <c r="AL182" s="242"/>
      <c r="AM182" s="242"/>
      <c r="AN182" s="242"/>
      <c r="AO182" s="242"/>
      <c r="AP182" s="242"/>
      <c r="AQ182" s="242"/>
      <c r="AR182" s="242"/>
      <c r="AS182" s="243"/>
      <c r="AT182" s="243"/>
    </row>
    <row r="183" spans="2:46">
      <c r="B183" s="238">
        <v>70</v>
      </c>
      <c r="C183" s="239"/>
      <c r="D183" s="240"/>
      <c r="E183" s="240"/>
      <c r="F183" s="240"/>
      <c r="G183" s="240"/>
      <c r="H183" s="241"/>
      <c r="I183" s="242"/>
      <c r="J183" s="242"/>
      <c r="K183" s="242"/>
      <c r="L183" s="242"/>
      <c r="M183" s="242"/>
      <c r="N183" s="242"/>
      <c r="O183" s="242"/>
      <c r="P183" s="242"/>
      <c r="Q183" s="242"/>
      <c r="R183" s="242"/>
      <c r="S183" s="242"/>
      <c r="T183" s="242"/>
      <c r="U183" s="242"/>
      <c r="V183" s="243"/>
      <c r="W183" s="243"/>
      <c r="Y183" s="231">
        <v>9</v>
      </c>
      <c r="Z183" s="232"/>
      <c r="AA183" s="233"/>
      <c r="AB183" s="233"/>
      <c r="AC183" s="233"/>
      <c r="AD183" s="233"/>
      <c r="AE183" s="234"/>
      <c r="AF183" s="235"/>
      <c r="AG183" s="235"/>
      <c r="AH183" s="235"/>
      <c r="AI183" s="235"/>
      <c r="AJ183" s="235"/>
      <c r="AK183" s="235"/>
      <c r="AL183" s="235"/>
      <c r="AM183" s="235"/>
      <c r="AN183" s="235"/>
      <c r="AO183" s="235"/>
      <c r="AP183" s="235"/>
      <c r="AQ183" s="235"/>
      <c r="AR183" s="235"/>
      <c r="AS183" s="236"/>
      <c r="AT183" s="236"/>
    </row>
    <row r="184" spans="2:46">
      <c r="B184" s="231">
        <v>71</v>
      </c>
      <c r="C184" s="232"/>
      <c r="D184" s="233"/>
      <c r="E184" s="233"/>
      <c r="F184" s="233"/>
      <c r="G184" s="233"/>
      <c r="H184" s="234"/>
      <c r="I184" s="235"/>
      <c r="J184" s="235"/>
      <c r="K184" s="235"/>
      <c r="L184" s="235"/>
      <c r="M184" s="235"/>
      <c r="N184" s="235"/>
      <c r="O184" s="235"/>
      <c r="P184" s="235"/>
      <c r="Q184" s="235"/>
      <c r="R184" s="235"/>
      <c r="S184" s="235"/>
      <c r="T184" s="235"/>
      <c r="U184" s="235"/>
      <c r="V184" s="236"/>
      <c r="W184" s="236"/>
      <c r="Y184" s="238">
        <v>10</v>
      </c>
      <c r="Z184" s="239"/>
      <c r="AA184" s="240"/>
      <c r="AB184" s="240"/>
      <c r="AC184" s="240"/>
      <c r="AD184" s="240"/>
      <c r="AE184" s="241"/>
      <c r="AF184" s="242"/>
      <c r="AG184" s="242"/>
      <c r="AH184" s="242"/>
      <c r="AI184" s="242"/>
      <c r="AJ184" s="242"/>
      <c r="AK184" s="242"/>
      <c r="AL184" s="242"/>
      <c r="AM184" s="242"/>
      <c r="AN184" s="242"/>
      <c r="AO184" s="242"/>
      <c r="AP184" s="242"/>
      <c r="AQ184" s="242"/>
      <c r="AR184" s="242"/>
      <c r="AS184" s="243"/>
      <c r="AT184" s="243"/>
    </row>
    <row r="185" spans="2:46">
      <c r="B185" s="238">
        <v>72</v>
      </c>
      <c r="C185" s="239"/>
      <c r="D185" s="240"/>
      <c r="E185" s="240"/>
      <c r="F185" s="240"/>
      <c r="G185" s="240"/>
      <c r="H185" s="241"/>
      <c r="I185" s="242"/>
      <c r="J185" s="242"/>
      <c r="K185" s="242"/>
      <c r="L185" s="242"/>
      <c r="M185" s="242"/>
      <c r="N185" s="242"/>
      <c r="O185" s="242"/>
      <c r="P185" s="242"/>
      <c r="Q185" s="242"/>
      <c r="R185" s="242"/>
      <c r="S185" s="242"/>
      <c r="T185" s="242"/>
      <c r="U185" s="242"/>
      <c r="V185" s="243"/>
      <c r="W185" s="243"/>
      <c r="Y185" s="231">
        <v>11</v>
      </c>
      <c r="Z185" s="232"/>
      <c r="AA185" s="233"/>
      <c r="AB185" s="233"/>
      <c r="AC185" s="233"/>
      <c r="AD185" s="233"/>
      <c r="AE185" s="234"/>
      <c r="AF185" s="235"/>
      <c r="AG185" s="235"/>
      <c r="AH185" s="235"/>
      <c r="AI185" s="235"/>
      <c r="AJ185" s="235"/>
      <c r="AK185" s="235"/>
      <c r="AL185" s="235"/>
      <c r="AM185" s="235"/>
      <c r="AN185" s="235"/>
      <c r="AO185" s="235"/>
      <c r="AP185" s="235"/>
      <c r="AQ185" s="235"/>
      <c r="AR185" s="235"/>
      <c r="AS185" s="236"/>
      <c r="AT185" s="236"/>
    </row>
    <row r="186" spans="2:46">
      <c r="B186" s="231">
        <v>73</v>
      </c>
      <c r="C186" s="232"/>
      <c r="D186" s="233"/>
      <c r="E186" s="233"/>
      <c r="F186" s="233"/>
      <c r="G186" s="233"/>
      <c r="H186" s="234"/>
      <c r="I186" s="235"/>
      <c r="J186" s="235"/>
      <c r="K186" s="235"/>
      <c r="L186" s="235"/>
      <c r="M186" s="235"/>
      <c r="N186" s="235"/>
      <c r="O186" s="235"/>
      <c r="P186" s="235"/>
      <c r="Q186" s="235"/>
      <c r="R186" s="235"/>
      <c r="S186" s="235"/>
      <c r="T186" s="235"/>
      <c r="U186" s="235"/>
      <c r="V186" s="236"/>
      <c r="W186" s="236"/>
      <c r="Y186" s="238">
        <v>12</v>
      </c>
      <c r="Z186" s="239"/>
      <c r="AA186" s="240"/>
      <c r="AB186" s="240"/>
      <c r="AC186" s="240"/>
      <c r="AD186" s="240"/>
      <c r="AE186" s="241"/>
      <c r="AF186" s="242"/>
      <c r="AG186" s="242"/>
      <c r="AH186" s="242"/>
      <c r="AI186" s="242"/>
      <c r="AJ186" s="242"/>
      <c r="AK186" s="242"/>
      <c r="AL186" s="242"/>
      <c r="AM186" s="242"/>
      <c r="AN186" s="242"/>
      <c r="AO186" s="242"/>
      <c r="AP186" s="242"/>
      <c r="AQ186" s="242"/>
      <c r="AR186" s="242"/>
      <c r="AS186" s="243"/>
      <c r="AT186" s="243"/>
    </row>
    <row r="187" spans="2:46">
      <c r="B187" s="238">
        <v>74</v>
      </c>
      <c r="C187" s="239"/>
      <c r="D187" s="240"/>
      <c r="E187" s="240"/>
      <c r="F187" s="240"/>
      <c r="G187" s="240"/>
      <c r="H187" s="241"/>
      <c r="I187" s="242"/>
      <c r="J187" s="242"/>
      <c r="K187" s="242"/>
      <c r="L187" s="242"/>
      <c r="M187" s="242"/>
      <c r="N187" s="242"/>
      <c r="O187" s="242"/>
      <c r="P187" s="242"/>
      <c r="Q187" s="242"/>
      <c r="R187" s="242"/>
      <c r="S187" s="242"/>
      <c r="T187" s="242"/>
      <c r="U187" s="242"/>
      <c r="V187" s="243"/>
      <c r="W187" s="243"/>
      <c r="Y187" s="231">
        <v>13</v>
      </c>
      <c r="Z187" s="232"/>
      <c r="AA187" s="233"/>
      <c r="AB187" s="233"/>
      <c r="AC187" s="233"/>
      <c r="AD187" s="233"/>
      <c r="AE187" s="234"/>
      <c r="AF187" s="235"/>
      <c r="AG187" s="235"/>
      <c r="AH187" s="235"/>
      <c r="AI187" s="235"/>
      <c r="AJ187" s="235"/>
      <c r="AK187" s="235"/>
      <c r="AL187" s="235"/>
      <c r="AM187" s="235"/>
      <c r="AN187" s="235"/>
      <c r="AO187" s="235"/>
      <c r="AP187" s="235"/>
      <c r="AQ187" s="235"/>
      <c r="AR187" s="235"/>
      <c r="AS187" s="236"/>
      <c r="AT187" s="236"/>
    </row>
    <row r="188" spans="2:46">
      <c r="B188" s="231">
        <v>75</v>
      </c>
      <c r="C188" s="232"/>
      <c r="D188" s="233"/>
      <c r="E188" s="233"/>
      <c r="F188" s="233"/>
      <c r="G188" s="233"/>
      <c r="H188" s="234"/>
      <c r="I188" s="235"/>
      <c r="J188" s="235"/>
      <c r="K188" s="235"/>
      <c r="L188" s="235"/>
      <c r="M188" s="235"/>
      <c r="N188" s="235"/>
      <c r="O188" s="235"/>
      <c r="P188" s="235"/>
      <c r="Q188" s="235"/>
      <c r="R188" s="235"/>
      <c r="S188" s="235"/>
      <c r="T188" s="235"/>
      <c r="U188" s="235"/>
      <c r="V188" s="236"/>
      <c r="W188" s="236"/>
      <c r="Y188" s="238">
        <v>14</v>
      </c>
      <c r="Z188" s="239"/>
      <c r="AA188" s="240"/>
      <c r="AB188" s="240"/>
      <c r="AC188" s="240"/>
      <c r="AD188" s="240"/>
      <c r="AE188" s="241"/>
      <c r="AF188" s="242"/>
      <c r="AG188" s="242"/>
      <c r="AH188" s="242"/>
      <c r="AI188" s="242"/>
      <c r="AJ188" s="242"/>
      <c r="AK188" s="242"/>
      <c r="AL188" s="242"/>
      <c r="AM188" s="242"/>
      <c r="AN188" s="242"/>
      <c r="AO188" s="242"/>
      <c r="AP188" s="242"/>
      <c r="AQ188" s="242"/>
      <c r="AR188" s="242"/>
      <c r="AS188" s="243"/>
      <c r="AT188" s="243"/>
    </row>
    <row r="189" spans="2:46">
      <c r="B189" s="238">
        <v>76</v>
      </c>
      <c r="C189" s="239"/>
      <c r="D189" s="240"/>
      <c r="E189" s="240"/>
      <c r="F189" s="240"/>
      <c r="G189" s="240"/>
      <c r="H189" s="241"/>
      <c r="I189" s="242"/>
      <c r="J189" s="242"/>
      <c r="K189" s="242"/>
      <c r="L189" s="242"/>
      <c r="M189" s="242"/>
      <c r="N189" s="242"/>
      <c r="O189" s="242"/>
      <c r="P189" s="242"/>
      <c r="Q189" s="242"/>
      <c r="R189" s="242"/>
      <c r="S189" s="242"/>
      <c r="T189" s="242"/>
      <c r="U189" s="242"/>
      <c r="V189" s="243"/>
      <c r="W189" s="243"/>
      <c r="Y189" s="231">
        <v>15</v>
      </c>
      <c r="Z189" s="232"/>
      <c r="AA189" s="233"/>
      <c r="AB189" s="233"/>
      <c r="AC189" s="233"/>
      <c r="AD189" s="233"/>
      <c r="AE189" s="234"/>
      <c r="AF189" s="235"/>
      <c r="AG189" s="235"/>
      <c r="AH189" s="235"/>
      <c r="AI189" s="235"/>
      <c r="AJ189" s="235"/>
      <c r="AK189" s="235"/>
      <c r="AL189" s="235"/>
      <c r="AM189" s="235"/>
      <c r="AN189" s="235"/>
      <c r="AO189" s="235"/>
      <c r="AP189" s="235"/>
      <c r="AQ189" s="235"/>
      <c r="AR189" s="235"/>
      <c r="AS189" s="236"/>
      <c r="AT189" s="236"/>
    </row>
    <row r="190" spans="2:46">
      <c r="B190" s="231">
        <v>77</v>
      </c>
      <c r="C190" s="232"/>
      <c r="D190" s="233"/>
      <c r="E190" s="233"/>
      <c r="F190" s="233"/>
      <c r="G190" s="233"/>
      <c r="H190" s="234"/>
      <c r="I190" s="235"/>
      <c r="J190" s="235"/>
      <c r="K190" s="235"/>
      <c r="L190" s="235"/>
      <c r="M190" s="235"/>
      <c r="N190" s="235"/>
      <c r="O190" s="235"/>
      <c r="P190" s="235"/>
      <c r="Q190" s="235"/>
      <c r="R190" s="235"/>
      <c r="S190" s="235"/>
      <c r="T190" s="235"/>
      <c r="U190" s="235"/>
      <c r="V190" s="236"/>
      <c r="W190" s="236"/>
      <c r="Y190" s="238">
        <v>16</v>
      </c>
      <c r="Z190" s="239"/>
      <c r="AA190" s="240"/>
      <c r="AB190" s="240"/>
      <c r="AC190" s="240"/>
      <c r="AD190" s="240"/>
      <c r="AE190" s="241"/>
      <c r="AF190" s="242"/>
      <c r="AG190" s="242"/>
      <c r="AH190" s="242"/>
      <c r="AI190" s="242"/>
      <c r="AJ190" s="242"/>
      <c r="AK190" s="242"/>
      <c r="AL190" s="242"/>
      <c r="AM190" s="242"/>
      <c r="AN190" s="242"/>
      <c r="AO190" s="242"/>
      <c r="AP190" s="242"/>
      <c r="AQ190" s="242"/>
      <c r="AR190" s="242"/>
      <c r="AS190" s="243"/>
      <c r="AT190" s="243"/>
    </row>
    <row r="191" spans="2:46">
      <c r="B191" s="238">
        <v>78</v>
      </c>
      <c r="C191" s="239"/>
      <c r="D191" s="240"/>
      <c r="E191" s="240"/>
      <c r="F191" s="240"/>
      <c r="G191" s="240"/>
      <c r="H191" s="241"/>
      <c r="I191" s="242"/>
      <c r="J191" s="242"/>
      <c r="K191" s="242"/>
      <c r="L191" s="242"/>
      <c r="M191" s="242"/>
      <c r="N191" s="242"/>
      <c r="O191" s="242"/>
      <c r="P191" s="242"/>
      <c r="Q191" s="242"/>
      <c r="R191" s="242"/>
      <c r="S191" s="242"/>
      <c r="T191" s="242"/>
      <c r="U191" s="242"/>
      <c r="V191" s="243"/>
      <c r="W191" s="243"/>
      <c r="Y191" s="231">
        <v>17</v>
      </c>
      <c r="Z191" s="232"/>
      <c r="AA191" s="233"/>
      <c r="AB191" s="233"/>
      <c r="AC191" s="233"/>
      <c r="AD191" s="233"/>
      <c r="AE191" s="234"/>
      <c r="AF191" s="235"/>
      <c r="AG191" s="235"/>
      <c r="AH191" s="235"/>
      <c r="AI191" s="235"/>
      <c r="AJ191" s="235"/>
      <c r="AK191" s="235"/>
      <c r="AL191" s="235"/>
      <c r="AM191" s="235"/>
      <c r="AN191" s="235"/>
      <c r="AO191" s="235"/>
      <c r="AP191" s="235"/>
      <c r="AQ191" s="235"/>
      <c r="AR191" s="235"/>
      <c r="AS191" s="236"/>
      <c r="AT191" s="236"/>
    </row>
    <row r="192" spans="2:46">
      <c r="B192" s="231">
        <v>79</v>
      </c>
      <c r="C192" s="232"/>
      <c r="D192" s="233"/>
      <c r="E192" s="233"/>
      <c r="F192" s="233"/>
      <c r="G192" s="233"/>
      <c r="H192" s="234"/>
      <c r="I192" s="235"/>
      <c r="J192" s="235"/>
      <c r="K192" s="235"/>
      <c r="L192" s="235"/>
      <c r="M192" s="235"/>
      <c r="N192" s="235"/>
      <c r="O192" s="235"/>
      <c r="P192" s="235"/>
      <c r="Q192" s="235"/>
      <c r="R192" s="235"/>
      <c r="S192" s="235"/>
      <c r="T192" s="235"/>
      <c r="U192" s="235"/>
      <c r="V192" s="236"/>
      <c r="W192" s="236"/>
      <c r="Y192" s="238">
        <v>18</v>
      </c>
      <c r="Z192" s="239"/>
      <c r="AA192" s="240"/>
      <c r="AB192" s="240"/>
      <c r="AC192" s="240"/>
      <c r="AD192" s="240"/>
      <c r="AE192" s="241"/>
      <c r="AF192" s="242"/>
      <c r="AG192" s="242"/>
      <c r="AH192" s="242"/>
      <c r="AI192" s="242"/>
      <c r="AJ192" s="242"/>
      <c r="AK192" s="242"/>
      <c r="AL192" s="242"/>
      <c r="AM192" s="242"/>
      <c r="AN192" s="242"/>
      <c r="AO192" s="242"/>
      <c r="AP192" s="242"/>
      <c r="AQ192" s="242"/>
      <c r="AR192" s="242"/>
      <c r="AS192" s="243"/>
      <c r="AT192" s="243"/>
    </row>
    <row r="193" spans="2:46">
      <c r="B193" s="238">
        <v>80</v>
      </c>
      <c r="C193" s="239"/>
      <c r="D193" s="240"/>
      <c r="E193" s="240"/>
      <c r="F193" s="240"/>
      <c r="G193" s="240"/>
      <c r="H193" s="241"/>
      <c r="I193" s="242"/>
      <c r="J193" s="242"/>
      <c r="K193" s="242"/>
      <c r="L193" s="242"/>
      <c r="M193" s="242"/>
      <c r="N193" s="242"/>
      <c r="O193" s="242"/>
      <c r="P193" s="242"/>
      <c r="Q193" s="242"/>
      <c r="R193" s="242"/>
      <c r="S193" s="242"/>
      <c r="T193" s="242"/>
      <c r="U193" s="242"/>
      <c r="V193" s="243"/>
      <c r="W193" s="243"/>
      <c r="Y193" s="231">
        <v>19</v>
      </c>
      <c r="Z193" s="232"/>
      <c r="AA193" s="233"/>
      <c r="AB193" s="233"/>
      <c r="AC193" s="233"/>
      <c r="AD193" s="233"/>
      <c r="AE193" s="234"/>
      <c r="AF193" s="235"/>
      <c r="AG193" s="235"/>
      <c r="AH193" s="235"/>
      <c r="AI193" s="235"/>
      <c r="AJ193" s="235"/>
      <c r="AK193" s="235"/>
      <c r="AL193" s="235"/>
      <c r="AM193" s="235"/>
      <c r="AN193" s="235"/>
      <c r="AO193" s="235"/>
      <c r="AP193" s="235"/>
      <c r="AQ193" s="235"/>
      <c r="AR193" s="235"/>
      <c r="AS193" s="236"/>
      <c r="AT193" s="236"/>
    </row>
    <row r="194" spans="2:46">
      <c r="B194" s="231">
        <v>81</v>
      </c>
      <c r="C194" s="232"/>
      <c r="D194" s="233"/>
      <c r="E194" s="233"/>
      <c r="F194" s="233"/>
      <c r="G194" s="233"/>
      <c r="H194" s="234"/>
      <c r="I194" s="235"/>
      <c r="J194" s="235"/>
      <c r="K194" s="235"/>
      <c r="L194" s="235"/>
      <c r="M194" s="235"/>
      <c r="N194" s="235"/>
      <c r="O194" s="235"/>
      <c r="P194" s="235"/>
      <c r="Q194" s="235"/>
      <c r="R194" s="235"/>
      <c r="S194" s="235"/>
      <c r="T194" s="235"/>
      <c r="U194" s="235"/>
      <c r="V194" s="236"/>
      <c r="W194" s="236"/>
      <c r="Y194" s="238">
        <v>20</v>
      </c>
      <c r="Z194" s="239"/>
      <c r="AA194" s="240"/>
      <c r="AB194" s="240"/>
      <c r="AC194" s="240"/>
      <c r="AD194" s="240"/>
      <c r="AE194" s="241"/>
      <c r="AF194" s="242"/>
      <c r="AG194" s="242"/>
      <c r="AH194" s="242"/>
      <c r="AI194" s="242"/>
      <c r="AJ194" s="242"/>
      <c r="AK194" s="242"/>
      <c r="AL194" s="242"/>
      <c r="AM194" s="242"/>
      <c r="AN194" s="242"/>
      <c r="AO194" s="242"/>
      <c r="AP194" s="242"/>
      <c r="AQ194" s="242"/>
      <c r="AR194" s="242"/>
      <c r="AS194" s="243"/>
      <c r="AT194" s="243"/>
    </row>
    <row r="195" spans="2:46">
      <c r="B195" s="238">
        <v>82</v>
      </c>
      <c r="C195" s="239"/>
      <c r="D195" s="240"/>
      <c r="E195" s="240"/>
      <c r="F195" s="240"/>
      <c r="G195" s="240"/>
      <c r="H195" s="241"/>
      <c r="I195" s="242"/>
      <c r="J195" s="242"/>
      <c r="K195" s="242"/>
      <c r="L195" s="242"/>
      <c r="M195" s="242"/>
      <c r="N195" s="242"/>
      <c r="O195" s="242"/>
      <c r="P195" s="242"/>
      <c r="Q195" s="242"/>
      <c r="R195" s="242"/>
      <c r="S195" s="242"/>
      <c r="T195" s="242"/>
      <c r="U195" s="242"/>
      <c r="V195" s="243"/>
      <c r="W195" s="243"/>
      <c r="Y195" s="231">
        <v>21</v>
      </c>
      <c r="Z195" s="232"/>
      <c r="AA195" s="233"/>
      <c r="AB195" s="233"/>
      <c r="AC195" s="233"/>
      <c r="AD195" s="233"/>
      <c r="AE195" s="234"/>
      <c r="AF195" s="235"/>
      <c r="AG195" s="235"/>
      <c r="AH195" s="235"/>
      <c r="AI195" s="235"/>
      <c r="AJ195" s="235"/>
      <c r="AK195" s="235"/>
      <c r="AL195" s="235"/>
      <c r="AM195" s="235"/>
      <c r="AN195" s="235"/>
      <c r="AO195" s="235"/>
      <c r="AP195" s="235"/>
      <c r="AQ195" s="235"/>
      <c r="AR195" s="235"/>
      <c r="AS195" s="236"/>
      <c r="AT195" s="236"/>
    </row>
    <row r="196" spans="2:46">
      <c r="B196" s="231">
        <v>83</v>
      </c>
      <c r="C196" s="232"/>
      <c r="D196" s="233"/>
      <c r="E196" s="233"/>
      <c r="F196" s="233"/>
      <c r="G196" s="233"/>
      <c r="H196" s="234"/>
      <c r="I196" s="235"/>
      <c r="J196" s="235"/>
      <c r="K196" s="235"/>
      <c r="L196" s="235"/>
      <c r="M196" s="235"/>
      <c r="N196" s="235"/>
      <c r="O196" s="235"/>
      <c r="P196" s="235"/>
      <c r="Q196" s="235"/>
      <c r="R196" s="235"/>
      <c r="S196" s="235"/>
      <c r="T196" s="235"/>
      <c r="U196" s="235"/>
      <c r="V196" s="236"/>
      <c r="W196" s="236"/>
      <c r="Y196" s="238">
        <v>22</v>
      </c>
      <c r="Z196" s="239"/>
      <c r="AA196" s="240"/>
      <c r="AB196" s="240"/>
      <c r="AC196" s="240"/>
      <c r="AD196" s="240"/>
      <c r="AE196" s="241"/>
      <c r="AF196" s="242"/>
      <c r="AG196" s="242"/>
      <c r="AH196" s="242"/>
      <c r="AI196" s="242"/>
      <c r="AJ196" s="242"/>
      <c r="AK196" s="242"/>
      <c r="AL196" s="242"/>
      <c r="AM196" s="242"/>
      <c r="AN196" s="242"/>
      <c r="AO196" s="242"/>
      <c r="AP196" s="242"/>
      <c r="AQ196" s="242"/>
      <c r="AR196" s="242"/>
      <c r="AS196" s="243"/>
      <c r="AT196" s="243"/>
    </row>
    <row r="197" spans="2:46">
      <c r="B197" s="238">
        <v>84</v>
      </c>
      <c r="C197" s="239"/>
      <c r="D197" s="240"/>
      <c r="E197" s="240"/>
      <c r="F197" s="240"/>
      <c r="G197" s="240"/>
      <c r="H197" s="241"/>
      <c r="I197" s="242"/>
      <c r="J197" s="242"/>
      <c r="K197" s="242"/>
      <c r="L197" s="242"/>
      <c r="M197" s="242"/>
      <c r="N197" s="242"/>
      <c r="O197" s="242"/>
      <c r="P197" s="242"/>
      <c r="Q197" s="242"/>
      <c r="R197" s="242"/>
      <c r="S197" s="242"/>
      <c r="T197" s="242"/>
      <c r="U197" s="242"/>
      <c r="V197" s="243"/>
      <c r="W197" s="243"/>
      <c r="Y197" s="231">
        <v>23</v>
      </c>
      <c r="Z197" s="232"/>
      <c r="AA197" s="233"/>
      <c r="AB197" s="233"/>
      <c r="AC197" s="233"/>
      <c r="AD197" s="233"/>
      <c r="AE197" s="234"/>
      <c r="AF197" s="235"/>
      <c r="AG197" s="235"/>
      <c r="AH197" s="235"/>
      <c r="AI197" s="235"/>
      <c r="AJ197" s="235"/>
      <c r="AK197" s="235"/>
      <c r="AL197" s="235"/>
      <c r="AM197" s="235"/>
      <c r="AN197" s="235"/>
      <c r="AO197" s="235"/>
      <c r="AP197" s="235"/>
      <c r="AQ197" s="235"/>
      <c r="AR197" s="235"/>
      <c r="AS197" s="236"/>
      <c r="AT197" s="236"/>
    </row>
    <row r="198" spans="2:46">
      <c r="B198" s="231">
        <v>85</v>
      </c>
      <c r="C198" s="232"/>
      <c r="D198" s="233"/>
      <c r="E198" s="233"/>
      <c r="F198" s="233"/>
      <c r="G198" s="233"/>
      <c r="H198" s="234"/>
      <c r="I198" s="235"/>
      <c r="J198" s="235"/>
      <c r="K198" s="235"/>
      <c r="L198" s="235"/>
      <c r="M198" s="235"/>
      <c r="N198" s="235"/>
      <c r="O198" s="235"/>
      <c r="P198" s="235"/>
      <c r="Q198" s="235"/>
      <c r="R198" s="235"/>
      <c r="S198" s="235"/>
      <c r="T198" s="235"/>
      <c r="U198" s="235"/>
      <c r="V198" s="236"/>
      <c r="W198" s="236"/>
      <c r="Y198" s="238">
        <v>24</v>
      </c>
      <c r="Z198" s="239"/>
      <c r="AA198" s="240"/>
      <c r="AB198" s="240"/>
      <c r="AC198" s="240"/>
      <c r="AD198" s="240"/>
      <c r="AE198" s="241"/>
      <c r="AF198" s="242"/>
      <c r="AG198" s="242"/>
      <c r="AH198" s="242"/>
      <c r="AI198" s="242"/>
      <c r="AJ198" s="242"/>
      <c r="AK198" s="242"/>
      <c r="AL198" s="242"/>
      <c r="AM198" s="242"/>
      <c r="AN198" s="242"/>
      <c r="AO198" s="242"/>
      <c r="AP198" s="242"/>
      <c r="AQ198" s="242"/>
      <c r="AR198" s="242"/>
      <c r="AS198" s="243"/>
      <c r="AT198" s="243"/>
    </row>
    <row r="199" spans="2:46">
      <c r="B199" s="238">
        <v>86</v>
      </c>
      <c r="C199" s="239"/>
      <c r="D199" s="240"/>
      <c r="E199" s="240"/>
      <c r="F199" s="240"/>
      <c r="G199" s="240"/>
      <c r="H199" s="241"/>
      <c r="I199" s="242"/>
      <c r="J199" s="242"/>
      <c r="K199" s="242"/>
      <c r="L199" s="242"/>
      <c r="M199" s="242"/>
      <c r="N199" s="242"/>
      <c r="O199" s="242"/>
      <c r="P199" s="242"/>
      <c r="Q199" s="242"/>
      <c r="R199" s="242"/>
      <c r="S199" s="242"/>
      <c r="T199" s="242"/>
      <c r="U199" s="242"/>
      <c r="V199" s="243"/>
      <c r="W199" s="243"/>
      <c r="Y199" s="231">
        <v>25</v>
      </c>
      <c r="Z199" s="232"/>
      <c r="AA199" s="233"/>
      <c r="AB199" s="233"/>
      <c r="AC199" s="233"/>
      <c r="AD199" s="233"/>
      <c r="AE199" s="234"/>
      <c r="AF199" s="235"/>
      <c r="AG199" s="235"/>
      <c r="AH199" s="235"/>
      <c r="AI199" s="235"/>
      <c r="AJ199" s="235"/>
      <c r="AK199" s="235"/>
      <c r="AL199" s="235"/>
      <c r="AM199" s="235"/>
      <c r="AN199" s="235"/>
      <c r="AO199" s="235"/>
      <c r="AP199" s="235"/>
      <c r="AQ199" s="235"/>
      <c r="AR199" s="235"/>
      <c r="AS199" s="236"/>
      <c r="AT199" s="236"/>
    </row>
    <row r="200" spans="2:46">
      <c r="B200" s="231">
        <v>87</v>
      </c>
      <c r="C200" s="232"/>
      <c r="D200" s="233"/>
      <c r="E200" s="233"/>
      <c r="F200" s="233"/>
      <c r="G200" s="233"/>
      <c r="H200" s="234"/>
      <c r="I200" s="235"/>
      <c r="J200" s="235"/>
      <c r="K200" s="235"/>
      <c r="L200" s="235"/>
      <c r="M200" s="235"/>
      <c r="N200" s="235"/>
      <c r="O200" s="235"/>
      <c r="P200" s="235"/>
      <c r="Q200" s="235"/>
      <c r="R200" s="235"/>
      <c r="S200" s="235"/>
      <c r="T200" s="235"/>
      <c r="U200" s="235"/>
      <c r="V200" s="236"/>
      <c r="W200" s="236"/>
      <c r="Y200" s="238">
        <v>26</v>
      </c>
      <c r="Z200" s="239"/>
      <c r="AA200" s="240"/>
      <c r="AB200" s="240"/>
      <c r="AC200" s="240"/>
      <c r="AD200" s="240"/>
      <c r="AE200" s="241"/>
      <c r="AF200" s="242"/>
      <c r="AG200" s="242"/>
      <c r="AH200" s="242"/>
      <c r="AI200" s="242"/>
      <c r="AJ200" s="242"/>
      <c r="AK200" s="242"/>
      <c r="AL200" s="242"/>
      <c r="AM200" s="242"/>
      <c r="AN200" s="242"/>
      <c r="AO200" s="242"/>
      <c r="AP200" s="242"/>
      <c r="AQ200" s="242"/>
      <c r="AR200" s="242"/>
      <c r="AS200" s="243"/>
      <c r="AT200" s="243"/>
    </row>
    <row r="201" spans="2:46">
      <c r="B201" s="238">
        <v>88</v>
      </c>
      <c r="C201" s="239"/>
      <c r="D201" s="240"/>
      <c r="E201" s="240"/>
      <c r="F201" s="240"/>
      <c r="G201" s="240"/>
      <c r="H201" s="241"/>
      <c r="I201" s="242"/>
      <c r="J201" s="242"/>
      <c r="K201" s="242"/>
      <c r="L201" s="242"/>
      <c r="M201" s="242"/>
      <c r="N201" s="242"/>
      <c r="O201" s="242"/>
      <c r="P201" s="242"/>
      <c r="Q201" s="242"/>
      <c r="R201" s="242"/>
      <c r="S201" s="242"/>
      <c r="T201" s="242"/>
      <c r="U201" s="242"/>
      <c r="V201" s="243"/>
      <c r="W201" s="243"/>
      <c r="Y201" s="231">
        <v>27</v>
      </c>
      <c r="Z201" s="232"/>
      <c r="AA201" s="233"/>
      <c r="AB201" s="233"/>
      <c r="AC201" s="233"/>
      <c r="AD201" s="233"/>
      <c r="AE201" s="234"/>
      <c r="AF201" s="235"/>
      <c r="AG201" s="235"/>
      <c r="AH201" s="235"/>
      <c r="AI201" s="235"/>
      <c r="AJ201" s="235"/>
      <c r="AK201" s="235"/>
      <c r="AL201" s="235"/>
      <c r="AM201" s="235"/>
      <c r="AN201" s="235"/>
      <c r="AO201" s="235"/>
      <c r="AP201" s="235"/>
      <c r="AQ201" s="235"/>
      <c r="AR201" s="235"/>
      <c r="AS201" s="236"/>
      <c r="AT201" s="236"/>
    </row>
    <row r="202" spans="2:46">
      <c r="B202" s="231">
        <v>89</v>
      </c>
      <c r="C202" s="232"/>
      <c r="D202" s="233"/>
      <c r="E202" s="233"/>
      <c r="F202" s="233"/>
      <c r="G202" s="233"/>
      <c r="H202" s="234"/>
      <c r="I202" s="235"/>
      <c r="J202" s="235"/>
      <c r="K202" s="235"/>
      <c r="L202" s="235"/>
      <c r="M202" s="235"/>
      <c r="N202" s="235"/>
      <c r="O202" s="235"/>
      <c r="P202" s="235"/>
      <c r="Q202" s="235"/>
      <c r="R202" s="235"/>
      <c r="S202" s="235"/>
      <c r="T202" s="235"/>
      <c r="U202" s="235"/>
      <c r="V202" s="236"/>
      <c r="W202" s="236"/>
      <c r="Y202" s="238">
        <v>28</v>
      </c>
      <c r="Z202" s="239"/>
      <c r="AA202" s="240"/>
      <c r="AB202" s="240"/>
      <c r="AC202" s="240"/>
      <c r="AD202" s="240"/>
      <c r="AE202" s="241"/>
      <c r="AF202" s="242"/>
      <c r="AG202" s="242"/>
      <c r="AH202" s="242"/>
      <c r="AI202" s="242"/>
      <c r="AJ202" s="242"/>
      <c r="AK202" s="242"/>
      <c r="AL202" s="242"/>
      <c r="AM202" s="242"/>
      <c r="AN202" s="242"/>
      <c r="AO202" s="242"/>
      <c r="AP202" s="242"/>
      <c r="AQ202" s="242"/>
      <c r="AR202" s="242"/>
      <c r="AS202" s="243"/>
      <c r="AT202" s="243"/>
    </row>
    <row r="203" spans="2:46">
      <c r="B203" s="238">
        <v>90</v>
      </c>
      <c r="C203" s="239"/>
      <c r="D203" s="240"/>
      <c r="E203" s="240"/>
      <c r="F203" s="240"/>
      <c r="G203" s="240"/>
      <c r="H203" s="241"/>
      <c r="I203" s="242"/>
      <c r="J203" s="242"/>
      <c r="K203" s="242"/>
      <c r="L203" s="242"/>
      <c r="M203" s="242"/>
      <c r="N203" s="242"/>
      <c r="O203" s="242"/>
      <c r="P203" s="242"/>
      <c r="Q203" s="242"/>
      <c r="R203" s="242"/>
      <c r="S203" s="242"/>
      <c r="T203" s="242"/>
      <c r="U203" s="242"/>
      <c r="V203" s="243"/>
      <c r="W203" s="243"/>
      <c r="Y203" s="231">
        <v>29</v>
      </c>
      <c r="Z203" s="232"/>
      <c r="AA203" s="233"/>
      <c r="AB203" s="233"/>
      <c r="AC203" s="233"/>
      <c r="AD203" s="233"/>
      <c r="AE203" s="234"/>
      <c r="AF203" s="235"/>
      <c r="AG203" s="235"/>
      <c r="AH203" s="235"/>
      <c r="AI203" s="235"/>
      <c r="AJ203" s="235"/>
      <c r="AK203" s="235"/>
      <c r="AL203" s="235"/>
      <c r="AM203" s="235"/>
      <c r="AN203" s="235"/>
      <c r="AO203" s="235"/>
      <c r="AP203" s="235"/>
      <c r="AQ203" s="235"/>
      <c r="AR203" s="235"/>
      <c r="AS203" s="236"/>
      <c r="AT203" s="236"/>
    </row>
    <row r="204" spans="2:46">
      <c r="B204" s="231">
        <v>91</v>
      </c>
      <c r="C204" s="232"/>
      <c r="D204" s="233"/>
      <c r="E204" s="233"/>
      <c r="F204" s="233"/>
      <c r="G204" s="233"/>
      <c r="H204" s="234"/>
      <c r="I204" s="235"/>
      <c r="J204" s="235"/>
      <c r="K204" s="235"/>
      <c r="L204" s="235"/>
      <c r="M204" s="235"/>
      <c r="N204" s="235"/>
      <c r="O204" s="235"/>
      <c r="P204" s="235"/>
      <c r="Q204" s="235"/>
      <c r="R204" s="235"/>
      <c r="S204" s="235"/>
      <c r="T204" s="235"/>
      <c r="U204" s="235"/>
      <c r="V204" s="236"/>
      <c r="W204" s="236"/>
      <c r="Y204" s="238">
        <v>30</v>
      </c>
      <c r="Z204" s="239"/>
      <c r="AA204" s="240"/>
      <c r="AB204" s="240"/>
      <c r="AC204" s="240"/>
      <c r="AD204" s="240"/>
      <c r="AE204" s="241"/>
      <c r="AF204" s="242"/>
      <c r="AG204" s="242"/>
      <c r="AH204" s="242"/>
      <c r="AI204" s="242"/>
      <c r="AJ204" s="242"/>
      <c r="AK204" s="242"/>
      <c r="AL204" s="242"/>
      <c r="AM204" s="242"/>
      <c r="AN204" s="242"/>
      <c r="AO204" s="242"/>
      <c r="AP204" s="242"/>
      <c r="AQ204" s="242"/>
      <c r="AR204" s="242"/>
      <c r="AS204" s="243"/>
      <c r="AT204" s="243"/>
    </row>
    <row r="205" spans="2:46">
      <c r="B205" s="238">
        <v>92</v>
      </c>
      <c r="C205" s="239"/>
      <c r="D205" s="240"/>
      <c r="E205" s="240"/>
      <c r="F205" s="240"/>
      <c r="G205" s="240"/>
      <c r="H205" s="241"/>
      <c r="I205" s="242"/>
      <c r="J205" s="242"/>
      <c r="K205" s="242"/>
      <c r="L205" s="242"/>
      <c r="M205" s="242"/>
      <c r="N205" s="242"/>
      <c r="O205" s="242"/>
      <c r="P205" s="242"/>
      <c r="Q205" s="242"/>
      <c r="R205" s="242"/>
      <c r="S205" s="242"/>
      <c r="T205" s="242"/>
      <c r="U205" s="242"/>
      <c r="V205" s="243"/>
      <c r="W205" s="243"/>
      <c r="Y205" s="231">
        <v>31</v>
      </c>
      <c r="Z205" s="232"/>
      <c r="AA205" s="233"/>
      <c r="AB205" s="233"/>
      <c r="AC205" s="233"/>
      <c r="AD205" s="233"/>
      <c r="AE205" s="234"/>
      <c r="AF205" s="235"/>
      <c r="AG205" s="235"/>
      <c r="AH205" s="235"/>
      <c r="AI205" s="235"/>
      <c r="AJ205" s="235"/>
      <c r="AK205" s="235"/>
      <c r="AL205" s="235"/>
      <c r="AM205" s="235"/>
      <c r="AN205" s="235"/>
      <c r="AO205" s="235"/>
      <c r="AP205" s="235"/>
      <c r="AQ205" s="235"/>
      <c r="AR205" s="235"/>
      <c r="AS205" s="236"/>
      <c r="AT205" s="236"/>
    </row>
    <row r="206" spans="2:46">
      <c r="B206" s="231">
        <v>93</v>
      </c>
      <c r="C206" s="232"/>
      <c r="D206" s="233"/>
      <c r="E206" s="233"/>
      <c r="F206" s="233"/>
      <c r="G206" s="233"/>
      <c r="H206" s="234"/>
      <c r="I206" s="235"/>
      <c r="J206" s="235"/>
      <c r="K206" s="235"/>
      <c r="L206" s="235"/>
      <c r="M206" s="235"/>
      <c r="N206" s="235"/>
      <c r="O206" s="235"/>
      <c r="P206" s="235"/>
      <c r="Q206" s="235"/>
      <c r="R206" s="235"/>
      <c r="S206" s="235"/>
      <c r="T206" s="235"/>
      <c r="U206" s="235"/>
      <c r="V206" s="236"/>
      <c r="W206" s="236"/>
      <c r="Y206" s="238">
        <v>32</v>
      </c>
      <c r="Z206" s="239"/>
      <c r="AA206" s="240"/>
      <c r="AB206" s="240"/>
      <c r="AC206" s="240"/>
      <c r="AD206" s="240"/>
      <c r="AE206" s="241"/>
      <c r="AF206" s="242"/>
      <c r="AG206" s="242"/>
      <c r="AH206" s="242"/>
      <c r="AI206" s="242"/>
      <c r="AJ206" s="242"/>
      <c r="AK206" s="242"/>
      <c r="AL206" s="242"/>
      <c r="AM206" s="242"/>
      <c r="AN206" s="242"/>
      <c r="AO206" s="242"/>
      <c r="AP206" s="242"/>
      <c r="AQ206" s="242"/>
      <c r="AR206" s="242"/>
      <c r="AS206" s="243"/>
      <c r="AT206" s="243"/>
    </row>
    <row r="207" spans="2:46">
      <c r="B207" s="238">
        <v>94</v>
      </c>
      <c r="C207" s="239"/>
      <c r="D207" s="240"/>
      <c r="E207" s="240"/>
      <c r="F207" s="240"/>
      <c r="G207" s="240"/>
      <c r="H207" s="241"/>
      <c r="I207" s="242"/>
      <c r="J207" s="242"/>
      <c r="K207" s="242"/>
      <c r="L207" s="242"/>
      <c r="M207" s="242"/>
      <c r="N207" s="242"/>
      <c r="O207" s="242"/>
      <c r="P207" s="242"/>
      <c r="Q207" s="242"/>
      <c r="R207" s="242"/>
      <c r="S207" s="242"/>
      <c r="T207" s="242"/>
      <c r="U207" s="242"/>
      <c r="V207" s="243"/>
      <c r="W207" s="243"/>
      <c r="Y207" s="231">
        <v>33</v>
      </c>
      <c r="Z207" s="232"/>
      <c r="AA207" s="233"/>
      <c r="AB207" s="233"/>
      <c r="AC207" s="233"/>
      <c r="AD207" s="233"/>
      <c r="AE207" s="234"/>
      <c r="AF207" s="235"/>
      <c r="AG207" s="235"/>
      <c r="AH207" s="235"/>
      <c r="AI207" s="235"/>
      <c r="AJ207" s="235"/>
      <c r="AK207" s="235"/>
      <c r="AL207" s="235"/>
      <c r="AM207" s="235"/>
      <c r="AN207" s="235"/>
      <c r="AO207" s="235"/>
      <c r="AP207" s="235"/>
      <c r="AQ207" s="235"/>
      <c r="AR207" s="235"/>
      <c r="AS207" s="236"/>
      <c r="AT207" s="236"/>
    </row>
    <row r="208" spans="2:46">
      <c r="B208" s="231">
        <v>95</v>
      </c>
      <c r="C208" s="232"/>
      <c r="D208" s="233"/>
      <c r="E208" s="233"/>
      <c r="F208" s="233"/>
      <c r="G208" s="233"/>
      <c r="H208" s="234"/>
      <c r="I208" s="235"/>
      <c r="J208" s="235"/>
      <c r="K208" s="235"/>
      <c r="L208" s="235"/>
      <c r="M208" s="235"/>
      <c r="N208" s="235"/>
      <c r="O208" s="235"/>
      <c r="P208" s="235"/>
      <c r="Q208" s="235"/>
      <c r="R208" s="235"/>
      <c r="S208" s="235"/>
      <c r="T208" s="235"/>
      <c r="U208" s="235"/>
      <c r="V208" s="236"/>
      <c r="W208" s="236"/>
      <c r="Y208" s="238">
        <v>34</v>
      </c>
      <c r="Z208" s="239"/>
      <c r="AA208" s="240"/>
      <c r="AB208" s="240"/>
      <c r="AC208" s="240"/>
      <c r="AD208" s="240"/>
      <c r="AE208" s="241"/>
      <c r="AF208" s="242"/>
      <c r="AG208" s="242"/>
      <c r="AH208" s="242"/>
      <c r="AI208" s="242"/>
      <c r="AJ208" s="242"/>
      <c r="AK208" s="242"/>
      <c r="AL208" s="242"/>
      <c r="AM208" s="242"/>
      <c r="AN208" s="242"/>
      <c r="AO208" s="242"/>
      <c r="AP208" s="242"/>
      <c r="AQ208" s="242"/>
      <c r="AR208" s="242"/>
      <c r="AS208" s="243"/>
      <c r="AT208" s="243"/>
    </row>
    <row r="209" spans="2:46">
      <c r="B209" s="238">
        <v>96</v>
      </c>
      <c r="C209" s="239"/>
      <c r="D209" s="240"/>
      <c r="E209" s="240"/>
      <c r="F209" s="240"/>
      <c r="G209" s="240"/>
      <c r="H209" s="241"/>
      <c r="I209" s="242"/>
      <c r="J209" s="242"/>
      <c r="K209" s="242"/>
      <c r="L209" s="242"/>
      <c r="M209" s="242"/>
      <c r="N209" s="242"/>
      <c r="O209" s="242"/>
      <c r="P209" s="242"/>
      <c r="Q209" s="242"/>
      <c r="R209" s="242"/>
      <c r="S209" s="242"/>
      <c r="T209" s="242"/>
      <c r="U209" s="242"/>
      <c r="V209" s="243"/>
      <c r="W209" s="243"/>
      <c r="Y209" s="231">
        <v>35</v>
      </c>
      <c r="Z209" s="232"/>
      <c r="AA209" s="233"/>
      <c r="AB209" s="233"/>
      <c r="AC209" s="233"/>
      <c r="AD209" s="233"/>
      <c r="AE209" s="234"/>
      <c r="AF209" s="235"/>
      <c r="AG209" s="235"/>
      <c r="AH209" s="235"/>
      <c r="AI209" s="235"/>
      <c r="AJ209" s="235"/>
      <c r="AK209" s="235"/>
      <c r="AL209" s="235"/>
      <c r="AM209" s="235"/>
      <c r="AN209" s="235"/>
      <c r="AO209" s="235"/>
      <c r="AP209" s="235"/>
      <c r="AQ209" s="235"/>
      <c r="AR209" s="235"/>
      <c r="AS209" s="236"/>
      <c r="AT209" s="236"/>
    </row>
    <row r="210" spans="2:46">
      <c r="B210" s="231">
        <v>97</v>
      </c>
      <c r="C210" s="232"/>
      <c r="D210" s="233"/>
      <c r="E210" s="233"/>
      <c r="F210" s="233"/>
      <c r="G210" s="233"/>
      <c r="H210" s="234"/>
      <c r="I210" s="235"/>
      <c r="J210" s="235"/>
      <c r="K210" s="235"/>
      <c r="L210" s="235"/>
      <c r="M210" s="235"/>
      <c r="N210" s="235"/>
      <c r="O210" s="235"/>
      <c r="P210" s="235"/>
      <c r="Q210" s="235"/>
      <c r="R210" s="235"/>
      <c r="S210" s="235"/>
      <c r="T210" s="235"/>
      <c r="U210" s="235"/>
      <c r="V210" s="236"/>
      <c r="W210" s="236"/>
      <c r="Y210" s="238">
        <v>36</v>
      </c>
      <c r="Z210" s="239"/>
      <c r="AA210" s="240"/>
      <c r="AB210" s="240"/>
      <c r="AC210" s="240"/>
      <c r="AD210" s="240"/>
      <c r="AE210" s="241"/>
      <c r="AF210" s="242"/>
      <c r="AG210" s="242"/>
      <c r="AH210" s="242"/>
      <c r="AI210" s="242"/>
      <c r="AJ210" s="242"/>
      <c r="AK210" s="242"/>
      <c r="AL210" s="242"/>
      <c r="AM210" s="242"/>
      <c r="AN210" s="242"/>
      <c r="AO210" s="242"/>
      <c r="AP210" s="242"/>
      <c r="AQ210" s="242"/>
      <c r="AR210" s="242"/>
      <c r="AS210" s="243"/>
      <c r="AT210" s="243"/>
    </row>
    <row r="211" spans="2:46">
      <c r="B211" s="238">
        <v>98</v>
      </c>
      <c r="C211" s="239"/>
      <c r="D211" s="240"/>
      <c r="E211" s="240"/>
      <c r="F211" s="240"/>
      <c r="G211" s="240"/>
      <c r="H211" s="241"/>
      <c r="I211" s="242"/>
      <c r="J211" s="242"/>
      <c r="K211" s="242"/>
      <c r="L211" s="242"/>
      <c r="M211" s="242"/>
      <c r="N211" s="242"/>
      <c r="O211" s="242"/>
      <c r="P211" s="242"/>
      <c r="Q211" s="242"/>
      <c r="R211" s="242"/>
      <c r="S211" s="242"/>
      <c r="T211" s="242"/>
      <c r="U211" s="242"/>
      <c r="V211" s="243"/>
      <c r="W211" s="243"/>
      <c r="Y211" s="231">
        <v>37</v>
      </c>
      <c r="Z211" s="232"/>
      <c r="AA211" s="233"/>
      <c r="AB211" s="233"/>
      <c r="AC211" s="233"/>
      <c r="AD211" s="233"/>
      <c r="AE211" s="234"/>
      <c r="AF211" s="235"/>
      <c r="AG211" s="235"/>
      <c r="AH211" s="235"/>
      <c r="AI211" s="235"/>
      <c r="AJ211" s="235"/>
      <c r="AK211" s="235"/>
      <c r="AL211" s="235"/>
      <c r="AM211" s="235"/>
      <c r="AN211" s="235"/>
      <c r="AO211" s="235"/>
      <c r="AP211" s="235"/>
      <c r="AQ211" s="235"/>
      <c r="AR211" s="235"/>
      <c r="AS211" s="236"/>
      <c r="AT211" s="236"/>
    </row>
    <row r="212" spans="2:46">
      <c r="B212" s="231">
        <v>99</v>
      </c>
      <c r="C212" s="232"/>
      <c r="D212" s="233"/>
      <c r="E212" s="233"/>
      <c r="F212" s="233"/>
      <c r="G212" s="233"/>
      <c r="H212" s="234"/>
      <c r="I212" s="235"/>
      <c r="J212" s="235"/>
      <c r="K212" s="235"/>
      <c r="L212" s="235"/>
      <c r="M212" s="235"/>
      <c r="N212" s="235"/>
      <c r="O212" s="235"/>
      <c r="P212" s="235"/>
      <c r="Q212" s="235"/>
      <c r="R212" s="235"/>
      <c r="S212" s="235"/>
      <c r="T212" s="235"/>
      <c r="U212" s="235"/>
      <c r="V212" s="236"/>
      <c r="W212" s="236"/>
      <c r="Y212" s="238">
        <v>38</v>
      </c>
      <c r="Z212" s="239"/>
      <c r="AA212" s="240"/>
      <c r="AB212" s="240"/>
      <c r="AC212" s="240"/>
      <c r="AD212" s="240"/>
      <c r="AE212" s="241"/>
      <c r="AF212" s="242"/>
      <c r="AG212" s="242"/>
      <c r="AH212" s="242"/>
      <c r="AI212" s="242"/>
      <c r="AJ212" s="242"/>
      <c r="AK212" s="242"/>
      <c r="AL212" s="242"/>
      <c r="AM212" s="242"/>
      <c r="AN212" s="242"/>
      <c r="AO212" s="242"/>
      <c r="AP212" s="242"/>
      <c r="AQ212" s="242"/>
      <c r="AR212" s="242"/>
      <c r="AS212" s="243"/>
      <c r="AT212" s="243"/>
    </row>
    <row r="213" spans="2:46">
      <c r="B213" s="238">
        <v>100</v>
      </c>
      <c r="C213" s="239"/>
      <c r="D213" s="240"/>
      <c r="E213" s="240"/>
      <c r="F213" s="240"/>
      <c r="G213" s="240"/>
      <c r="H213" s="241"/>
      <c r="I213" s="242"/>
      <c r="J213" s="242"/>
      <c r="K213" s="242"/>
      <c r="L213" s="242"/>
      <c r="M213" s="242"/>
      <c r="N213" s="242"/>
      <c r="O213" s="242"/>
      <c r="P213" s="242"/>
      <c r="Q213" s="242"/>
      <c r="R213" s="242"/>
      <c r="S213" s="242"/>
      <c r="T213" s="242"/>
      <c r="U213" s="242"/>
      <c r="V213" s="243"/>
      <c r="W213" s="243"/>
      <c r="Y213" s="231">
        <v>39</v>
      </c>
      <c r="Z213" s="232"/>
      <c r="AA213" s="233"/>
      <c r="AB213" s="233"/>
      <c r="AC213" s="233"/>
      <c r="AD213" s="233"/>
      <c r="AE213" s="234"/>
      <c r="AF213" s="235"/>
      <c r="AG213" s="235"/>
      <c r="AH213" s="235"/>
      <c r="AI213" s="235"/>
      <c r="AJ213" s="235"/>
      <c r="AK213" s="235"/>
      <c r="AL213" s="235"/>
      <c r="AM213" s="235"/>
      <c r="AN213" s="235"/>
      <c r="AO213" s="235"/>
      <c r="AP213" s="235"/>
      <c r="AQ213" s="235"/>
      <c r="AR213" s="235"/>
      <c r="AS213" s="236"/>
      <c r="AT213" s="236"/>
    </row>
  </sheetData>
  <sheetProtection sheet="1" selectLockedCells="1" objects="1"/>
  <mergeCells count="1241">
    <mergeCell ref="A1:AS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R27"/>
    <mergeCell ref="AS27:AT27"/>
    <mergeCell ref="B28:H28"/>
    <mergeCell ref="I28:R28"/>
    <mergeCell ref="S28:T28"/>
    <mergeCell ref="V28:W28"/>
    <mergeCell ref="Y28:AE28"/>
    <mergeCell ref="AF28:AO28"/>
    <mergeCell ref="AP28:AQ28"/>
    <mergeCell ref="AS28:AT28"/>
    <mergeCell ref="B29:H29"/>
    <mergeCell ref="I29:R29"/>
    <mergeCell ref="S29:T29"/>
    <mergeCell ref="V29:W29"/>
    <mergeCell ref="Y29:AE29"/>
    <mergeCell ref="AF29:AO29"/>
    <mergeCell ref="AP29:AQ29"/>
    <mergeCell ref="AS29:AT29"/>
    <mergeCell ref="B30:H30"/>
    <mergeCell ref="I30:R30"/>
    <mergeCell ref="S30:T30"/>
    <mergeCell ref="V30:W30"/>
    <mergeCell ref="Y30:AE30"/>
    <mergeCell ref="AF30:AO30"/>
    <mergeCell ref="AP30:AQ30"/>
    <mergeCell ref="AS30:AT30"/>
    <mergeCell ref="B31:H31"/>
    <mergeCell ref="I31:R31"/>
    <mergeCell ref="S31:T31"/>
    <mergeCell ref="V31:W31"/>
    <mergeCell ref="Y31:AE31"/>
    <mergeCell ref="AF31:AO31"/>
    <mergeCell ref="AP31:AQ31"/>
    <mergeCell ref="AS31:AT31"/>
    <mergeCell ref="B32:H32"/>
    <mergeCell ref="I32:R32"/>
    <mergeCell ref="S32:T32"/>
    <mergeCell ref="V32:W32"/>
    <mergeCell ref="Y32:AE32"/>
    <mergeCell ref="AF32:AO32"/>
    <mergeCell ref="AP32:AQ32"/>
    <mergeCell ref="AS32:AT32"/>
    <mergeCell ref="B33:H33"/>
    <mergeCell ref="I33:R33"/>
    <mergeCell ref="S33:T33"/>
    <mergeCell ref="V33:W33"/>
    <mergeCell ref="Y33:AE33"/>
    <mergeCell ref="AF33:AO33"/>
    <mergeCell ref="AP33:AQ33"/>
    <mergeCell ref="AS33:AT33"/>
    <mergeCell ref="B34:H34"/>
    <mergeCell ref="I34:R34"/>
    <mergeCell ref="S34:T34"/>
    <mergeCell ref="V34:W34"/>
    <mergeCell ref="Y34:AE34"/>
    <mergeCell ref="AF34:AO34"/>
    <mergeCell ref="AP34:AQ34"/>
    <mergeCell ref="AS34:AT34"/>
    <mergeCell ref="B35:H35"/>
    <mergeCell ref="I35:R35"/>
    <mergeCell ref="S35:T35"/>
    <mergeCell ref="V35:W35"/>
    <mergeCell ref="Y35:AE35"/>
    <mergeCell ref="AF35:AO35"/>
    <mergeCell ref="AP35:AQ35"/>
    <mergeCell ref="AS35:AT35"/>
    <mergeCell ref="B36:H36"/>
    <mergeCell ref="I36:R36"/>
    <mergeCell ref="S36:T36"/>
    <mergeCell ref="V36:W36"/>
    <mergeCell ref="Y36:AE36"/>
    <mergeCell ref="AF36:AO36"/>
    <mergeCell ref="AP36:AQ36"/>
    <mergeCell ref="AS36:AT36"/>
    <mergeCell ref="B37:H37"/>
    <mergeCell ref="I37:R37"/>
    <mergeCell ref="S37:T37"/>
    <mergeCell ref="V37:W37"/>
    <mergeCell ref="Y37:AE37"/>
    <mergeCell ref="AF37:AO37"/>
    <mergeCell ref="AP37:AQ37"/>
    <mergeCell ref="AS37:AT37"/>
    <mergeCell ref="B38:H38"/>
    <mergeCell ref="I38:R38"/>
    <mergeCell ref="S38:T38"/>
    <mergeCell ref="V38:W38"/>
    <mergeCell ref="Y38:AE38"/>
    <mergeCell ref="AF38:AO38"/>
    <mergeCell ref="AP38:AQ38"/>
    <mergeCell ref="AS38:AT38"/>
    <mergeCell ref="B40:H40"/>
    <mergeCell ref="I40:R40"/>
    <mergeCell ref="S40:T40"/>
    <mergeCell ref="V40:W40"/>
    <mergeCell ref="Y40:AE40"/>
    <mergeCell ref="AF40:AO40"/>
    <mergeCell ref="AP40:AQ40"/>
    <mergeCell ref="AS40:AT40"/>
    <mergeCell ref="B41:H41"/>
    <mergeCell ref="I41:R41"/>
    <mergeCell ref="S41:T41"/>
    <mergeCell ref="V41:W41"/>
    <mergeCell ref="Y41:AE41"/>
    <mergeCell ref="AF41:AO41"/>
    <mergeCell ref="AP41:AQ41"/>
    <mergeCell ref="AS41:AT41"/>
    <mergeCell ref="B42:H42"/>
    <mergeCell ref="I42:R42"/>
    <mergeCell ref="S42:T42"/>
    <mergeCell ref="V42:W42"/>
    <mergeCell ref="Y42:AE42"/>
    <mergeCell ref="AF42:AO42"/>
    <mergeCell ref="AP42:AQ42"/>
    <mergeCell ref="AS42:AT42"/>
    <mergeCell ref="B43:H43"/>
    <mergeCell ref="I43:R43"/>
    <mergeCell ref="S43:T43"/>
    <mergeCell ref="V43:W43"/>
    <mergeCell ref="Y43:AE43"/>
    <mergeCell ref="AF43:AO43"/>
    <mergeCell ref="AP43:AQ43"/>
    <mergeCell ref="AS43:AT43"/>
    <mergeCell ref="B44:H44"/>
    <mergeCell ref="I44:R44"/>
    <mergeCell ref="S44:T44"/>
    <mergeCell ref="V44:W44"/>
    <mergeCell ref="Y44:AE44"/>
    <mergeCell ref="AF44:AO44"/>
    <mergeCell ref="AP44:AQ44"/>
    <mergeCell ref="AS44:AT44"/>
    <mergeCell ref="B45:H45"/>
    <mergeCell ref="I45:R45"/>
    <mergeCell ref="S45:T45"/>
    <mergeCell ref="V45:W45"/>
    <mergeCell ref="Y45:AE45"/>
    <mergeCell ref="AF45:AO45"/>
    <mergeCell ref="AP45:AQ45"/>
    <mergeCell ref="AS45:AT45"/>
    <mergeCell ref="B46:H46"/>
    <mergeCell ref="I46:R46"/>
    <mergeCell ref="S46:T46"/>
    <mergeCell ref="V46:W46"/>
    <mergeCell ref="Y46:AE46"/>
    <mergeCell ref="AF46:AO46"/>
    <mergeCell ref="AP46:AQ46"/>
    <mergeCell ref="AS46:AT46"/>
    <mergeCell ref="B47:H47"/>
    <mergeCell ref="I47:R47"/>
    <mergeCell ref="S47:T47"/>
    <mergeCell ref="V47:W47"/>
    <mergeCell ref="Y47:AE47"/>
    <mergeCell ref="AF47:AO47"/>
    <mergeCell ref="AP47:AQ47"/>
    <mergeCell ref="AS47:AT47"/>
    <mergeCell ref="B48:H48"/>
    <mergeCell ref="I48:R48"/>
    <mergeCell ref="S48:T48"/>
    <mergeCell ref="V48:W48"/>
    <mergeCell ref="Y48:AE48"/>
    <mergeCell ref="AF48:AO48"/>
    <mergeCell ref="AP48:AQ48"/>
    <mergeCell ref="AS48:AT48"/>
    <mergeCell ref="B49:H49"/>
    <mergeCell ref="I49:R49"/>
    <mergeCell ref="S49:T49"/>
    <mergeCell ref="V49:W49"/>
    <mergeCell ref="Y49:AE49"/>
    <mergeCell ref="AF49:AO49"/>
    <mergeCell ref="AP49:AQ49"/>
    <mergeCell ref="AS49:AT49"/>
    <mergeCell ref="B51:H51"/>
    <mergeCell ref="I51:R51"/>
    <mergeCell ref="S51:T51"/>
    <mergeCell ref="V51:W51"/>
    <mergeCell ref="Y51:AE51"/>
    <mergeCell ref="AF51:AO51"/>
    <mergeCell ref="AP51:AQ51"/>
    <mergeCell ref="AS51:AT51"/>
    <mergeCell ref="B52:H52"/>
    <mergeCell ref="I52:R52"/>
    <mergeCell ref="S52:T52"/>
    <mergeCell ref="V52:W52"/>
    <mergeCell ref="Y52:AE52"/>
    <mergeCell ref="AF52:AO52"/>
    <mergeCell ref="AP52:AQ52"/>
    <mergeCell ref="AS52:AT52"/>
    <mergeCell ref="B53:H53"/>
    <mergeCell ref="I53:R53"/>
    <mergeCell ref="S53:T53"/>
    <mergeCell ref="V53:W53"/>
    <mergeCell ref="Y53:AE53"/>
    <mergeCell ref="AF53:AO53"/>
    <mergeCell ref="AP53:AQ53"/>
    <mergeCell ref="AS53:AT53"/>
    <mergeCell ref="B54:H54"/>
    <mergeCell ref="I54:R54"/>
    <mergeCell ref="S54:T54"/>
    <mergeCell ref="V54:W54"/>
    <mergeCell ref="Y54:AE54"/>
    <mergeCell ref="AF54:AO54"/>
    <mergeCell ref="AP54:AQ54"/>
    <mergeCell ref="AS54:AT54"/>
    <mergeCell ref="B55:H55"/>
    <mergeCell ref="I55:R55"/>
    <mergeCell ref="S55:T55"/>
    <mergeCell ref="V55:W55"/>
    <mergeCell ref="Y55:AE55"/>
    <mergeCell ref="AF55:AO55"/>
    <mergeCell ref="AP55:AQ55"/>
    <mergeCell ref="AS55:AT55"/>
    <mergeCell ref="B56:H56"/>
    <mergeCell ref="I56:R56"/>
    <mergeCell ref="S56:T56"/>
    <mergeCell ref="V56:W56"/>
    <mergeCell ref="Y56:AE56"/>
    <mergeCell ref="AF56:AO56"/>
    <mergeCell ref="AP56:AQ56"/>
    <mergeCell ref="AS56:AT56"/>
    <mergeCell ref="B57:H57"/>
    <mergeCell ref="I57:R57"/>
    <mergeCell ref="S57:T57"/>
    <mergeCell ref="V57:W57"/>
    <mergeCell ref="Y57:AE57"/>
    <mergeCell ref="AF57:AO57"/>
    <mergeCell ref="AP57:AQ57"/>
    <mergeCell ref="AS57:AT57"/>
    <mergeCell ref="B58:H58"/>
    <mergeCell ref="I58:R58"/>
    <mergeCell ref="S58:T58"/>
    <mergeCell ref="V58:W58"/>
    <mergeCell ref="Y58:AE58"/>
    <mergeCell ref="AF58:AO58"/>
    <mergeCell ref="AP58:AQ58"/>
    <mergeCell ref="AS58:AT58"/>
    <mergeCell ref="B59:H59"/>
    <mergeCell ref="I59:R59"/>
    <mergeCell ref="S59:T59"/>
    <mergeCell ref="V59:W59"/>
    <mergeCell ref="Y59:AE59"/>
    <mergeCell ref="AF59:AO59"/>
    <mergeCell ref="AP59:AQ59"/>
    <mergeCell ref="AS59:AT59"/>
    <mergeCell ref="B60:H60"/>
    <mergeCell ref="I60:R60"/>
    <mergeCell ref="S60:T60"/>
    <mergeCell ref="V60:W60"/>
    <mergeCell ref="Y60:AE60"/>
    <mergeCell ref="AF60:AO60"/>
    <mergeCell ref="AP60:AQ60"/>
    <mergeCell ref="AS60:AT60"/>
    <mergeCell ref="B62:H62"/>
    <mergeCell ref="I62:R62"/>
    <mergeCell ref="S62:T62"/>
    <mergeCell ref="V62:W62"/>
    <mergeCell ref="Y62:AE62"/>
    <mergeCell ref="AF62:AO62"/>
    <mergeCell ref="AP62:AQ62"/>
    <mergeCell ref="AS62:AT62"/>
    <mergeCell ref="B63:H63"/>
    <mergeCell ref="I63:R63"/>
    <mergeCell ref="S63:T63"/>
    <mergeCell ref="V63:W63"/>
    <mergeCell ref="Y63:AE63"/>
    <mergeCell ref="AF63:AO63"/>
    <mergeCell ref="AP63:AQ63"/>
    <mergeCell ref="AS63:AT63"/>
    <mergeCell ref="B64:H64"/>
    <mergeCell ref="I64:R64"/>
    <mergeCell ref="S64:T64"/>
    <mergeCell ref="V64:W64"/>
    <mergeCell ref="Y64:AE64"/>
    <mergeCell ref="AF64:AO64"/>
    <mergeCell ref="AP64:AQ64"/>
    <mergeCell ref="AS64:AT64"/>
    <mergeCell ref="B65:H65"/>
    <mergeCell ref="I65:R65"/>
    <mergeCell ref="S65:T65"/>
    <mergeCell ref="V65:W65"/>
    <mergeCell ref="Y65:AE65"/>
    <mergeCell ref="AF65:AO65"/>
    <mergeCell ref="AP65:AQ65"/>
    <mergeCell ref="AS65:AT65"/>
    <mergeCell ref="B66:H66"/>
    <mergeCell ref="I66:R66"/>
    <mergeCell ref="S66:T66"/>
    <mergeCell ref="V66:W66"/>
    <mergeCell ref="Y66:AE66"/>
    <mergeCell ref="AF66:AO66"/>
    <mergeCell ref="AP66:AQ66"/>
    <mergeCell ref="AS66:AT66"/>
    <mergeCell ref="B67:H67"/>
    <mergeCell ref="I67:R67"/>
    <mergeCell ref="S67:T67"/>
    <mergeCell ref="V67:W67"/>
    <mergeCell ref="Y67:AE67"/>
    <mergeCell ref="AF67:AO67"/>
    <mergeCell ref="AP67:AQ67"/>
    <mergeCell ref="AS67:AT67"/>
    <mergeCell ref="B68:H68"/>
    <mergeCell ref="I68:R68"/>
    <mergeCell ref="S68:T68"/>
    <mergeCell ref="V68:W68"/>
    <mergeCell ref="Y68:AE68"/>
    <mergeCell ref="AF68:AO68"/>
    <mergeCell ref="AP68:AQ68"/>
    <mergeCell ref="AS68:AT68"/>
    <mergeCell ref="B69:H69"/>
    <mergeCell ref="I69:R69"/>
    <mergeCell ref="S69:T69"/>
    <mergeCell ref="V69:W69"/>
    <mergeCell ref="Y69:AE69"/>
    <mergeCell ref="AF69:AO69"/>
    <mergeCell ref="AP69:AQ69"/>
    <mergeCell ref="AS69:AT69"/>
    <mergeCell ref="B70:H70"/>
    <mergeCell ref="I70:R70"/>
    <mergeCell ref="S70:T70"/>
    <mergeCell ref="V70:W70"/>
    <mergeCell ref="Y70:AE70"/>
    <mergeCell ref="AF70:AO70"/>
    <mergeCell ref="AP70:AQ70"/>
    <mergeCell ref="AS70:AT70"/>
    <mergeCell ref="B71:H71"/>
    <mergeCell ref="I71:R71"/>
    <mergeCell ref="S71:T71"/>
    <mergeCell ref="V71:W71"/>
    <mergeCell ref="Y71:AE71"/>
    <mergeCell ref="AF71:AO71"/>
    <mergeCell ref="AP71:AQ71"/>
    <mergeCell ref="AS71:AT71"/>
    <mergeCell ref="B73:H73"/>
    <mergeCell ref="I73:R73"/>
    <mergeCell ref="S73:T73"/>
    <mergeCell ref="V73:W73"/>
    <mergeCell ref="Y73:AE73"/>
    <mergeCell ref="AF73:AO73"/>
    <mergeCell ref="AP73:AQ73"/>
    <mergeCell ref="AS73:AT73"/>
    <mergeCell ref="B74:H74"/>
    <mergeCell ref="I74:R74"/>
    <mergeCell ref="S74:T74"/>
    <mergeCell ref="V74:W74"/>
    <mergeCell ref="Y74:AE74"/>
    <mergeCell ref="AF74:AO74"/>
    <mergeCell ref="AP74:AQ74"/>
    <mergeCell ref="AS74:AT74"/>
    <mergeCell ref="B75:H75"/>
    <mergeCell ref="I75:R75"/>
    <mergeCell ref="S75:T75"/>
    <mergeCell ref="V75:W75"/>
    <mergeCell ref="Y75:AE75"/>
    <mergeCell ref="AF75:AO75"/>
    <mergeCell ref="AP75:AQ75"/>
    <mergeCell ref="AS75:AT75"/>
    <mergeCell ref="B76:H76"/>
    <mergeCell ref="I76:R76"/>
    <mergeCell ref="S76:T76"/>
    <mergeCell ref="V76:W76"/>
    <mergeCell ref="Y76:AE76"/>
    <mergeCell ref="AF76:AO76"/>
    <mergeCell ref="AP76:AQ76"/>
    <mergeCell ref="AS76:AT76"/>
    <mergeCell ref="B77:H77"/>
    <mergeCell ref="I77:R77"/>
    <mergeCell ref="S77:T77"/>
    <mergeCell ref="V77:W77"/>
    <mergeCell ref="Y77:AE77"/>
    <mergeCell ref="AF77:AO77"/>
    <mergeCell ref="AP77:AQ77"/>
    <mergeCell ref="AS77:AT77"/>
    <mergeCell ref="B78:H78"/>
    <mergeCell ref="I78:R78"/>
    <mergeCell ref="S78:T78"/>
    <mergeCell ref="V78:W78"/>
    <mergeCell ref="Y78:AE78"/>
    <mergeCell ref="AF78:AO78"/>
    <mergeCell ref="AP78:AQ78"/>
    <mergeCell ref="AS78:AT78"/>
    <mergeCell ref="B79:H79"/>
    <mergeCell ref="I79:R79"/>
    <mergeCell ref="S79:T79"/>
    <mergeCell ref="V79:W79"/>
    <mergeCell ref="Y79:AE79"/>
    <mergeCell ref="AF79:AO79"/>
    <mergeCell ref="AP79:AQ79"/>
    <mergeCell ref="AS79:AT79"/>
    <mergeCell ref="B80:H80"/>
    <mergeCell ref="I80:R80"/>
    <mergeCell ref="S80:T80"/>
    <mergeCell ref="V80:W80"/>
    <mergeCell ref="Y80:AE80"/>
    <mergeCell ref="AF80:AO80"/>
    <mergeCell ref="AP80:AQ80"/>
    <mergeCell ref="AS80:AT80"/>
    <mergeCell ref="B81:H81"/>
    <mergeCell ref="I81:R81"/>
    <mergeCell ref="S81:T81"/>
    <mergeCell ref="V81:W81"/>
    <mergeCell ref="Y81:AE81"/>
    <mergeCell ref="AF81:AO81"/>
    <mergeCell ref="AP81:AQ81"/>
    <mergeCell ref="AS81:AT81"/>
    <mergeCell ref="B82:H82"/>
    <mergeCell ref="I82:R82"/>
    <mergeCell ref="S82:T82"/>
    <mergeCell ref="V82:W82"/>
    <mergeCell ref="Y82:AE82"/>
    <mergeCell ref="AF82:AO82"/>
    <mergeCell ref="AP82:AQ82"/>
    <mergeCell ref="AS82:AT82"/>
    <mergeCell ref="B84:I84"/>
    <mergeCell ref="J84:K84"/>
    <mergeCell ref="M84:T84"/>
    <mergeCell ref="U84:W84"/>
    <mergeCell ref="Y84:AF84"/>
    <mergeCell ref="AG84:AH84"/>
    <mergeCell ref="AJ84:AQ84"/>
    <mergeCell ref="AR84:AT84"/>
    <mergeCell ref="B86:W86"/>
    <mergeCell ref="Y86:AT86"/>
    <mergeCell ref="B88:W88"/>
    <mergeCell ref="Y88:AT88"/>
    <mergeCell ref="B89:W89"/>
    <mergeCell ref="Y89:AT89"/>
    <mergeCell ref="B90:W90"/>
    <mergeCell ref="Y90:AT90"/>
    <mergeCell ref="B91:W91"/>
    <mergeCell ref="Y91:AT91"/>
    <mergeCell ref="B92:W92"/>
    <mergeCell ref="Y92:AT92"/>
    <mergeCell ref="B93:W93"/>
    <mergeCell ref="Y93:AT93"/>
    <mergeCell ref="B94:W94"/>
    <mergeCell ref="Y94:AT94"/>
    <mergeCell ref="B95:W95"/>
    <mergeCell ref="Y95:AT95"/>
    <mergeCell ref="B96:W96"/>
    <mergeCell ref="Y96:AT96"/>
    <mergeCell ref="B97:W97"/>
    <mergeCell ref="Y97:AT97"/>
    <mergeCell ref="B99:W99"/>
    <mergeCell ref="Y99:AT99"/>
    <mergeCell ref="B100:W100"/>
    <mergeCell ref="Y100:AT100"/>
    <mergeCell ref="B101:W101"/>
    <mergeCell ref="Y101:AT101"/>
    <mergeCell ref="B102:W102"/>
    <mergeCell ref="Y102:AT102"/>
    <mergeCell ref="B103:W103"/>
    <mergeCell ref="Y103:AT103"/>
    <mergeCell ref="B104:W104"/>
    <mergeCell ref="Y104:AT104"/>
    <mergeCell ref="B105:W105"/>
    <mergeCell ref="Y105:AT105"/>
    <mergeCell ref="B106:W106"/>
    <mergeCell ref="Y106:AT106"/>
    <mergeCell ref="B107:W107"/>
    <mergeCell ref="Y107:AT107"/>
    <mergeCell ref="B108:W108"/>
    <mergeCell ref="Y108:AT108"/>
    <mergeCell ref="A110:AU110"/>
    <mergeCell ref="B112:W112"/>
    <mergeCell ref="Y112:AF112"/>
    <mergeCell ref="AH112:AT112"/>
    <mergeCell ref="C113:H113"/>
    <mergeCell ref="I113:U113"/>
    <mergeCell ref="V113:W113"/>
    <mergeCell ref="Y113:Z113"/>
    <mergeCell ref="AA113:AF113"/>
    <mergeCell ref="AH113:AI113"/>
    <mergeCell ref="AJ113:AT113"/>
    <mergeCell ref="C114:H114"/>
    <mergeCell ref="I114:U114"/>
    <mergeCell ref="V114:W114"/>
    <mergeCell ref="Y114:Z114"/>
    <mergeCell ref="AA114:AF114"/>
    <mergeCell ref="AH114:AI114"/>
    <mergeCell ref="AJ114:AT114"/>
    <mergeCell ref="C115:H115"/>
    <mergeCell ref="I115:U115"/>
    <mergeCell ref="V115:W115"/>
    <mergeCell ref="Y115:Z115"/>
    <mergeCell ref="AA115:AF115"/>
    <mergeCell ref="AH115:AI115"/>
    <mergeCell ref="AJ115:AT115"/>
    <mergeCell ref="C116:H116"/>
    <mergeCell ref="I116:U116"/>
    <mergeCell ref="V116:W116"/>
    <mergeCell ref="Y116:Z116"/>
    <mergeCell ref="AA116:AF116"/>
    <mergeCell ref="AH116:AI116"/>
    <mergeCell ref="AJ116:AT116"/>
    <mergeCell ref="C117:H117"/>
    <mergeCell ref="I117:U117"/>
    <mergeCell ref="V117:W117"/>
    <mergeCell ref="Y117:Z117"/>
    <mergeCell ref="AA117:AF117"/>
    <mergeCell ref="AH117:AI117"/>
    <mergeCell ref="AJ117:AT117"/>
    <mergeCell ref="C118:H118"/>
    <mergeCell ref="I118:U118"/>
    <mergeCell ref="V118:W118"/>
    <mergeCell ref="Y118:Z118"/>
    <mergeCell ref="AA118:AF118"/>
    <mergeCell ref="AH118:AI118"/>
    <mergeCell ref="AJ118:AT118"/>
    <mergeCell ref="C119:H119"/>
    <mergeCell ref="I119:U119"/>
    <mergeCell ref="V119:W119"/>
    <mergeCell ref="C120:H120"/>
    <mergeCell ref="I120:U120"/>
    <mergeCell ref="V120:W120"/>
    <mergeCell ref="Y120:AT120"/>
    <mergeCell ref="C121:H121"/>
    <mergeCell ref="I121:U121"/>
    <mergeCell ref="V121:W121"/>
    <mergeCell ref="Z121:AE121"/>
    <mergeCell ref="AF121:AR121"/>
    <mergeCell ref="AS121:AT121"/>
    <mergeCell ref="C122:H122"/>
    <mergeCell ref="I122:U122"/>
    <mergeCell ref="V122:W122"/>
    <mergeCell ref="Z122:AE122"/>
    <mergeCell ref="AF122:AR122"/>
    <mergeCell ref="AS122:AT122"/>
    <mergeCell ref="C123:H123"/>
    <mergeCell ref="I123:U123"/>
    <mergeCell ref="V123:W123"/>
    <mergeCell ref="Z123:AE123"/>
    <mergeCell ref="AF123:AR123"/>
    <mergeCell ref="AS123:AT123"/>
    <mergeCell ref="C124:H124"/>
    <mergeCell ref="I124:U124"/>
    <mergeCell ref="V124:W124"/>
    <mergeCell ref="Z124:AE124"/>
    <mergeCell ref="AF124:AR124"/>
    <mergeCell ref="AS124:AT124"/>
    <mergeCell ref="C125:H125"/>
    <mergeCell ref="I125:U125"/>
    <mergeCell ref="V125:W125"/>
    <mergeCell ref="Z125:AE125"/>
    <mergeCell ref="AF125:AR125"/>
    <mergeCell ref="AS125:AT125"/>
    <mergeCell ref="C126:H126"/>
    <mergeCell ref="I126:U126"/>
    <mergeCell ref="V126:W126"/>
    <mergeCell ref="Z126:AE126"/>
    <mergeCell ref="AF126:AR126"/>
    <mergeCell ref="AS126:AT126"/>
    <mergeCell ref="C127:H127"/>
    <mergeCell ref="I127:U127"/>
    <mergeCell ref="V127:W127"/>
    <mergeCell ref="Z127:AE127"/>
    <mergeCell ref="AF127:AR127"/>
    <mergeCell ref="AS127:AT127"/>
    <mergeCell ref="C128:H128"/>
    <mergeCell ref="I128:U128"/>
    <mergeCell ref="V128:W128"/>
    <mergeCell ref="Z128:AE128"/>
    <mergeCell ref="AF128:AR128"/>
    <mergeCell ref="AS128:AT128"/>
    <mergeCell ref="C129:H129"/>
    <mergeCell ref="I129:U129"/>
    <mergeCell ref="V129:W129"/>
    <mergeCell ref="Z129:AE129"/>
    <mergeCell ref="AF129:AR129"/>
    <mergeCell ref="AS129:AT129"/>
    <mergeCell ref="C130:H130"/>
    <mergeCell ref="I130:U130"/>
    <mergeCell ref="V130:W130"/>
    <mergeCell ref="Z130:AE130"/>
    <mergeCell ref="AF130:AR130"/>
    <mergeCell ref="AS130:AT130"/>
    <mergeCell ref="C131:H131"/>
    <mergeCell ref="I131:U131"/>
    <mergeCell ref="V131:W131"/>
    <mergeCell ref="Z131:AE131"/>
    <mergeCell ref="AF131:AR131"/>
    <mergeCell ref="AS131:AT131"/>
    <mergeCell ref="C132:H132"/>
    <mergeCell ref="I132:U132"/>
    <mergeCell ref="V132:W132"/>
    <mergeCell ref="Z132:AE132"/>
    <mergeCell ref="AF132:AR132"/>
    <mergeCell ref="AS132:AT132"/>
    <mergeCell ref="C133:H133"/>
    <mergeCell ref="I133:U133"/>
    <mergeCell ref="V133:W133"/>
    <mergeCell ref="Z133:AE133"/>
    <mergeCell ref="AF133:AR133"/>
    <mergeCell ref="AS133:AT133"/>
    <mergeCell ref="C134:H134"/>
    <mergeCell ref="I134:U134"/>
    <mergeCell ref="V134:W134"/>
    <mergeCell ref="Z134:AE134"/>
    <mergeCell ref="AF134:AR134"/>
    <mergeCell ref="AS134:AT134"/>
    <mergeCell ref="C135:H135"/>
    <mergeCell ref="I135:U135"/>
    <mergeCell ref="V135:W135"/>
    <mergeCell ref="Z135:AE135"/>
    <mergeCell ref="AF135:AR135"/>
    <mergeCell ref="AS135:AT135"/>
    <mergeCell ref="C136:H136"/>
    <mergeCell ref="I136:U136"/>
    <mergeCell ref="V136:W136"/>
    <mergeCell ref="Z136:AE136"/>
    <mergeCell ref="AF136:AR136"/>
    <mergeCell ref="AS136:AT136"/>
    <mergeCell ref="C137:H137"/>
    <mergeCell ref="I137:U137"/>
    <mergeCell ref="V137:W137"/>
    <mergeCell ref="Z137:AE137"/>
    <mergeCell ref="AF137:AR137"/>
    <mergeCell ref="AS137:AT137"/>
    <mergeCell ref="C138:H138"/>
    <mergeCell ref="I138:U138"/>
    <mergeCell ref="V138:W138"/>
    <mergeCell ref="Z138:AE138"/>
    <mergeCell ref="AF138:AR138"/>
    <mergeCell ref="AS138:AT138"/>
    <mergeCell ref="C139:H139"/>
    <mergeCell ref="I139:U139"/>
    <mergeCell ref="V139:W139"/>
    <mergeCell ref="Z139:AE139"/>
    <mergeCell ref="AF139:AR139"/>
    <mergeCell ref="AS139:AT139"/>
    <mergeCell ref="C140:H140"/>
    <mergeCell ref="I140:U140"/>
    <mergeCell ref="V140:W140"/>
    <mergeCell ref="Z140:AE140"/>
    <mergeCell ref="AF140:AR140"/>
    <mergeCell ref="AS140:AT140"/>
    <mergeCell ref="C141:H141"/>
    <mergeCell ref="I141:U141"/>
    <mergeCell ref="V141:W141"/>
    <mergeCell ref="Z141:AE141"/>
    <mergeCell ref="AF141:AR141"/>
    <mergeCell ref="AS141:AT141"/>
    <mergeCell ref="C142:H142"/>
    <mergeCell ref="I142:U142"/>
    <mergeCell ref="V142:W142"/>
    <mergeCell ref="Z142:AE142"/>
    <mergeCell ref="AF142:AR142"/>
    <mergeCell ref="AS142:AT142"/>
    <mergeCell ref="C143:H143"/>
    <mergeCell ref="I143:U143"/>
    <mergeCell ref="V143:W143"/>
    <mergeCell ref="Z143:AE143"/>
    <mergeCell ref="AF143:AR143"/>
    <mergeCell ref="AS143:AT143"/>
    <mergeCell ref="C144:H144"/>
    <mergeCell ref="I144:U144"/>
    <mergeCell ref="V144:W144"/>
    <mergeCell ref="Z144:AE144"/>
    <mergeCell ref="AF144:AR144"/>
    <mergeCell ref="AS144:AT144"/>
    <mergeCell ref="C145:H145"/>
    <mergeCell ref="I145:U145"/>
    <mergeCell ref="V145:W145"/>
    <mergeCell ref="Z145:AE145"/>
    <mergeCell ref="AF145:AR145"/>
    <mergeCell ref="AS145:AT145"/>
    <mergeCell ref="C146:H146"/>
    <mergeCell ref="I146:U146"/>
    <mergeCell ref="V146:W146"/>
    <mergeCell ref="Z146:AE146"/>
    <mergeCell ref="AF146:AR146"/>
    <mergeCell ref="AS146:AT146"/>
    <mergeCell ref="C147:H147"/>
    <mergeCell ref="I147:U147"/>
    <mergeCell ref="V147:W147"/>
    <mergeCell ref="Z147:AE147"/>
    <mergeCell ref="AF147:AR147"/>
    <mergeCell ref="AS147:AT147"/>
    <mergeCell ref="C148:H148"/>
    <mergeCell ref="I148:U148"/>
    <mergeCell ref="V148:W148"/>
    <mergeCell ref="Z148:AE148"/>
    <mergeCell ref="AF148:AR148"/>
    <mergeCell ref="AS148:AT148"/>
    <mergeCell ref="C149:H149"/>
    <mergeCell ref="I149:U149"/>
    <mergeCell ref="V149:W149"/>
    <mergeCell ref="Z149:AE149"/>
    <mergeCell ref="AF149:AR149"/>
    <mergeCell ref="AS149:AT149"/>
    <mergeCell ref="C150:H150"/>
    <mergeCell ref="I150:U150"/>
    <mergeCell ref="V150:W150"/>
    <mergeCell ref="Z150:AE150"/>
    <mergeCell ref="AF150:AR150"/>
    <mergeCell ref="AS150:AT150"/>
    <mergeCell ref="C151:H151"/>
    <mergeCell ref="I151:U151"/>
    <mergeCell ref="V151:W151"/>
    <mergeCell ref="Z151:AE151"/>
    <mergeCell ref="AF151:AR151"/>
    <mergeCell ref="AS151:AT151"/>
    <mergeCell ref="C152:H152"/>
    <mergeCell ref="I152:U152"/>
    <mergeCell ref="V152:W152"/>
    <mergeCell ref="Z152:AE152"/>
    <mergeCell ref="AF152:AR152"/>
    <mergeCell ref="AS152:AT152"/>
    <mergeCell ref="C153:H153"/>
    <mergeCell ref="I153:U153"/>
    <mergeCell ref="V153:W153"/>
    <mergeCell ref="Z153:AE153"/>
    <mergeCell ref="AF153:AR153"/>
    <mergeCell ref="AS153:AT153"/>
    <mergeCell ref="C154:H154"/>
    <mergeCell ref="I154:U154"/>
    <mergeCell ref="V154:W154"/>
    <mergeCell ref="Z154:AE154"/>
    <mergeCell ref="AF154:AR154"/>
    <mergeCell ref="AS154:AT154"/>
    <mergeCell ref="C155:H155"/>
    <mergeCell ref="I155:U155"/>
    <mergeCell ref="V155:W155"/>
    <mergeCell ref="Z155:AE155"/>
    <mergeCell ref="AF155:AR155"/>
    <mergeCell ref="AS155:AT155"/>
    <mergeCell ref="C156:H156"/>
    <mergeCell ref="I156:U156"/>
    <mergeCell ref="V156:W156"/>
    <mergeCell ref="Z156:AE156"/>
    <mergeCell ref="AF156:AR156"/>
    <mergeCell ref="AS156:AT156"/>
    <mergeCell ref="C157:H157"/>
    <mergeCell ref="I157:U157"/>
    <mergeCell ref="V157:W157"/>
    <mergeCell ref="Z157:AE157"/>
    <mergeCell ref="AF157:AR157"/>
    <mergeCell ref="AS157:AT157"/>
    <mergeCell ref="C158:H158"/>
    <mergeCell ref="I158:U158"/>
    <mergeCell ref="V158:W158"/>
    <mergeCell ref="Z158:AE158"/>
    <mergeCell ref="AF158:AR158"/>
    <mergeCell ref="AS158:AT158"/>
    <mergeCell ref="C159:H159"/>
    <mergeCell ref="I159:U159"/>
    <mergeCell ref="V159:W159"/>
    <mergeCell ref="Z159:AE159"/>
    <mergeCell ref="AF159:AR159"/>
    <mergeCell ref="AS159:AT159"/>
    <mergeCell ref="C160:H160"/>
    <mergeCell ref="I160:U160"/>
    <mergeCell ref="V160:W160"/>
    <mergeCell ref="Z160:AE160"/>
    <mergeCell ref="AF160:AR160"/>
    <mergeCell ref="AS160:AT160"/>
    <mergeCell ref="C161:H161"/>
    <mergeCell ref="I161:U161"/>
    <mergeCell ref="V161:W161"/>
    <mergeCell ref="Z161:AE161"/>
    <mergeCell ref="AF161:AR161"/>
    <mergeCell ref="AS161:AT161"/>
    <mergeCell ref="C162:H162"/>
    <mergeCell ref="I162:U162"/>
    <mergeCell ref="V162:W162"/>
    <mergeCell ref="Z162:AE162"/>
    <mergeCell ref="AF162:AR162"/>
    <mergeCell ref="AS162:AT162"/>
    <mergeCell ref="C163:H163"/>
    <mergeCell ref="I163:U163"/>
    <mergeCell ref="V163:W163"/>
    <mergeCell ref="Z163:AE163"/>
    <mergeCell ref="AF163:AR163"/>
    <mergeCell ref="AS163:AT163"/>
    <mergeCell ref="C164:H164"/>
    <mergeCell ref="I164:U164"/>
    <mergeCell ref="V164:W164"/>
    <mergeCell ref="Z164:AE164"/>
    <mergeCell ref="AF164:AR164"/>
    <mergeCell ref="AS164:AT164"/>
    <mergeCell ref="C165:H165"/>
    <mergeCell ref="I165:U165"/>
    <mergeCell ref="V165:W165"/>
    <mergeCell ref="Z165:AE165"/>
    <mergeCell ref="AF165:AR165"/>
    <mergeCell ref="AS165:AT165"/>
    <mergeCell ref="C166:H166"/>
    <mergeCell ref="I166:U166"/>
    <mergeCell ref="V166:W166"/>
    <mergeCell ref="Z166:AE166"/>
    <mergeCell ref="AF166:AR166"/>
    <mergeCell ref="AS166:AT166"/>
    <mergeCell ref="C167:H167"/>
    <mergeCell ref="I167:U167"/>
    <mergeCell ref="V167:W167"/>
    <mergeCell ref="Z167:AE167"/>
    <mergeCell ref="AF167:AR167"/>
    <mergeCell ref="AS167:AT167"/>
    <mergeCell ref="C168:H168"/>
    <mergeCell ref="I168:U168"/>
    <mergeCell ref="V168:W168"/>
    <mergeCell ref="Z168:AE168"/>
    <mergeCell ref="AF168:AR168"/>
    <mergeCell ref="AS168:AT168"/>
    <mergeCell ref="C169:H169"/>
    <mergeCell ref="I169:U169"/>
    <mergeCell ref="V169:W169"/>
    <mergeCell ref="Z169:AE169"/>
    <mergeCell ref="AF169:AR169"/>
    <mergeCell ref="AS169:AT169"/>
    <mergeCell ref="C170:H170"/>
    <mergeCell ref="I170:U170"/>
    <mergeCell ref="V170:W170"/>
    <mergeCell ref="Z170:AE170"/>
    <mergeCell ref="AF170:AR170"/>
    <mergeCell ref="AS170:AT170"/>
    <mergeCell ref="C171:H171"/>
    <mergeCell ref="I171:U171"/>
    <mergeCell ref="V171:W171"/>
    <mergeCell ref="Z171:AE171"/>
    <mergeCell ref="AF171:AR171"/>
    <mergeCell ref="AS171:AT171"/>
    <mergeCell ref="C172:H172"/>
    <mergeCell ref="I172:U172"/>
    <mergeCell ref="V172:W172"/>
    <mergeCell ref="C173:H173"/>
    <mergeCell ref="I173:U173"/>
    <mergeCell ref="V173:W173"/>
    <mergeCell ref="Y173:AT173"/>
    <mergeCell ref="C174:H174"/>
    <mergeCell ref="I174:U174"/>
    <mergeCell ref="V174:W174"/>
    <mergeCell ref="Z174:AE174"/>
    <mergeCell ref="AF174:AR174"/>
    <mergeCell ref="AS174:AT174"/>
    <mergeCell ref="C175:H175"/>
    <mergeCell ref="I175:U175"/>
    <mergeCell ref="V175:W175"/>
    <mergeCell ref="Z175:AE175"/>
    <mergeCell ref="AF175:AR175"/>
    <mergeCell ref="AS175:AT175"/>
    <mergeCell ref="C176:H176"/>
    <mergeCell ref="I176:U176"/>
    <mergeCell ref="V176:W176"/>
    <mergeCell ref="Z176:AE176"/>
    <mergeCell ref="AF176:AR176"/>
    <mergeCell ref="AS176:AT176"/>
    <mergeCell ref="C177:H177"/>
    <mergeCell ref="I177:U177"/>
    <mergeCell ref="V177:W177"/>
    <mergeCell ref="Z177:AE177"/>
    <mergeCell ref="AF177:AR177"/>
    <mergeCell ref="AS177:AT177"/>
    <mergeCell ref="C178:H178"/>
    <mergeCell ref="I178:U178"/>
    <mergeCell ref="V178:W178"/>
    <mergeCell ref="Z178:AE178"/>
    <mergeCell ref="AF178:AR178"/>
    <mergeCell ref="AS178:AT178"/>
    <mergeCell ref="C179:H179"/>
    <mergeCell ref="I179:U179"/>
    <mergeCell ref="V179:W179"/>
    <mergeCell ref="Z179:AE179"/>
    <mergeCell ref="AF179:AR179"/>
    <mergeCell ref="AS179:AT179"/>
    <mergeCell ref="C180:H180"/>
    <mergeCell ref="I180:U180"/>
    <mergeCell ref="V180:W180"/>
    <mergeCell ref="Z180:AE180"/>
    <mergeCell ref="AF180:AR180"/>
    <mergeCell ref="AS180:AT180"/>
    <mergeCell ref="C181:H181"/>
    <mergeCell ref="I181:U181"/>
    <mergeCell ref="V181:W181"/>
    <mergeCell ref="Z181:AE181"/>
    <mergeCell ref="AF181:AR181"/>
    <mergeCell ref="AS181:AT181"/>
    <mergeCell ref="C182:H182"/>
    <mergeCell ref="I182:U182"/>
    <mergeCell ref="V182:W182"/>
    <mergeCell ref="Z182:AE182"/>
    <mergeCell ref="AF182:AR182"/>
    <mergeCell ref="AS182:AT182"/>
    <mergeCell ref="C183:H183"/>
    <mergeCell ref="I183:U183"/>
    <mergeCell ref="V183:W183"/>
    <mergeCell ref="Z183:AE183"/>
    <mergeCell ref="AF183:AR183"/>
    <mergeCell ref="AS183:AT183"/>
    <mergeCell ref="C184:H184"/>
    <mergeCell ref="I184:U184"/>
    <mergeCell ref="V184:W184"/>
    <mergeCell ref="Z184:AE184"/>
    <mergeCell ref="AF184:AR184"/>
    <mergeCell ref="AS184:AT184"/>
    <mergeCell ref="C185:H185"/>
    <mergeCell ref="I185:U185"/>
    <mergeCell ref="V185:W185"/>
    <mergeCell ref="Z185:AE185"/>
    <mergeCell ref="AF185:AR185"/>
    <mergeCell ref="AS185:AT185"/>
    <mergeCell ref="C186:H186"/>
    <mergeCell ref="I186:U186"/>
    <mergeCell ref="V186:W186"/>
    <mergeCell ref="Z186:AE186"/>
    <mergeCell ref="AF186:AR186"/>
    <mergeCell ref="AS186:AT186"/>
    <mergeCell ref="C187:H187"/>
    <mergeCell ref="I187:U187"/>
    <mergeCell ref="V187:W187"/>
    <mergeCell ref="Z187:AE187"/>
    <mergeCell ref="AF187:AR187"/>
    <mergeCell ref="AS187:AT187"/>
    <mergeCell ref="C188:H188"/>
    <mergeCell ref="I188:U188"/>
    <mergeCell ref="V188:W188"/>
    <mergeCell ref="Z188:AE188"/>
    <mergeCell ref="AF188:AR188"/>
    <mergeCell ref="AS188:AT188"/>
    <mergeCell ref="C189:H189"/>
    <mergeCell ref="I189:U189"/>
    <mergeCell ref="V189:W189"/>
    <mergeCell ref="Z189:AE189"/>
    <mergeCell ref="AF189:AR189"/>
    <mergeCell ref="AS189:AT189"/>
    <mergeCell ref="C190:H190"/>
    <mergeCell ref="I190:U190"/>
    <mergeCell ref="V190:W190"/>
    <mergeCell ref="Z190:AE190"/>
    <mergeCell ref="AF190:AR190"/>
    <mergeCell ref="AS190:AT190"/>
    <mergeCell ref="C191:H191"/>
    <mergeCell ref="I191:U191"/>
    <mergeCell ref="V191:W191"/>
    <mergeCell ref="Z191:AE191"/>
    <mergeCell ref="AF191:AR191"/>
    <mergeCell ref="AS191:AT191"/>
    <mergeCell ref="C192:H192"/>
    <mergeCell ref="I192:U192"/>
    <mergeCell ref="V192:W192"/>
    <mergeCell ref="Z192:AE192"/>
    <mergeCell ref="AF192:AR192"/>
    <mergeCell ref="AS192:AT192"/>
    <mergeCell ref="C193:H193"/>
    <mergeCell ref="I193:U193"/>
    <mergeCell ref="V193:W193"/>
    <mergeCell ref="Z193:AE193"/>
    <mergeCell ref="AF193:AR193"/>
    <mergeCell ref="AS193:AT193"/>
    <mergeCell ref="C194:H194"/>
    <mergeCell ref="I194:U194"/>
    <mergeCell ref="V194:W194"/>
    <mergeCell ref="Z194:AE194"/>
    <mergeCell ref="AF194:AR194"/>
    <mergeCell ref="AS194:AT194"/>
    <mergeCell ref="C195:H195"/>
    <mergeCell ref="I195:U195"/>
    <mergeCell ref="V195:W195"/>
    <mergeCell ref="Z195:AE195"/>
    <mergeCell ref="AF195:AR195"/>
    <mergeCell ref="AS195:AT195"/>
    <mergeCell ref="C196:H196"/>
    <mergeCell ref="I196:U196"/>
    <mergeCell ref="V196:W196"/>
    <mergeCell ref="Z196:AE196"/>
    <mergeCell ref="AF196:AR196"/>
    <mergeCell ref="AS196:AT196"/>
    <mergeCell ref="C197:H197"/>
    <mergeCell ref="I197:U197"/>
    <mergeCell ref="V197:W197"/>
    <mergeCell ref="Z197:AE197"/>
    <mergeCell ref="AF197:AR197"/>
    <mergeCell ref="AS197:AT197"/>
    <mergeCell ref="C198:H198"/>
    <mergeCell ref="I198:U198"/>
    <mergeCell ref="V198:W198"/>
    <mergeCell ref="Z198:AE198"/>
    <mergeCell ref="AF198:AR198"/>
    <mergeCell ref="AS198:AT198"/>
    <mergeCell ref="C199:H199"/>
    <mergeCell ref="I199:U199"/>
    <mergeCell ref="V199:W199"/>
    <mergeCell ref="Z199:AE199"/>
    <mergeCell ref="AF199:AR199"/>
    <mergeCell ref="AS199:AT199"/>
    <mergeCell ref="C200:H200"/>
    <mergeCell ref="I200:U200"/>
    <mergeCell ref="V200:W200"/>
    <mergeCell ref="Z200:AE200"/>
    <mergeCell ref="AF200:AR200"/>
    <mergeCell ref="AS200:AT200"/>
    <mergeCell ref="C201:H201"/>
    <mergeCell ref="I201:U201"/>
    <mergeCell ref="V201:W201"/>
    <mergeCell ref="Z201:AE201"/>
    <mergeCell ref="AF201:AR201"/>
    <mergeCell ref="AS201:AT201"/>
    <mergeCell ref="C202:H202"/>
    <mergeCell ref="I202:U202"/>
    <mergeCell ref="V202:W202"/>
    <mergeCell ref="Z202:AE202"/>
    <mergeCell ref="AF202:AR202"/>
    <mergeCell ref="AS202:AT202"/>
    <mergeCell ref="C203:H203"/>
    <mergeCell ref="I203:U203"/>
    <mergeCell ref="V203:W203"/>
    <mergeCell ref="Z203:AE203"/>
    <mergeCell ref="AF203:AR203"/>
    <mergeCell ref="AS203:AT203"/>
    <mergeCell ref="C204:H204"/>
    <mergeCell ref="I204:U204"/>
    <mergeCell ref="V204:W204"/>
    <mergeCell ref="Z204:AE204"/>
    <mergeCell ref="AF204:AR204"/>
    <mergeCell ref="AS204:AT204"/>
    <mergeCell ref="C205:H205"/>
    <mergeCell ref="I205:U205"/>
    <mergeCell ref="V205:W205"/>
    <mergeCell ref="Z205:AE205"/>
    <mergeCell ref="AF205:AR205"/>
    <mergeCell ref="AS205:AT205"/>
    <mergeCell ref="C206:H206"/>
    <mergeCell ref="I206:U206"/>
    <mergeCell ref="V206:W206"/>
    <mergeCell ref="Z206:AE206"/>
    <mergeCell ref="AF206:AR206"/>
    <mergeCell ref="AS206:AT206"/>
    <mergeCell ref="C207:H207"/>
    <mergeCell ref="I207:U207"/>
    <mergeCell ref="V207:W207"/>
    <mergeCell ref="Z207:AE207"/>
    <mergeCell ref="AF207:AR207"/>
    <mergeCell ref="AS207:AT207"/>
    <mergeCell ref="C208:H208"/>
    <mergeCell ref="I208:U208"/>
    <mergeCell ref="V208:W208"/>
    <mergeCell ref="Z208:AE208"/>
    <mergeCell ref="AF208:AR208"/>
    <mergeCell ref="AS208:AT208"/>
    <mergeCell ref="C209:H209"/>
    <mergeCell ref="I209:U209"/>
    <mergeCell ref="V209:W209"/>
    <mergeCell ref="Z209:AE209"/>
    <mergeCell ref="AF209:AR209"/>
    <mergeCell ref="AS209:AT209"/>
    <mergeCell ref="C210:H210"/>
    <mergeCell ref="I210:U210"/>
    <mergeCell ref="V210:W210"/>
    <mergeCell ref="Z210:AE210"/>
    <mergeCell ref="AF210:AR210"/>
    <mergeCell ref="AS210:AT210"/>
    <mergeCell ref="C211:H211"/>
    <mergeCell ref="I211:U211"/>
    <mergeCell ref="V211:W211"/>
    <mergeCell ref="Z211:AE211"/>
    <mergeCell ref="AF211:AR211"/>
    <mergeCell ref="AS211:AT211"/>
    <mergeCell ref="C212:H212"/>
    <mergeCell ref="I212:U212"/>
    <mergeCell ref="V212:W212"/>
    <mergeCell ref="Z212:AE212"/>
    <mergeCell ref="AF212:AR212"/>
    <mergeCell ref="AS212:AT212"/>
    <mergeCell ref="C213:H213"/>
    <mergeCell ref="I213:U213"/>
    <mergeCell ref="V213:W213"/>
    <mergeCell ref="Z213:AE213"/>
    <mergeCell ref="AF213:AR213"/>
    <mergeCell ref="AS213:AT213"/>
  </mergeCells>
  <dataValidations count="1">
    <dataValidation type="list" allowBlank="1" showInputMessage="1" showErrorMessage="1" sqref="V27:W27 AS27:AT27">
      <formula1>"无效,有效"</formula1>
    </dataValidation>
  </dataValidations>
  <pageMargins left="0.75" right="0.75" top="1" bottom="1" header="0.511805555555556" footer="0.511805555555556"/>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1240</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IFERROR(VLOOKUP(法术书目录!$O$1,法术书目录!$A:$C,2,FALSE),"空白标签")</f>
        <v/>
      </c>
      <c r="X5" s="169" t="s">
        <v>1241</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1242</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IF(法术书目录!C1&lt;&gt;"QuQ",AC8,"")</f>
        <v/>
      </c>
      <c r="U8" s="182" t="str">
        <f>IFERROR(VLOOKUP((VLOOKUP(W8,列表!$B:$T,13,FALSE)),法术书目录!$Q$1:$R$10,2,FALSE),"")</f>
        <v/>
      </c>
      <c r="V8" s="183" t="str">
        <f>法术书目录!D1</f>
        <v/>
      </c>
      <c r="W8" s="184"/>
      <c r="X8" s="185" t="str">
        <f>IF(法术书目录!C46&lt;&gt;"QuQ",AD8,"")</f>
        <v/>
      </c>
      <c r="Y8" s="186" t="str">
        <f>IFERROR(VLOOKUP((VLOOKUP(AA8,列表!$B:$T,13,FALSE)),法术书目录!$Q$1:$R$10,2,FALSE),"")</f>
        <v/>
      </c>
      <c r="Z8" s="187" t="str">
        <f>法术书目录!D46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IF(法术书目录!C2&lt;&gt;"QuQ",AC9,"")</f>
        <v/>
      </c>
      <c r="U9" s="182" t="str">
        <f>IFERROR(VLOOKUP((VLOOKUP(W9,列表!$B:$T,13,FALSE)),法术书目录!$Q$1:$R$10,2,FALSE),"")</f>
        <v/>
      </c>
      <c r="V9" s="183" t="str">
        <f>法术书目录!D2</f>
        <v/>
      </c>
      <c r="W9" s="184"/>
      <c r="X9" s="185" t="str">
        <f>IF(法术书目录!C47&lt;&gt;"QuQ",AD9,"")</f>
        <v/>
      </c>
      <c r="Y9" s="186" t="str">
        <f>IFERROR(VLOOKUP((VLOOKUP(AA9,列表!$B:$T,13,FALSE)),法术书目录!$Q$1:$R$10,2,FALSE),"")</f>
        <v/>
      </c>
      <c r="Z9" s="187" t="str">
        <f>法术书目录!D47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IF(法术书目录!C3&lt;&gt;"QuQ",AC10,"")</f>
        <v/>
      </c>
      <c r="U10" s="182" t="str">
        <f>IFERROR(VLOOKUP((VLOOKUP(W10,列表!$B:$T,13,FALSE)),法术书目录!$Q$1:$R$10,2,FALSE),"")</f>
        <v/>
      </c>
      <c r="V10" s="183" t="str">
        <f>法术书目录!D3</f>
        <v/>
      </c>
      <c r="W10" s="184"/>
      <c r="X10" s="185" t="str">
        <f>IF(法术书目录!C48&lt;&gt;"QuQ",AD10,"")</f>
        <v/>
      </c>
      <c r="Y10" s="186" t="str">
        <f>IFERROR(VLOOKUP((VLOOKUP(AA10,列表!$B:$T,13,FALSE)),法术书目录!$Q$1:$R$10,2,FALSE),"")</f>
        <v/>
      </c>
      <c r="Z10" s="187" t="str">
        <f>法术书目录!D48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IF(法术书目录!C4&lt;&gt;"QuQ",AC11,"")</f>
        <v/>
      </c>
      <c r="U11" s="182" t="str">
        <f>IFERROR(VLOOKUP((VLOOKUP(W11,列表!$B:$T,13,FALSE)),法术书目录!$Q$1:$R$10,2,FALSE),"")</f>
        <v/>
      </c>
      <c r="V11" s="183" t="str">
        <f>法术书目录!D4</f>
        <v/>
      </c>
      <c r="W11" s="184"/>
      <c r="X11" s="185" t="str">
        <f>IF(法术书目录!C49&lt;&gt;"QuQ",AD11,"")</f>
        <v/>
      </c>
      <c r="Y11" s="186" t="str">
        <f>IFERROR(VLOOKUP((VLOOKUP(AA11,列表!$B:$T,13,FALSE)),法术书目录!$Q$1:$R$10,2,FALSE),"")</f>
        <v/>
      </c>
      <c r="Z11" s="187" t="str">
        <f>法术书目录!D49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IF(法术书目录!C5&lt;&gt;"QuQ",AC12,"")</f>
        <v/>
      </c>
      <c r="U12" s="182" t="str">
        <f>IFERROR(VLOOKUP((VLOOKUP(W12,列表!$B:$T,13,FALSE)),法术书目录!$Q$1:$R$10,2,FALSE),"")</f>
        <v/>
      </c>
      <c r="V12" s="183" t="str">
        <f>法术书目录!D5</f>
        <v/>
      </c>
      <c r="W12" s="184"/>
      <c r="X12" s="185" t="str">
        <f>IF(法术书目录!C50&lt;&gt;"QuQ",AD12,"")</f>
        <v/>
      </c>
      <c r="Y12" s="186" t="str">
        <f>IFERROR(VLOOKUP((VLOOKUP(AA12,列表!$B:$T,13,FALSE)),法术书目录!$Q$1:$R$10,2,FALSE),"")</f>
        <v/>
      </c>
      <c r="Z12" s="187" t="str">
        <f>法术书目录!D50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IF(法术书目录!C6&lt;&gt;"QuQ",AC13,"")</f>
        <v/>
      </c>
      <c r="U13" s="182" t="str">
        <f>IFERROR(VLOOKUP((VLOOKUP(W13,列表!$B:$T,13,FALSE)),法术书目录!$Q$1:$R$10,2,FALSE),"")</f>
        <v/>
      </c>
      <c r="V13" s="183" t="str">
        <f>法术书目录!D6</f>
        <v/>
      </c>
      <c r="W13" s="184"/>
      <c r="X13" s="185" t="str">
        <f>IF(法术书目录!C51&lt;&gt;"QuQ",AD13,"")</f>
        <v/>
      </c>
      <c r="Y13" s="186" t="str">
        <f>IFERROR(VLOOKUP((VLOOKUP(AA13,列表!$B:$T,13,FALSE)),法术书目录!$Q$1:$R$10,2,FALSE),"")</f>
        <v/>
      </c>
      <c r="Z13" s="187" t="str">
        <f>法术书目录!D51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IF(法术书目录!C7&lt;&gt;"QuQ",AC14,"")</f>
        <v/>
      </c>
      <c r="U14" s="182" t="str">
        <f>IFERROR(VLOOKUP((VLOOKUP(W14,列表!$B:$T,13,FALSE)),法术书目录!$Q$1:$R$10,2,FALSE),"")</f>
        <v/>
      </c>
      <c r="V14" s="183" t="str">
        <f>法术书目录!D7</f>
        <v/>
      </c>
      <c r="W14" s="184"/>
      <c r="X14" s="185" t="str">
        <f>IF(法术书目录!C52&lt;&gt;"QuQ",AD14,"")</f>
        <v/>
      </c>
      <c r="Y14" s="186" t="str">
        <f>IFERROR(VLOOKUP((VLOOKUP(AA14,列表!$B:$T,13,FALSE)),法术书目录!$Q$1:$R$10,2,FALSE),"")</f>
        <v/>
      </c>
      <c r="Z14" s="187" t="str">
        <f>法术书目录!D52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IF(法术书目录!C8&lt;&gt;"QuQ",AC15,"")</f>
        <v/>
      </c>
      <c r="U15" s="182" t="str">
        <f>IFERROR(VLOOKUP((VLOOKUP(W15,列表!$B:$T,13,FALSE)),法术书目录!$Q$1:$R$10,2,FALSE),"")</f>
        <v/>
      </c>
      <c r="V15" s="183" t="str">
        <f>法术书目录!D8</f>
        <v/>
      </c>
      <c r="W15" s="184"/>
      <c r="X15" s="185" t="str">
        <f>IF(法术书目录!C53&lt;&gt;"QuQ",AD15,"")</f>
        <v/>
      </c>
      <c r="Y15" s="186" t="str">
        <f>IFERROR(VLOOKUP((VLOOKUP(AA15,列表!$B:$T,13,FALSE)),法术书目录!$Q$1:$R$10,2,FALSE),"")</f>
        <v/>
      </c>
      <c r="Z15" s="187" t="str">
        <f>法术书目录!D53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IF(法术书目录!C9&lt;&gt;"QuQ",AC16,"")</f>
        <v/>
      </c>
      <c r="U16" s="182" t="str">
        <f>IFERROR(VLOOKUP((VLOOKUP(W16,列表!$B:$T,13,FALSE)),法术书目录!$Q$1:$R$10,2,FALSE),"")</f>
        <v/>
      </c>
      <c r="V16" s="183" t="str">
        <f>法术书目录!D9</f>
        <v/>
      </c>
      <c r="W16" s="184"/>
      <c r="X16" s="185" t="str">
        <f>IF(法术书目录!C54&lt;&gt;"QuQ",AD16,"")</f>
        <v/>
      </c>
      <c r="Y16" s="186" t="str">
        <f>IFERROR(VLOOKUP((VLOOKUP(AA16,列表!$B:$T,13,FALSE)),法术书目录!$Q$1:$R$10,2,FALSE),"")</f>
        <v/>
      </c>
      <c r="Z16" s="187" t="str">
        <f>法术书目录!D54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IF(法术书目录!C10&lt;&gt;"QuQ",AC17,"")</f>
        <v/>
      </c>
      <c r="U17" s="182" t="str">
        <f>IFERROR(VLOOKUP((VLOOKUP(W17,列表!$B:$T,13,FALSE)),法术书目录!$Q$1:$R$10,2,FALSE),"")</f>
        <v/>
      </c>
      <c r="V17" s="183" t="str">
        <f>法术书目录!D10</f>
        <v/>
      </c>
      <c r="W17" s="184"/>
      <c r="X17" s="185" t="str">
        <f>IF(法术书目录!C55&lt;&gt;"QuQ",AD17,"")</f>
        <v/>
      </c>
      <c r="Y17" s="186" t="str">
        <f>IFERROR(VLOOKUP((VLOOKUP(AA17,列表!$B:$T,13,FALSE)),法术书目录!$Q$1:$R$10,2,FALSE),"")</f>
        <v/>
      </c>
      <c r="Z17" s="187" t="str">
        <f>法术书目录!D55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IF(法术书目录!C11&lt;&gt;"QuQ",AC18,"")</f>
        <v/>
      </c>
      <c r="U18" s="182" t="str">
        <f>IFERROR(VLOOKUP((VLOOKUP(W18,列表!$B:$T,13,FALSE)),法术书目录!$Q$1:$R$10,2,FALSE),"")</f>
        <v/>
      </c>
      <c r="V18" s="183" t="str">
        <f>法术书目录!D11</f>
        <v/>
      </c>
      <c r="W18" s="184"/>
      <c r="X18" s="185" t="str">
        <f>IF(法术书目录!C56&lt;&gt;"QuQ",AD18,"")</f>
        <v/>
      </c>
      <c r="Y18" s="186" t="str">
        <f>IFERROR(VLOOKUP((VLOOKUP(AA18,列表!$B:$T,13,FALSE)),法术书目录!$Q$1:$R$10,2,FALSE),"")</f>
        <v/>
      </c>
      <c r="Z18" s="187" t="str">
        <f>法术书目录!D56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IF(法术书目录!C12&lt;&gt;"QuQ",AC19,"")</f>
        <v/>
      </c>
      <c r="U19" s="182" t="str">
        <f>IFERROR(VLOOKUP((VLOOKUP(W19,列表!$B:$T,13,FALSE)),法术书目录!$Q$1:$R$10,2,FALSE),"")</f>
        <v/>
      </c>
      <c r="V19" s="183" t="str">
        <f>法术书目录!D12</f>
        <v/>
      </c>
      <c r="W19" s="184"/>
      <c r="X19" s="185" t="str">
        <f>IF(法术书目录!C57&lt;&gt;"QuQ",AD19,"")</f>
        <v/>
      </c>
      <c r="Y19" s="186" t="str">
        <f>IFERROR(VLOOKUP((VLOOKUP(AA19,列表!$B:$T,13,FALSE)),法术书目录!$Q$1:$R$10,2,FALSE),"")</f>
        <v/>
      </c>
      <c r="Z19" s="187" t="str">
        <f>法术书目录!D57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IF(法术书目录!C13&lt;&gt;"QuQ",AC20,"")</f>
        <v/>
      </c>
      <c r="U20" s="182" t="str">
        <f>IFERROR(VLOOKUP((VLOOKUP(W20,列表!$B:$T,13,FALSE)),法术书目录!$Q$1:$R$10,2,FALSE),"")</f>
        <v/>
      </c>
      <c r="V20" s="183" t="str">
        <f>法术书目录!D13</f>
        <v/>
      </c>
      <c r="W20" s="184"/>
      <c r="X20" s="185" t="str">
        <f>IF(法术书目录!C58&lt;&gt;"QuQ",AD20,"")</f>
        <v/>
      </c>
      <c r="Y20" s="186" t="str">
        <f>IFERROR(VLOOKUP((VLOOKUP(AA20,列表!$B:$T,13,FALSE)),法术书目录!$Q$1:$R$10,2,FALSE),"")</f>
        <v/>
      </c>
      <c r="Z20" s="187" t="str">
        <f>法术书目录!D58</f>
        <v/>
      </c>
      <c r="AA20" s="184"/>
      <c r="AC20" s="188">
        <v>13</v>
      </c>
      <c r="AD20" s="188">
        <v>58</v>
      </c>
    </row>
    <row r="21" ht="17.5" customHeight="1" spans="2:30">
      <c r="B21" s="159"/>
      <c r="S21" s="161"/>
      <c r="T21" s="181" t="str">
        <f>IF(法术书目录!C14&lt;&gt;"QuQ",AC21,"")</f>
        <v/>
      </c>
      <c r="U21" s="182" t="str">
        <f>IFERROR(VLOOKUP((VLOOKUP(W21,列表!$B:$T,13,FALSE)),法术书目录!$Q$1:$R$10,2,FALSE),"")</f>
        <v/>
      </c>
      <c r="V21" s="183" t="str">
        <f>法术书目录!D14</f>
        <v/>
      </c>
      <c r="W21" s="184"/>
      <c r="X21" s="185" t="str">
        <f>IF(法术书目录!C59&lt;&gt;"QuQ",AD21,"")</f>
        <v/>
      </c>
      <c r="Y21" s="186" t="str">
        <f>IFERROR(VLOOKUP((VLOOKUP(AA21,列表!$B:$T,13,FALSE)),法术书目录!$Q$1:$R$10,2,FALSE),"")</f>
        <v/>
      </c>
      <c r="Z21" s="187" t="str">
        <f>法术书目录!D59</f>
        <v/>
      </c>
      <c r="AA21" s="184"/>
      <c r="AC21" s="188">
        <v>14</v>
      </c>
      <c r="AD21" s="188">
        <v>59</v>
      </c>
    </row>
    <row r="22" ht="17.5" customHeight="1" spans="2:30">
      <c r="B22" s="159"/>
      <c r="C22" s="178" t="str">
        <f>IF(C23&lt;&gt;"","法术说明","")</f>
        <v/>
      </c>
      <c r="D22" s="179"/>
      <c r="E22" s="179"/>
      <c r="F22" s="180"/>
      <c r="S22" s="161"/>
      <c r="T22" s="181" t="str">
        <f>IF(法术书目录!C15&lt;&gt;"QuQ",AC22,"")</f>
        <v/>
      </c>
      <c r="U22" s="182" t="str">
        <f>IFERROR(VLOOKUP((VLOOKUP(W22,列表!$B:$T,13,FALSE)),法术书目录!$Q$1:$R$10,2,FALSE),"")</f>
        <v/>
      </c>
      <c r="V22" s="183" t="str">
        <f>法术书目录!D15</f>
        <v/>
      </c>
      <c r="W22" s="184"/>
      <c r="X22" s="185" t="str">
        <f>IF(法术书目录!C60&lt;&gt;"QuQ",AD22,"")</f>
        <v/>
      </c>
      <c r="Y22" s="186" t="str">
        <f>IFERROR(VLOOKUP((VLOOKUP(AA22,列表!$B:$T,13,FALSE)),法术书目录!$Q$1:$R$10,2,FALSE),"")</f>
        <v/>
      </c>
      <c r="Z22" s="187" t="str">
        <f>法术书目录!D60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IF(法术书目录!C16&lt;&gt;"QuQ",AC23,"")</f>
        <v/>
      </c>
      <c r="U23" s="182" t="str">
        <f>IFERROR(VLOOKUP((VLOOKUP(W23,列表!$B:$T,13,FALSE)),法术书目录!$Q$1:$R$10,2,FALSE),"")</f>
        <v/>
      </c>
      <c r="V23" s="183" t="str">
        <f>法术书目录!D16</f>
        <v/>
      </c>
      <c r="W23" s="184"/>
      <c r="X23" s="185" t="str">
        <f>IF(法术书目录!C61&lt;&gt;"QuQ",AD23,"")</f>
        <v/>
      </c>
      <c r="Y23" s="186" t="str">
        <f>IFERROR(VLOOKUP((VLOOKUP(AA23,列表!$B:$T,13,FALSE)),法术书目录!$Q$1:$R$10,2,FALSE),"")</f>
        <v/>
      </c>
      <c r="Z23" s="187" t="str">
        <f>法术书目录!D61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IF(法术书目录!C17&lt;&gt;"QuQ",AC24,"")</f>
        <v/>
      </c>
      <c r="U24" s="182" t="str">
        <f>IFERROR(VLOOKUP((VLOOKUP(W24,列表!$B:$T,13,FALSE)),法术书目录!$Q$1:$R$10,2,FALSE),"")</f>
        <v/>
      </c>
      <c r="V24" s="183" t="str">
        <f>法术书目录!D17</f>
        <v/>
      </c>
      <c r="W24" s="184"/>
      <c r="X24" s="185" t="str">
        <f>IF(法术书目录!C62&lt;&gt;"QuQ",AD24,"")</f>
        <v/>
      </c>
      <c r="Y24" s="186" t="str">
        <f>IFERROR(VLOOKUP((VLOOKUP(AA24,列表!$B:$T,13,FALSE)),法术书目录!$Q$1:$R$10,2,FALSE),"")</f>
        <v/>
      </c>
      <c r="Z24" s="187" t="str">
        <f>法术书目录!D62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IF(法术书目录!C18&lt;&gt;"QuQ",AC25,"")</f>
        <v/>
      </c>
      <c r="U25" s="182" t="str">
        <f>IFERROR(VLOOKUP((VLOOKUP(W25,列表!$B:$T,13,FALSE)),法术书目录!$Q$1:$R$10,2,FALSE),"")</f>
        <v/>
      </c>
      <c r="V25" s="183" t="str">
        <f>法术书目录!D18</f>
        <v/>
      </c>
      <c r="W25" s="184"/>
      <c r="X25" s="185" t="str">
        <f>IF(法术书目录!C63&lt;&gt;"QuQ",AD25,"")</f>
        <v/>
      </c>
      <c r="Y25" s="186" t="str">
        <f>IFERROR(VLOOKUP((VLOOKUP(AA25,列表!$B:$T,13,FALSE)),法术书目录!$Q$1:$R$10,2,FALSE),"")</f>
        <v/>
      </c>
      <c r="Z25" s="187" t="str">
        <f>法术书目录!D63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IF(法术书目录!C19&lt;&gt;"QuQ",AC26,"")</f>
        <v/>
      </c>
      <c r="U26" s="182" t="str">
        <f>IFERROR(VLOOKUP((VLOOKUP(W26,列表!$B:$T,13,FALSE)),法术书目录!$Q$1:$R$10,2,FALSE),"")</f>
        <v/>
      </c>
      <c r="V26" s="183" t="str">
        <f>法术书目录!D19</f>
        <v/>
      </c>
      <c r="W26" s="184"/>
      <c r="X26" s="185" t="str">
        <f>IF(法术书目录!C64&lt;&gt;"QuQ",AD26,"")</f>
        <v/>
      </c>
      <c r="Y26" s="186" t="str">
        <f>IFERROR(VLOOKUP((VLOOKUP(AA26,列表!$B:$T,13,FALSE)),法术书目录!$Q$1:$R$10,2,FALSE),"")</f>
        <v/>
      </c>
      <c r="Z26" s="187" t="str">
        <f>法术书目录!D64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IF(法术书目录!C20&lt;&gt;"QuQ",AC27,"")</f>
        <v/>
      </c>
      <c r="U27" s="182" t="str">
        <f>IFERROR(VLOOKUP((VLOOKUP(W27,列表!$B:$T,13,FALSE)),法术书目录!$Q$1:$R$10,2,FALSE),"")</f>
        <v/>
      </c>
      <c r="V27" s="183" t="str">
        <f>法术书目录!D20</f>
        <v/>
      </c>
      <c r="W27" s="184"/>
      <c r="X27" s="185" t="str">
        <f>IF(法术书目录!C65&lt;&gt;"QuQ",AD27,"")</f>
        <v/>
      </c>
      <c r="Y27" s="186" t="str">
        <f>IFERROR(VLOOKUP((VLOOKUP(AA27,列表!$B:$T,13,FALSE)),法术书目录!$Q$1:$R$10,2,FALSE),"")</f>
        <v/>
      </c>
      <c r="Z27" s="187" t="str">
        <f>法术书目录!D65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IF(法术书目录!C21&lt;&gt;"QuQ",AC28,"")</f>
        <v/>
      </c>
      <c r="U28" s="182" t="str">
        <f>IFERROR(VLOOKUP((VLOOKUP(W28,列表!$B:$T,13,FALSE)),法术书目录!$Q$1:$R$10,2,FALSE),"")</f>
        <v/>
      </c>
      <c r="V28" s="183" t="str">
        <f>法术书目录!D21</f>
        <v/>
      </c>
      <c r="W28" s="184"/>
      <c r="X28" s="185" t="str">
        <f>IF(法术书目录!C66&lt;&gt;"QuQ",AD28,"")</f>
        <v/>
      </c>
      <c r="Y28" s="186" t="str">
        <f>IFERROR(VLOOKUP((VLOOKUP(AA28,列表!$B:$T,13,FALSE)),法术书目录!$Q$1:$R$10,2,FALSE),"")</f>
        <v/>
      </c>
      <c r="Z28" s="187" t="str">
        <f>法术书目录!D66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IF(法术书目录!C22&lt;&gt;"QuQ",AC29,"")</f>
        <v/>
      </c>
      <c r="U29" s="182" t="str">
        <f>IFERROR(VLOOKUP((VLOOKUP(W29,列表!$B:$T,13,FALSE)),法术书目录!$Q$1:$R$10,2,FALSE),"")</f>
        <v/>
      </c>
      <c r="V29" s="183" t="str">
        <f>法术书目录!D22</f>
        <v/>
      </c>
      <c r="W29" s="184"/>
      <c r="X29" s="185" t="str">
        <f>IF(法术书目录!C67&lt;&gt;"QuQ",AD29,"")</f>
        <v/>
      </c>
      <c r="Y29" s="186" t="str">
        <f>IFERROR(VLOOKUP((VLOOKUP(AA29,列表!$B:$T,13,FALSE)),法术书目录!$Q$1:$R$10,2,FALSE),"")</f>
        <v/>
      </c>
      <c r="Z29" s="187" t="str">
        <f>法术书目录!D67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IF(法术书目录!C23&lt;&gt;"QuQ",AC30,"")</f>
        <v/>
      </c>
      <c r="U30" s="182" t="str">
        <f>IFERROR(VLOOKUP((VLOOKUP(W30,列表!$B:$T,13,FALSE)),法术书目录!$Q$1:$R$10,2,FALSE),"")</f>
        <v/>
      </c>
      <c r="V30" s="183" t="str">
        <f>法术书目录!D23</f>
        <v/>
      </c>
      <c r="W30" s="184"/>
      <c r="X30" s="185" t="str">
        <f>IF(法术书目录!C68&lt;&gt;"QuQ",AD30,"")</f>
        <v/>
      </c>
      <c r="Y30" s="186" t="str">
        <f>IFERROR(VLOOKUP((VLOOKUP(AA30,列表!$B:$T,13,FALSE)),法术书目录!$Q$1:$R$10,2,FALSE),"")</f>
        <v/>
      </c>
      <c r="Z30" s="187" t="str">
        <f>法术书目录!D68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IF(法术书目录!C24&lt;&gt;"QuQ",AC31,"")</f>
        <v/>
      </c>
      <c r="U31" s="182" t="str">
        <f>IFERROR(VLOOKUP((VLOOKUP(W31,列表!$B:$T,13,FALSE)),法术书目录!$Q$1:$R$10,2,FALSE),"")</f>
        <v/>
      </c>
      <c r="V31" s="183" t="str">
        <f>法术书目录!D24</f>
        <v/>
      </c>
      <c r="W31" s="184"/>
      <c r="X31" s="185" t="str">
        <f>IF(法术书目录!C69&lt;&gt;"QuQ",AD31,"")</f>
        <v/>
      </c>
      <c r="Y31" s="186" t="str">
        <f>IFERROR(VLOOKUP((VLOOKUP(AA31,列表!$B:$T,13,FALSE)),法术书目录!$Q$1:$R$10,2,FALSE),"")</f>
        <v/>
      </c>
      <c r="Z31" s="187" t="str">
        <f>法术书目录!D69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IF(法术书目录!C25&lt;&gt;"QuQ",AC32,"")</f>
        <v/>
      </c>
      <c r="U32" s="182" t="str">
        <f>IFERROR(VLOOKUP((VLOOKUP(W32,列表!$B:$T,13,FALSE)),法术书目录!$Q$1:$R$10,2,FALSE),"")</f>
        <v/>
      </c>
      <c r="V32" s="183" t="str">
        <f>法术书目录!D25</f>
        <v/>
      </c>
      <c r="W32" s="184"/>
      <c r="X32" s="185" t="str">
        <f>IF(法术书目录!C70&lt;&gt;"QuQ",AD32,"")</f>
        <v/>
      </c>
      <c r="Y32" s="186" t="str">
        <f>IFERROR(VLOOKUP((VLOOKUP(AA32,列表!$B:$T,13,FALSE)),法术书目录!$Q$1:$R$10,2,FALSE),"")</f>
        <v/>
      </c>
      <c r="Z32" s="187" t="str">
        <f>法术书目录!D70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IF(法术书目录!C26&lt;&gt;"QuQ",AC33,"")</f>
        <v/>
      </c>
      <c r="U33" s="182" t="str">
        <f>IFERROR(VLOOKUP((VLOOKUP(W33,列表!$B:$T,13,FALSE)),法术书目录!$Q$1:$R$10,2,FALSE),"")</f>
        <v/>
      </c>
      <c r="V33" s="183" t="str">
        <f>法术书目录!D26</f>
        <v/>
      </c>
      <c r="W33" s="184"/>
      <c r="X33" s="185" t="str">
        <f>IF(法术书目录!C71&lt;&gt;"QuQ",AD33,"")</f>
        <v/>
      </c>
      <c r="Y33" s="186" t="str">
        <f>IFERROR(VLOOKUP((VLOOKUP(AA33,列表!$B:$T,13,FALSE)),法术书目录!$Q$1:$R$10,2,FALSE),"")</f>
        <v/>
      </c>
      <c r="Z33" s="187" t="str">
        <f>法术书目录!D71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IF(法术书目录!C27&lt;&gt;"QuQ",AC34,"")</f>
        <v/>
      </c>
      <c r="U34" s="182" t="str">
        <f>IFERROR(VLOOKUP((VLOOKUP(W34,列表!$B:$T,13,FALSE)),法术书目录!$Q$1:$R$10,2,FALSE),"")</f>
        <v/>
      </c>
      <c r="V34" s="183" t="str">
        <f>法术书目录!D27</f>
        <v/>
      </c>
      <c r="W34" s="184"/>
      <c r="X34" s="185" t="str">
        <f>IF(法术书目录!C72&lt;&gt;"QuQ",AD34,"")</f>
        <v/>
      </c>
      <c r="Y34" s="186" t="str">
        <f>IFERROR(VLOOKUP((VLOOKUP(AA34,列表!$B:$T,13,FALSE)),法术书目录!$Q$1:$R$10,2,FALSE),"")</f>
        <v/>
      </c>
      <c r="Z34" s="187" t="str">
        <f>法术书目录!D72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IF(法术书目录!C28&lt;&gt;"QuQ",AC35,"")</f>
        <v/>
      </c>
      <c r="U35" s="182" t="str">
        <f>IFERROR(VLOOKUP((VLOOKUP(W35,列表!$B:$T,13,FALSE)),法术书目录!$Q$1:$R$10,2,FALSE),"")</f>
        <v/>
      </c>
      <c r="V35" s="183" t="str">
        <f>法术书目录!D28</f>
        <v/>
      </c>
      <c r="W35" s="184"/>
      <c r="X35" s="185" t="str">
        <f>IF(法术书目录!C73&lt;&gt;"QuQ",AD35,"")</f>
        <v/>
      </c>
      <c r="Y35" s="186" t="str">
        <f>IFERROR(VLOOKUP((VLOOKUP(AA35,列表!$B:$T,13,FALSE)),法术书目录!$Q$1:$R$10,2,FALSE),"")</f>
        <v/>
      </c>
      <c r="Z35" s="187" t="str">
        <f>法术书目录!D73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IF(法术书目录!C29&lt;&gt;"QuQ",AC36,"")</f>
        <v/>
      </c>
      <c r="U36" s="182" t="str">
        <f>IFERROR(VLOOKUP((VLOOKUP(W36,列表!$B:$T,13,FALSE)),法术书目录!$Q$1:$R$10,2,FALSE),"")</f>
        <v/>
      </c>
      <c r="V36" s="183" t="str">
        <f>法术书目录!D29</f>
        <v/>
      </c>
      <c r="W36" s="184"/>
      <c r="X36" s="185" t="str">
        <f>IF(法术书目录!C74&lt;&gt;"QuQ",AD36,"")</f>
        <v/>
      </c>
      <c r="Y36" s="186" t="str">
        <f>IFERROR(VLOOKUP((VLOOKUP(AA36,列表!$B:$T,13,FALSE)),法术书目录!$Q$1:$R$10,2,FALSE),"")</f>
        <v/>
      </c>
      <c r="Z36" s="187" t="str">
        <f>法术书目录!D74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IF(法术书目录!C30&lt;&gt;"QuQ",AC37,"")</f>
        <v/>
      </c>
      <c r="U37" s="182" t="str">
        <f>IFERROR(VLOOKUP((VLOOKUP(W37,列表!$B:$T,13,FALSE)),法术书目录!$Q$1:$R$10,2,FALSE),"")</f>
        <v/>
      </c>
      <c r="V37" s="183" t="str">
        <f>法术书目录!D30</f>
        <v/>
      </c>
      <c r="W37" s="184"/>
      <c r="X37" s="185" t="str">
        <f>IF(法术书目录!C75&lt;&gt;"QuQ",AD37,"")</f>
        <v/>
      </c>
      <c r="Y37" s="186" t="str">
        <f>IFERROR(VLOOKUP((VLOOKUP(AA37,列表!$B:$T,13,FALSE)),法术书目录!$Q$1:$R$10,2,FALSE),"")</f>
        <v/>
      </c>
      <c r="Z37" s="187" t="str">
        <f>法术书目录!D75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IF(法术书目录!C31&lt;&gt;"QuQ",AC38,"")</f>
        <v/>
      </c>
      <c r="U38" s="182" t="str">
        <f>IFERROR(VLOOKUP((VLOOKUP(W38,列表!$B:$T,13,FALSE)),法术书目录!$Q$1:$R$10,2,FALSE),"")</f>
        <v/>
      </c>
      <c r="V38" s="183" t="str">
        <f>法术书目录!D31</f>
        <v/>
      </c>
      <c r="W38" s="184"/>
      <c r="X38" s="185" t="str">
        <f>IF(法术书目录!C76&lt;&gt;"QuQ",AD38,"")</f>
        <v/>
      </c>
      <c r="Y38" s="186" t="str">
        <f>IFERROR(VLOOKUP((VLOOKUP(AA38,列表!$B:$T,13,FALSE)),法术书目录!$Q$1:$R$10,2,FALSE),"")</f>
        <v/>
      </c>
      <c r="Z38" s="187" t="str">
        <f>法术书目录!D76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IF(法术书目录!C32&lt;&gt;"QuQ",AC39,"")</f>
        <v/>
      </c>
      <c r="U39" s="182" t="str">
        <f>IFERROR(VLOOKUP((VLOOKUP(W39,列表!$B:$T,13,FALSE)),法术书目录!$Q$1:$R$10,2,FALSE),"")</f>
        <v/>
      </c>
      <c r="V39" s="183" t="str">
        <f>法术书目录!D32</f>
        <v/>
      </c>
      <c r="W39" s="184"/>
      <c r="X39" s="185" t="str">
        <f>IF(法术书目录!C77&lt;&gt;"QuQ",AD39,"")</f>
        <v/>
      </c>
      <c r="Y39" s="186" t="str">
        <f>IFERROR(VLOOKUP((VLOOKUP(AA39,列表!$B:$T,13,FALSE)),法术书目录!$Q$1:$R$10,2,FALSE),"")</f>
        <v/>
      </c>
      <c r="Z39" s="187" t="str">
        <f>法术书目录!D77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IF(法术书目录!C33&lt;&gt;"QuQ",AC40,"")</f>
        <v/>
      </c>
      <c r="U40" s="182" t="str">
        <f>IFERROR(VLOOKUP((VLOOKUP(W40,列表!$B:$T,13,FALSE)),法术书目录!$Q$1:$R$10,2,FALSE),"")</f>
        <v/>
      </c>
      <c r="V40" s="183" t="str">
        <f>法术书目录!D33</f>
        <v/>
      </c>
      <c r="W40" s="184"/>
      <c r="X40" s="185" t="str">
        <f>IF(法术书目录!C78&lt;&gt;"QuQ",AD40,"")</f>
        <v/>
      </c>
      <c r="Y40" s="186" t="str">
        <f>IFERROR(VLOOKUP((VLOOKUP(AA40,列表!$B:$T,13,FALSE)),法术书目录!$Q$1:$R$10,2,FALSE),"")</f>
        <v/>
      </c>
      <c r="Z40" s="187" t="str">
        <f>法术书目录!D78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IF(法术书目录!C34&lt;&gt;"QuQ",AC41,"")</f>
        <v/>
      </c>
      <c r="U41" s="182" t="str">
        <f>IFERROR(VLOOKUP((VLOOKUP(W41,列表!$B:$T,13,FALSE)),法术书目录!$Q$1:$R$10,2,FALSE),"")</f>
        <v/>
      </c>
      <c r="V41" s="183" t="str">
        <f>法术书目录!D34</f>
        <v/>
      </c>
      <c r="W41" s="184"/>
      <c r="X41" s="185" t="str">
        <f>IF(法术书目录!C79&lt;&gt;"QuQ",AD41,"")</f>
        <v/>
      </c>
      <c r="Y41" s="186" t="str">
        <f>IFERROR(VLOOKUP((VLOOKUP(AA41,列表!$B:$T,13,FALSE)),法术书目录!$Q$1:$R$10,2,FALSE),"")</f>
        <v/>
      </c>
      <c r="Z41" s="187" t="str">
        <f>法术书目录!D79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IF(法术书目录!C35&lt;&gt;"QuQ",AC42,"")</f>
        <v/>
      </c>
      <c r="U42" s="182" t="str">
        <f>IFERROR(VLOOKUP((VLOOKUP(W42,列表!$B:$T,13,FALSE)),法术书目录!$Q$1:$R$10,2,FALSE),"")</f>
        <v/>
      </c>
      <c r="V42" s="183" t="str">
        <f>法术书目录!D35</f>
        <v/>
      </c>
      <c r="W42" s="184"/>
      <c r="X42" s="185" t="str">
        <f>IF(法术书目录!C80&lt;&gt;"QuQ",AD42,"")</f>
        <v/>
      </c>
      <c r="Y42" s="186" t="str">
        <f>IFERROR(VLOOKUP((VLOOKUP(AA42,列表!$B:$T,13,FALSE)),法术书目录!$Q$1:$R$10,2,FALSE),"")</f>
        <v/>
      </c>
      <c r="Z42" s="187" t="str">
        <f>法术书目录!D80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IF(法术书目录!C36&lt;&gt;"QuQ",AC43,"")</f>
        <v/>
      </c>
      <c r="U43" s="182" t="str">
        <f>IFERROR(VLOOKUP((VLOOKUP(W43,列表!$B:$T,13,FALSE)),法术书目录!$Q$1:$R$10,2,FALSE),"")</f>
        <v/>
      </c>
      <c r="V43" s="183" t="str">
        <f>法术书目录!D36</f>
        <v/>
      </c>
      <c r="W43" s="184"/>
      <c r="X43" s="185" t="str">
        <f>IF(法术书目录!C81&lt;&gt;"QuQ",AD43,"")</f>
        <v/>
      </c>
      <c r="Y43" s="186" t="str">
        <f>IFERROR(VLOOKUP((VLOOKUP(AA43,列表!$B:$T,13,FALSE)),法术书目录!$Q$1:$R$10,2,FALSE),"")</f>
        <v/>
      </c>
      <c r="Z43" s="187" t="str">
        <f>法术书目录!D81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IF(法术书目录!C37&lt;&gt;"QuQ",AC44,"")</f>
        <v/>
      </c>
      <c r="U44" s="182" t="str">
        <f>IFERROR(VLOOKUP((VLOOKUP(W44,列表!$B:$T,13,FALSE)),法术书目录!$Q$1:$R$10,2,FALSE),"")</f>
        <v/>
      </c>
      <c r="V44" s="183" t="str">
        <f>法术书目录!D37</f>
        <v/>
      </c>
      <c r="W44" s="184"/>
      <c r="X44" s="185" t="str">
        <f>IF(法术书目录!C82&lt;&gt;"QuQ",AD44,"")</f>
        <v/>
      </c>
      <c r="Y44" s="186" t="str">
        <f>IFERROR(VLOOKUP((VLOOKUP(AA44,列表!$B:$T,13,FALSE)),法术书目录!$Q$1:$R$10,2,FALSE),"")</f>
        <v/>
      </c>
      <c r="Z44" s="187" t="str">
        <f>法术书目录!D82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IF(法术书目录!C38&lt;&gt;"QuQ",AC45,"")</f>
        <v/>
      </c>
      <c r="U45" s="182" t="str">
        <f>IFERROR(VLOOKUP((VLOOKUP(W45,列表!$B:$T,13,FALSE)),法术书目录!$Q$1:$R$10,2,FALSE),"")</f>
        <v/>
      </c>
      <c r="V45" s="183" t="str">
        <f>法术书目录!D38</f>
        <v/>
      </c>
      <c r="W45" s="184"/>
      <c r="X45" s="185" t="str">
        <f>IF(法术书目录!C83&lt;&gt;"QuQ",AD45,"")</f>
        <v/>
      </c>
      <c r="Y45" s="186" t="str">
        <f>IFERROR(VLOOKUP((VLOOKUP(AA45,列表!$B:$T,13,FALSE)),法术书目录!$Q$1:$R$10,2,FALSE),"")</f>
        <v/>
      </c>
      <c r="Z45" s="187" t="str">
        <f>法术书目录!D83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IF(法术书目录!C39&lt;&gt;"QuQ",AC46,"")</f>
        <v/>
      </c>
      <c r="U46" s="182" t="str">
        <f>IFERROR(VLOOKUP((VLOOKUP(W46,列表!$B:$T,13,FALSE)),法术书目录!$Q$1:$R$10,2,FALSE),"")</f>
        <v/>
      </c>
      <c r="V46" s="183" t="str">
        <f>法术书目录!D39</f>
        <v/>
      </c>
      <c r="W46" s="184"/>
      <c r="X46" s="185" t="str">
        <f>IF(法术书目录!C84&lt;&gt;"QuQ",AD46,"")</f>
        <v/>
      </c>
      <c r="Y46" s="186" t="str">
        <f>IFERROR(VLOOKUP((VLOOKUP(AA46,列表!$B:$T,13,FALSE)),法术书目录!$Q$1:$R$10,2,FALSE),"")</f>
        <v/>
      </c>
      <c r="Z46" s="187" t="str">
        <f>法术书目录!D84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IF(法术书目录!C40&lt;&gt;"QuQ",AC47,"")</f>
        <v/>
      </c>
      <c r="U47" s="182" t="str">
        <f>IFERROR(VLOOKUP((VLOOKUP(W47,列表!$B:$T,13,FALSE)),法术书目录!$Q$1:$R$10,2,FALSE),"")</f>
        <v/>
      </c>
      <c r="V47" s="183" t="str">
        <f>法术书目录!D40</f>
        <v/>
      </c>
      <c r="W47" s="184"/>
      <c r="X47" s="185" t="str">
        <f>IF(法术书目录!C85&lt;&gt;"QuQ",AD47,"")</f>
        <v/>
      </c>
      <c r="Y47" s="186" t="str">
        <f>IFERROR(VLOOKUP((VLOOKUP(AA47,列表!$B:$T,13,FALSE)),法术书目录!$Q$1:$R$10,2,FALSE),"")</f>
        <v/>
      </c>
      <c r="Z47" s="187" t="str">
        <f>法术书目录!D85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IF(法术书目录!C41&lt;&gt;"QuQ",AC48,"")</f>
        <v/>
      </c>
      <c r="U48" s="182" t="str">
        <f>IFERROR(VLOOKUP((VLOOKUP(W48,列表!$B:$T,13,FALSE)),法术书目录!$Q$1:$R$10,2,FALSE),"")</f>
        <v/>
      </c>
      <c r="V48" s="183" t="str">
        <f>法术书目录!D41</f>
        <v/>
      </c>
      <c r="W48" s="184"/>
      <c r="X48" s="185" t="str">
        <f>IF(法术书目录!C86&lt;&gt;"QuQ",AD48,"")</f>
        <v/>
      </c>
      <c r="Y48" s="186" t="str">
        <f>IFERROR(VLOOKUP((VLOOKUP(AA48,列表!$B:$T,13,FALSE)),法术书目录!$Q$1:$R$10,2,FALSE),"")</f>
        <v/>
      </c>
      <c r="Z48" s="187" t="str">
        <f>法术书目录!D86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IF(法术书目录!C42&lt;&gt;"QuQ",AC49,"")</f>
        <v/>
      </c>
      <c r="U49" s="182" t="str">
        <f>IFERROR(VLOOKUP((VLOOKUP(W49,列表!$B:$T,13,FALSE)),法术书目录!$Q$1:$R$10,2,FALSE),"")</f>
        <v/>
      </c>
      <c r="V49" s="183" t="str">
        <f>法术书目录!D42</f>
        <v/>
      </c>
      <c r="W49" s="184"/>
      <c r="X49" s="185" t="str">
        <f>IF(法术书目录!C87&lt;&gt;"QuQ",AD49,"")</f>
        <v/>
      </c>
      <c r="Y49" s="186" t="str">
        <f>IFERROR(VLOOKUP((VLOOKUP(AA49,列表!$B:$T,13,FALSE)),法术书目录!$Q$1:$R$10,2,FALSE),"")</f>
        <v/>
      </c>
      <c r="Z49" s="187" t="str">
        <f>法术书目录!D87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IF(法术书目录!C43&lt;&gt;"QuQ",AC50,"")</f>
        <v/>
      </c>
      <c r="U50" s="182" t="str">
        <f>IFERROR(VLOOKUP((VLOOKUP(W50,列表!$B:$T,13,FALSE)),法术书目录!$Q$1:$R$10,2,FALSE),"")</f>
        <v/>
      </c>
      <c r="V50" s="183" t="str">
        <f>法术书目录!D43</f>
        <v/>
      </c>
      <c r="W50" s="184"/>
      <c r="X50" s="185" t="str">
        <f>IF(法术书目录!C88&lt;&gt;"QuQ",AD50,"")</f>
        <v/>
      </c>
      <c r="Y50" s="186" t="str">
        <f>IFERROR(VLOOKUP((VLOOKUP(AA50,列表!$B:$T,13,FALSE)),法术书目录!$Q$1:$R$10,2,FALSE),"")</f>
        <v/>
      </c>
      <c r="Z50" s="187" t="str">
        <f>法术书目录!D88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IF(法术书目录!C44&lt;&gt;"QuQ",AC51,"")</f>
        <v/>
      </c>
      <c r="U51" s="182" t="str">
        <f>IFERROR(VLOOKUP((VLOOKUP(W51,列表!$B:$T,13,FALSE)),法术书目录!$Q$1:$R$10,2,FALSE),"")</f>
        <v/>
      </c>
      <c r="V51" s="183" t="str">
        <f>法术书目录!D44</f>
        <v/>
      </c>
      <c r="W51" s="184"/>
      <c r="X51" s="185" t="str">
        <f>IF(法术书目录!C89&lt;&gt;"QuQ",AD51,"")</f>
        <v/>
      </c>
      <c r="Y51" s="186" t="str">
        <f>IFERROR(VLOOKUP((VLOOKUP(AA51,列表!$B:$T,13,FALSE)),法术书目录!$Q$1:$R$10,2,FALSE),"")</f>
        <v/>
      </c>
      <c r="Z51" s="187" t="str">
        <f>法术书目录!D89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IF(法术书目录!C45&lt;&gt;"QuQ",AC52,"")</f>
        <v/>
      </c>
      <c r="U52" s="182" t="str">
        <f>IFERROR(VLOOKUP((VLOOKUP(W52,列表!$B:$T,13,FALSE)),法术书目录!$Q$1:$R$10,2,FALSE),"")</f>
        <v/>
      </c>
      <c r="V52" s="183" t="str">
        <f>法术书目录!D45</f>
        <v/>
      </c>
      <c r="W52" s="184"/>
      <c r="X52" s="185" t="str">
        <f>IF(法术书目录!C90&lt;&gt;"QuQ",AD52,"")</f>
        <v/>
      </c>
      <c r="Y52" s="186" t="str">
        <f>IFERROR(VLOOKUP((VLOOKUP(AA52,列表!$B:$T,13,FALSE)),法术书目录!$Q$1:$R$10,2,FALSE),"")</f>
        <v/>
      </c>
      <c r="Z52" s="187" t="str">
        <f>法术书目录!D90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
    <cfRule type="expression" dxfId="7" priority="2">
      <formula>$AE$8=专注</formula>
    </cfRule>
  </conditionalFormatting>
  <conditionalFormatting sqref="W8:W52">
    <cfRule type="expression" dxfId="8" priority="5">
      <formula>T8=法术书目录!$O$1</formula>
    </cfRule>
  </conditionalFormatting>
  <conditionalFormatting sqref="AA8:AA52">
    <cfRule type="expression" dxfId="8" priority="4">
      <formula>X8=法术书目录!$O$1</formula>
    </cfRule>
  </conditionalFormatting>
  <conditionalFormatting sqref="V8:V52 Z8:Z52">
    <cfRule type="cellIs" dxfId="9" priority="1" operator="equal">
      <formula>"!"</formula>
    </cfRule>
  </conditionalFormatting>
  <conditionalFormatting sqref="W8:W52 AA8:AA52">
    <cfRule type="duplicateValues" dxfId="6" priority="3"/>
  </conditionalFormatting>
  <dataValidations count="2">
    <dataValidation type="list" allowBlank="1" showInputMessage="1" showErrorMessage="1" sqref="W8:W52 AA8:AA52">
      <formula1>列表!$B$3:$B$600</formula1>
    </dataValidation>
    <dataValidation type="list" allowBlank="1" sqref="AA5:AA6">
      <formula1>法术书目录!$B$1:$B$90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5121"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1240</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IFERROR(VLOOKUP(法术书目录!$O$2,法术书目录!$E:$G,2,FALSE),"空白标签")</f>
        <v/>
      </c>
      <c r="X5" s="169" t="s">
        <v>1241</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1242</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IF(法术书目录!G1&lt;&gt;"QuQ",AC8,"")</f>
        <v/>
      </c>
      <c r="U8" s="182" t="str">
        <f>IFERROR(VLOOKUP((VLOOKUP(W8,列表!$B:$T,13,FALSE)),法术书目录!$Q$1:$R$10,2,FALSE),"")</f>
        <v/>
      </c>
      <c r="V8" s="183" t="str">
        <f>法术书目录!H1</f>
        <v/>
      </c>
      <c r="W8" s="184"/>
      <c r="X8" s="185" t="str">
        <f>IF(法术书目录!G46&lt;&gt;"QuQ",AD8,"")</f>
        <v/>
      </c>
      <c r="Y8" s="186" t="str">
        <f>IFERROR(VLOOKUP((VLOOKUP(AA8,列表!$B:$T,13,FALSE)),法术书目录!$Q$1:$R$10,2,FALSE),"")</f>
        <v/>
      </c>
      <c r="Z8" s="187" t="str">
        <f>法术书目录!H46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IF(法术书目录!G2&lt;&gt;"QuQ",AC9,"")</f>
        <v/>
      </c>
      <c r="U9" s="182" t="str">
        <f>IFERROR(VLOOKUP((VLOOKUP(W9,列表!$B:$T,13,FALSE)),法术书目录!$Q$1:$R$10,2,FALSE),"")</f>
        <v/>
      </c>
      <c r="V9" s="183" t="str">
        <f>法术书目录!H2</f>
        <v/>
      </c>
      <c r="W9" s="184"/>
      <c r="X9" s="185" t="str">
        <f>IF(法术书目录!G47&lt;&gt;"QuQ",AD9,"")</f>
        <v/>
      </c>
      <c r="Y9" s="186" t="str">
        <f>IFERROR(VLOOKUP((VLOOKUP(AA9,列表!$B:$T,13,FALSE)),法术书目录!$Q$1:$R$10,2,FALSE),"")</f>
        <v/>
      </c>
      <c r="Z9" s="187" t="str">
        <f>法术书目录!H47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IF(法术书目录!G3&lt;&gt;"QuQ",AC10,"")</f>
        <v/>
      </c>
      <c r="U10" s="182" t="str">
        <f>IFERROR(VLOOKUP((VLOOKUP(W10,列表!$B:$T,13,FALSE)),法术书目录!$Q$1:$R$10,2,FALSE),"")</f>
        <v/>
      </c>
      <c r="V10" s="183" t="str">
        <f>法术书目录!H3</f>
        <v/>
      </c>
      <c r="W10" s="184"/>
      <c r="X10" s="185" t="str">
        <f>IF(法术书目录!G48&lt;&gt;"QuQ",AD10,"")</f>
        <v/>
      </c>
      <c r="Y10" s="186" t="str">
        <f>IFERROR(VLOOKUP((VLOOKUP(AA10,列表!$B:$T,13,FALSE)),法术书目录!$Q$1:$R$10,2,FALSE),"")</f>
        <v/>
      </c>
      <c r="Z10" s="187" t="str">
        <f>法术书目录!H48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IF(法术书目录!G4&lt;&gt;"QuQ",AC11,"")</f>
        <v/>
      </c>
      <c r="U11" s="182" t="str">
        <f>IFERROR(VLOOKUP((VLOOKUP(W11,列表!$B:$T,13,FALSE)),法术书目录!$Q$1:$R$10,2,FALSE),"")</f>
        <v/>
      </c>
      <c r="V11" s="183" t="str">
        <f>法术书目录!H4</f>
        <v/>
      </c>
      <c r="W11" s="184"/>
      <c r="X11" s="185" t="str">
        <f>IF(法术书目录!G49&lt;&gt;"QuQ",AD11,"")</f>
        <v/>
      </c>
      <c r="Y11" s="186" t="str">
        <f>IFERROR(VLOOKUP((VLOOKUP(AA11,列表!$B:$T,13,FALSE)),法术书目录!$Q$1:$R$10,2,FALSE),"")</f>
        <v/>
      </c>
      <c r="Z11" s="187" t="str">
        <f>法术书目录!H49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IF(法术书目录!G5&lt;&gt;"QuQ",AC12,"")</f>
        <v/>
      </c>
      <c r="U12" s="182" t="str">
        <f>IFERROR(VLOOKUP((VLOOKUP(W12,列表!$B:$T,13,FALSE)),法术书目录!$Q$1:$R$10,2,FALSE),"")</f>
        <v/>
      </c>
      <c r="V12" s="183" t="str">
        <f>法术书目录!H5</f>
        <v/>
      </c>
      <c r="W12" s="184"/>
      <c r="X12" s="185" t="str">
        <f>IF(法术书目录!G50&lt;&gt;"QuQ",AD12,"")</f>
        <v/>
      </c>
      <c r="Y12" s="186" t="str">
        <f>IFERROR(VLOOKUP((VLOOKUP(AA12,列表!$B:$T,13,FALSE)),法术书目录!$Q$1:$R$10,2,FALSE),"")</f>
        <v/>
      </c>
      <c r="Z12" s="187" t="str">
        <f>法术书目录!H50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IF(法术书目录!G6&lt;&gt;"QuQ",AC13,"")</f>
        <v/>
      </c>
      <c r="U13" s="182" t="str">
        <f>IFERROR(VLOOKUP((VLOOKUP(W13,列表!$B:$T,13,FALSE)),法术书目录!$Q$1:$R$10,2,FALSE),"")</f>
        <v/>
      </c>
      <c r="V13" s="183" t="str">
        <f>法术书目录!H6</f>
        <v/>
      </c>
      <c r="W13" s="184"/>
      <c r="X13" s="185" t="str">
        <f>IF(法术书目录!G51&lt;&gt;"QuQ",AD13,"")</f>
        <v/>
      </c>
      <c r="Y13" s="186" t="str">
        <f>IFERROR(VLOOKUP((VLOOKUP(AA13,列表!$B:$T,13,FALSE)),法术书目录!$Q$1:$R$10,2,FALSE),"")</f>
        <v/>
      </c>
      <c r="Z13" s="187" t="str">
        <f>法术书目录!H51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IF(法术书目录!G7&lt;&gt;"QuQ",AC14,"")</f>
        <v/>
      </c>
      <c r="U14" s="182" t="str">
        <f>IFERROR(VLOOKUP((VLOOKUP(W14,列表!$B:$T,13,FALSE)),法术书目录!$Q$1:$R$10,2,FALSE),"")</f>
        <v/>
      </c>
      <c r="V14" s="183" t="str">
        <f>法术书目录!H7</f>
        <v/>
      </c>
      <c r="W14" s="184"/>
      <c r="X14" s="185" t="str">
        <f>IF(法术书目录!G52&lt;&gt;"QuQ",AD14,"")</f>
        <v/>
      </c>
      <c r="Y14" s="186" t="str">
        <f>IFERROR(VLOOKUP((VLOOKUP(AA14,列表!$B:$T,13,FALSE)),法术书目录!$Q$1:$R$10,2,FALSE),"")</f>
        <v/>
      </c>
      <c r="Z14" s="187" t="str">
        <f>法术书目录!H52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IF(法术书目录!G8&lt;&gt;"QuQ",AC15,"")</f>
        <v/>
      </c>
      <c r="U15" s="182" t="str">
        <f>IFERROR(VLOOKUP((VLOOKUP(W15,列表!$B:$T,13,FALSE)),法术书目录!$Q$1:$R$10,2,FALSE),"")</f>
        <v/>
      </c>
      <c r="V15" s="183" t="str">
        <f>法术书目录!H8</f>
        <v/>
      </c>
      <c r="W15" s="184"/>
      <c r="X15" s="185" t="str">
        <f>IF(法术书目录!G53&lt;&gt;"QuQ",AD15,"")</f>
        <v/>
      </c>
      <c r="Y15" s="186" t="str">
        <f>IFERROR(VLOOKUP((VLOOKUP(AA15,列表!$B:$T,13,FALSE)),法术书目录!$Q$1:$R$10,2,FALSE),"")</f>
        <v/>
      </c>
      <c r="Z15" s="187" t="str">
        <f>法术书目录!H53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IF(法术书目录!G9&lt;&gt;"QuQ",AC16,"")</f>
        <v/>
      </c>
      <c r="U16" s="182" t="str">
        <f>IFERROR(VLOOKUP((VLOOKUP(W16,列表!$B:$T,13,FALSE)),法术书目录!$Q$1:$R$10,2,FALSE),"")</f>
        <v/>
      </c>
      <c r="V16" s="183" t="str">
        <f>法术书目录!H9</f>
        <v/>
      </c>
      <c r="W16" s="184"/>
      <c r="X16" s="185" t="str">
        <f>IF(法术书目录!G54&lt;&gt;"QuQ",AD16,"")</f>
        <v/>
      </c>
      <c r="Y16" s="186" t="str">
        <f>IFERROR(VLOOKUP((VLOOKUP(AA16,列表!$B:$T,13,FALSE)),法术书目录!$Q$1:$R$10,2,FALSE),"")</f>
        <v/>
      </c>
      <c r="Z16" s="187" t="str">
        <f>法术书目录!H54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IF(法术书目录!G10&lt;&gt;"QuQ",AC17,"")</f>
        <v/>
      </c>
      <c r="U17" s="182" t="str">
        <f>IFERROR(VLOOKUP((VLOOKUP(W17,列表!$B:$T,13,FALSE)),法术书目录!$Q$1:$R$10,2,FALSE),"")</f>
        <v/>
      </c>
      <c r="V17" s="183" t="str">
        <f>法术书目录!H10</f>
        <v/>
      </c>
      <c r="W17" s="184"/>
      <c r="X17" s="185" t="str">
        <f>IF(法术书目录!G55&lt;&gt;"QuQ",AD17,"")</f>
        <v/>
      </c>
      <c r="Y17" s="186" t="str">
        <f>IFERROR(VLOOKUP((VLOOKUP(AA17,列表!$B:$T,13,FALSE)),法术书目录!$Q$1:$R$10,2,FALSE),"")</f>
        <v/>
      </c>
      <c r="Z17" s="187" t="str">
        <f>法术书目录!H55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IF(法术书目录!G11&lt;&gt;"QuQ",AC18,"")</f>
        <v/>
      </c>
      <c r="U18" s="182" t="str">
        <f>IFERROR(VLOOKUP((VLOOKUP(W18,列表!$B:$T,13,FALSE)),法术书目录!$Q$1:$R$10,2,FALSE),"")</f>
        <v/>
      </c>
      <c r="V18" s="183" t="str">
        <f>法术书目录!H11</f>
        <v/>
      </c>
      <c r="W18" s="184"/>
      <c r="X18" s="185" t="str">
        <f>IF(法术书目录!G56&lt;&gt;"QuQ",AD18,"")</f>
        <v/>
      </c>
      <c r="Y18" s="186" t="str">
        <f>IFERROR(VLOOKUP((VLOOKUP(AA18,列表!$B:$T,13,FALSE)),法术书目录!$Q$1:$R$10,2,FALSE),"")</f>
        <v/>
      </c>
      <c r="Z18" s="187" t="str">
        <f>法术书目录!H56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IF(法术书目录!G12&lt;&gt;"QuQ",AC19,"")</f>
        <v/>
      </c>
      <c r="U19" s="182" t="str">
        <f>IFERROR(VLOOKUP((VLOOKUP(W19,列表!$B:$T,13,FALSE)),法术书目录!$Q$1:$R$10,2,FALSE),"")</f>
        <v/>
      </c>
      <c r="V19" s="183" t="str">
        <f>法术书目录!H12</f>
        <v/>
      </c>
      <c r="W19" s="184"/>
      <c r="X19" s="185" t="str">
        <f>IF(法术书目录!G57&lt;&gt;"QuQ",AD19,"")</f>
        <v/>
      </c>
      <c r="Y19" s="186" t="str">
        <f>IFERROR(VLOOKUP((VLOOKUP(AA19,列表!$B:$T,13,FALSE)),法术书目录!$Q$1:$R$10,2,FALSE),"")</f>
        <v/>
      </c>
      <c r="Z19" s="187" t="str">
        <f>法术书目录!H57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IF(法术书目录!G13&lt;&gt;"QuQ",AC20,"")</f>
        <v/>
      </c>
      <c r="U20" s="182" t="str">
        <f>IFERROR(VLOOKUP((VLOOKUP(W20,列表!$B:$T,13,FALSE)),法术书目录!$Q$1:$R$10,2,FALSE),"")</f>
        <v/>
      </c>
      <c r="V20" s="183" t="str">
        <f>法术书目录!H13</f>
        <v/>
      </c>
      <c r="W20" s="184"/>
      <c r="X20" s="185" t="str">
        <f>IF(法术书目录!G58&lt;&gt;"QuQ",AD20,"")</f>
        <v/>
      </c>
      <c r="Y20" s="186" t="str">
        <f>IFERROR(VLOOKUP((VLOOKUP(AA20,列表!$B:$T,13,FALSE)),法术书目录!$Q$1:$R$10,2,FALSE),"")</f>
        <v/>
      </c>
      <c r="Z20" s="187" t="str">
        <f>法术书目录!H58</f>
        <v/>
      </c>
      <c r="AA20" s="184"/>
      <c r="AC20" s="188">
        <v>13</v>
      </c>
      <c r="AD20" s="188">
        <v>58</v>
      </c>
    </row>
    <row r="21" ht="17.5" customHeight="1" spans="2:30">
      <c r="B21" s="159"/>
      <c r="S21" s="161"/>
      <c r="T21" s="181" t="str">
        <f>IF(法术书目录!G14&lt;&gt;"QuQ",AC21,"")</f>
        <v/>
      </c>
      <c r="U21" s="182" t="str">
        <f>IFERROR(VLOOKUP((VLOOKUP(W21,列表!$B:$T,13,FALSE)),法术书目录!$Q$1:$R$10,2,FALSE),"")</f>
        <v/>
      </c>
      <c r="V21" s="183" t="str">
        <f>法术书目录!H14</f>
        <v/>
      </c>
      <c r="W21" s="184"/>
      <c r="X21" s="185" t="str">
        <f>IF(法术书目录!G59&lt;&gt;"QuQ",AD21,"")</f>
        <v/>
      </c>
      <c r="Y21" s="186" t="str">
        <f>IFERROR(VLOOKUP((VLOOKUP(AA21,列表!$B:$T,13,FALSE)),法术书目录!$Q$1:$R$10,2,FALSE),"")</f>
        <v/>
      </c>
      <c r="Z21" s="187" t="str">
        <f>法术书目录!H59</f>
        <v/>
      </c>
      <c r="AA21" s="184"/>
      <c r="AC21" s="188">
        <v>14</v>
      </c>
      <c r="AD21" s="188">
        <v>59</v>
      </c>
    </row>
    <row r="22" ht="17.5" customHeight="1" spans="2:30">
      <c r="B22" s="159"/>
      <c r="C22" s="178" t="str">
        <f>IF(C23&lt;&gt;"","法术说明","")</f>
        <v/>
      </c>
      <c r="D22" s="179"/>
      <c r="E22" s="179"/>
      <c r="F22" s="180"/>
      <c r="S22" s="161"/>
      <c r="T22" s="181" t="str">
        <f>IF(法术书目录!G15&lt;&gt;"QuQ",AC22,"")</f>
        <v/>
      </c>
      <c r="U22" s="182" t="str">
        <f>IFERROR(VLOOKUP((VLOOKUP(W22,列表!$B:$T,13,FALSE)),法术书目录!$Q$1:$R$10,2,FALSE),"")</f>
        <v/>
      </c>
      <c r="V22" s="183" t="str">
        <f>法术书目录!H15</f>
        <v/>
      </c>
      <c r="W22" s="184"/>
      <c r="X22" s="185" t="str">
        <f>IF(法术书目录!G60&lt;&gt;"QuQ",AD22,"")</f>
        <v/>
      </c>
      <c r="Y22" s="186" t="str">
        <f>IFERROR(VLOOKUP((VLOOKUP(AA22,列表!$B:$T,13,FALSE)),法术书目录!$Q$1:$R$10,2,FALSE),"")</f>
        <v/>
      </c>
      <c r="Z22" s="187" t="str">
        <f>法术书目录!H60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IF(法术书目录!G16&lt;&gt;"QuQ",AC23,"")</f>
        <v/>
      </c>
      <c r="U23" s="182" t="str">
        <f>IFERROR(VLOOKUP((VLOOKUP(W23,列表!$B:$T,13,FALSE)),法术书目录!$Q$1:$R$10,2,FALSE),"")</f>
        <v/>
      </c>
      <c r="V23" s="183" t="str">
        <f>法术书目录!H16</f>
        <v/>
      </c>
      <c r="W23" s="184"/>
      <c r="X23" s="185" t="str">
        <f>IF(法术书目录!G61&lt;&gt;"QuQ",AD23,"")</f>
        <v/>
      </c>
      <c r="Y23" s="186" t="str">
        <f>IFERROR(VLOOKUP((VLOOKUP(AA23,列表!$B:$T,13,FALSE)),法术书目录!$Q$1:$R$10,2,FALSE),"")</f>
        <v/>
      </c>
      <c r="Z23" s="187" t="str">
        <f>法术书目录!H61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IF(法术书目录!G17&lt;&gt;"QuQ",AC24,"")</f>
        <v/>
      </c>
      <c r="U24" s="182" t="str">
        <f>IFERROR(VLOOKUP((VLOOKUP(W24,列表!$B:$T,13,FALSE)),法术书目录!$Q$1:$R$10,2,FALSE),"")</f>
        <v/>
      </c>
      <c r="V24" s="183" t="str">
        <f>法术书目录!H17</f>
        <v/>
      </c>
      <c r="W24" s="184"/>
      <c r="X24" s="185" t="str">
        <f>IF(法术书目录!G62&lt;&gt;"QuQ",AD24,"")</f>
        <v/>
      </c>
      <c r="Y24" s="186" t="str">
        <f>IFERROR(VLOOKUP((VLOOKUP(AA24,列表!$B:$T,13,FALSE)),法术书目录!$Q$1:$R$10,2,FALSE),"")</f>
        <v/>
      </c>
      <c r="Z24" s="187" t="str">
        <f>法术书目录!H62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IF(法术书目录!G18&lt;&gt;"QuQ",AC25,"")</f>
        <v/>
      </c>
      <c r="U25" s="182" t="str">
        <f>IFERROR(VLOOKUP((VLOOKUP(W25,列表!$B:$T,13,FALSE)),法术书目录!$Q$1:$R$10,2,FALSE),"")</f>
        <v/>
      </c>
      <c r="V25" s="183" t="str">
        <f>法术书目录!H18</f>
        <v/>
      </c>
      <c r="W25" s="184"/>
      <c r="X25" s="185" t="str">
        <f>IF(法术书目录!G63&lt;&gt;"QuQ",AD25,"")</f>
        <v/>
      </c>
      <c r="Y25" s="186" t="str">
        <f>IFERROR(VLOOKUP((VLOOKUP(AA25,列表!$B:$T,13,FALSE)),法术书目录!$Q$1:$R$10,2,FALSE),"")</f>
        <v/>
      </c>
      <c r="Z25" s="187" t="str">
        <f>法术书目录!H63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IF(法术书目录!G19&lt;&gt;"QuQ",AC26,"")</f>
        <v/>
      </c>
      <c r="U26" s="182" t="str">
        <f>IFERROR(VLOOKUP((VLOOKUP(W26,列表!$B:$T,13,FALSE)),法术书目录!$Q$1:$R$10,2,FALSE),"")</f>
        <v/>
      </c>
      <c r="V26" s="183" t="str">
        <f>法术书目录!H19</f>
        <v/>
      </c>
      <c r="W26" s="184"/>
      <c r="X26" s="185" t="str">
        <f>IF(法术书目录!G64&lt;&gt;"QuQ",AD26,"")</f>
        <v/>
      </c>
      <c r="Y26" s="186" t="str">
        <f>IFERROR(VLOOKUP((VLOOKUP(AA26,列表!$B:$T,13,FALSE)),法术书目录!$Q$1:$R$10,2,FALSE),"")</f>
        <v/>
      </c>
      <c r="Z26" s="187" t="str">
        <f>法术书目录!H64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IF(法术书目录!G20&lt;&gt;"QuQ",AC27,"")</f>
        <v/>
      </c>
      <c r="U27" s="182" t="str">
        <f>IFERROR(VLOOKUP((VLOOKUP(W27,列表!$B:$T,13,FALSE)),法术书目录!$Q$1:$R$10,2,FALSE),"")</f>
        <v/>
      </c>
      <c r="V27" s="183" t="str">
        <f>法术书目录!H20</f>
        <v/>
      </c>
      <c r="W27" s="184"/>
      <c r="X27" s="185" t="str">
        <f>IF(法术书目录!G65&lt;&gt;"QuQ",AD27,"")</f>
        <v/>
      </c>
      <c r="Y27" s="186" t="str">
        <f>IFERROR(VLOOKUP((VLOOKUP(AA27,列表!$B:$T,13,FALSE)),法术书目录!$Q$1:$R$10,2,FALSE),"")</f>
        <v/>
      </c>
      <c r="Z27" s="187" t="str">
        <f>法术书目录!H65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IF(法术书目录!G21&lt;&gt;"QuQ",AC28,"")</f>
        <v/>
      </c>
      <c r="U28" s="182" t="str">
        <f>IFERROR(VLOOKUP((VLOOKUP(W28,列表!$B:$T,13,FALSE)),法术书目录!$Q$1:$R$10,2,FALSE),"")</f>
        <v/>
      </c>
      <c r="V28" s="183" t="str">
        <f>法术书目录!H21</f>
        <v/>
      </c>
      <c r="W28" s="184"/>
      <c r="X28" s="185" t="str">
        <f>IF(法术书目录!G66&lt;&gt;"QuQ",AD28,"")</f>
        <v/>
      </c>
      <c r="Y28" s="186" t="str">
        <f>IFERROR(VLOOKUP((VLOOKUP(AA28,列表!$B:$T,13,FALSE)),法术书目录!$Q$1:$R$10,2,FALSE),"")</f>
        <v/>
      </c>
      <c r="Z28" s="187" t="str">
        <f>法术书目录!H66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IF(法术书目录!G22&lt;&gt;"QuQ",AC29,"")</f>
        <v/>
      </c>
      <c r="U29" s="182" t="str">
        <f>IFERROR(VLOOKUP((VLOOKUP(W29,列表!$B:$T,13,FALSE)),法术书目录!$Q$1:$R$10,2,FALSE),"")</f>
        <v/>
      </c>
      <c r="V29" s="183" t="str">
        <f>法术书目录!H22</f>
        <v/>
      </c>
      <c r="W29" s="184"/>
      <c r="X29" s="185" t="str">
        <f>IF(法术书目录!G67&lt;&gt;"QuQ",AD29,"")</f>
        <v/>
      </c>
      <c r="Y29" s="186" t="str">
        <f>IFERROR(VLOOKUP((VLOOKUP(AA29,列表!$B:$T,13,FALSE)),法术书目录!$Q$1:$R$10,2,FALSE),"")</f>
        <v/>
      </c>
      <c r="Z29" s="187" t="str">
        <f>法术书目录!H67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IF(法术书目录!G23&lt;&gt;"QuQ",AC30,"")</f>
        <v/>
      </c>
      <c r="U30" s="182" t="str">
        <f>IFERROR(VLOOKUP((VLOOKUP(W30,列表!$B:$T,13,FALSE)),法术书目录!$Q$1:$R$10,2,FALSE),"")</f>
        <v/>
      </c>
      <c r="V30" s="183" t="str">
        <f>法术书目录!H23</f>
        <v/>
      </c>
      <c r="W30" s="184"/>
      <c r="X30" s="185" t="str">
        <f>IF(法术书目录!G68&lt;&gt;"QuQ",AD30,"")</f>
        <v/>
      </c>
      <c r="Y30" s="186" t="str">
        <f>IFERROR(VLOOKUP((VLOOKUP(AA30,列表!$B:$T,13,FALSE)),法术书目录!$Q$1:$R$10,2,FALSE),"")</f>
        <v/>
      </c>
      <c r="Z30" s="187" t="str">
        <f>法术书目录!H68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IF(法术书目录!G24&lt;&gt;"QuQ",AC31,"")</f>
        <v/>
      </c>
      <c r="U31" s="182" t="str">
        <f>IFERROR(VLOOKUP((VLOOKUP(W31,列表!$B:$T,13,FALSE)),法术书目录!$Q$1:$R$10,2,FALSE),"")</f>
        <v/>
      </c>
      <c r="V31" s="183" t="str">
        <f>法术书目录!H24</f>
        <v/>
      </c>
      <c r="W31" s="184"/>
      <c r="X31" s="185" t="str">
        <f>IF(法术书目录!G69&lt;&gt;"QuQ",AD31,"")</f>
        <v/>
      </c>
      <c r="Y31" s="186" t="str">
        <f>IFERROR(VLOOKUP((VLOOKUP(AA31,列表!$B:$T,13,FALSE)),法术书目录!$Q$1:$R$10,2,FALSE),"")</f>
        <v/>
      </c>
      <c r="Z31" s="187" t="str">
        <f>法术书目录!H69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IF(法术书目录!G25&lt;&gt;"QuQ",AC32,"")</f>
        <v/>
      </c>
      <c r="U32" s="182" t="str">
        <f>IFERROR(VLOOKUP((VLOOKUP(W32,列表!$B:$T,13,FALSE)),法术书目录!$Q$1:$R$10,2,FALSE),"")</f>
        <v/>
      </c>
      <c r="V32" s="183" t="str">
        <f>法术书目录!H25</f>
        <v/>
      </c>
      <c r="W32" s="184"/>
      <c r="X32" s="185" t="str">
        <f>IF(法术书目录!G70&lt;&gt;"QuQ",AD32,"")</f>
        <v/>
      </c>
      <c r="Y32" s="186" t="str">
        <f>IFERROR(VLOOKUP((VLOOKUP(AA32,列表!$B:$T,13,FALSE)),法术书目录!$Q$1:$R$10,2,FALSE),"")</f>
        <v/>
      </c>
      <c r="Z32" s="187" t="str">
        <f>法术书目录!H70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IF(法术书目录!G26&lt;&gt;"QuQ",AC33,"")</f>
        <v/>
      </c>
      <c r="U33" s="182" t="str">
        <f>IFERROR(VLOOKUP((VLOOKUP(W33,列表!$B:$T,13,FALSE)),法术书目录!$Q$1:$R$10,2,FALSE),"")</f>
        <v/>
      </c>
      <c r="V33" s="183" t="str">
        <f>法术书目录!H26</f>
        <v/>
      </c>
      <c r="W33" s="184"/>
      <c r="X33" s="185" t="str">
        <f>IF(法术书目录!G71&lt;&gt;"QuQ",AD33,"")</f>
        <v/>
      </c>
      <c r="Y33" s="186" t="str">
        <f>IFERROR(VLOOKUP((VLOOKUP(AA33,列表!$B:$T,13,FALSE)),法术书目录!$Q$1:$R$10,2,FALSE),"")</f>
        <v/>
      </c>
      <c r="Z33" s="187" t="str">
        <f>法术书目录!H71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IF(法术书目录!G27&lt;&gt;"QuQ",AC34,"")</f>
        <v/>
      </c>
      <c r="U34" s="182" t="str">
        <f>IFERROR(VLOOKUP((VLOOKUP(W34,列表!$B:$T,13,FALSE)),法术书目录!$Q$1:$R$10,2,FALSE),"")</f>
        <v/>
      </c>
      <c r="V34" s="183" t="str">
        <f>法术书目录!H27</f>
        <v/>
      </c>
      <c r="W34" s="184"/>
      <c r="X34" s="185" t="str">
        <f>IF(法术书目录!G72&lt;&gt;"QuQ",AD34,"")</f>
        <v/>
      </c>
      <c r="Y34" s="186" t="str">
        <f>IFERROR(VLOOKUP((VLOOKUP(AA34,列表!$B:$T,13,FALSE)),法术书目录!$Q$1:$R$10,2,FALSE),"")</f>
        <v/>
      </c>
      <c r="Z34" s="187" t="str">
        <f>法术书目录!H72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IF(法术书目录!G28&lt;&gt;"QuQ",AC35,"")</f>
        <v/>
      </c>
      <c r="U35" s="182" t="str">
        <f>IFERROR(VLOOKUP((VLOOKUP(W35,列表!$B:$T,13,FALSE)),法术书目录!$Q$1:$R$10,2,FALSE),"")</f>
        <v/>
      </c>
      <c r="V35" s="183" t="str">
        <f>法术书目录!H28</f>
        <v/>
      </c>
      <c r="W35" s="184"/>
      <c r="X35" s="185" t="str">
        <f>IF(法术书目录!G73&lt;&gt;"QuQ",AD35,"")</f>
        <v/>
      </c>
      <c r="Y35" s="186" t="str">
        <f>IFERROR(VLOOKUP((VLOOKUP(AA35,列表!$B:$T,13,FALSE)),法术书目录!$Q$1:$R$10,2,FALSE),"")</f>
        <v/>
      </c>
      <c r="Z35" s="187" t="str">
        <f>法术书目录!H73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IF(法术书目录!G29&lt;&gt;"QuQ",AC36,"")</f>
        <v/>
      </c>
      <c r="U36" s="182" t="str">
        <f>IFERROR(VLOOKUP((VLOOKUP(W36,列表!$B:$T,13,FALSE)),法术书目录!$Q$1:$R$10,2,FALSE),"")</f>
        <v/>
      </c>
      <c r="V36" s="183" t="str">
        <f>法术书目录!H29</f>
        <v/>
      </c>
      <c r="W36" s="184"/>
      <c r="X36" s="185" t="str">
        <f>IF(法术书目录!G74&lt;&gt;"QuQ",AD36,"")</f>
        <v/>
      </c>
      <c r="Y36" s="186" t="str">
        <f>IFERROR(VLOOKUP((VLOOKUP(AA36,列表!$B:$T,13,FALSE)),法术书目录!$Q$1:$R$10,2,FALSE),"")</f>
        <v/>
      </c>
      <c r="Z36" s="187" t="str">
        <f>法术书目录!H74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IF(法术书目录!G30&lt;&gt;"QuQ",AC37,"")</f>
        <v/>
      </c>
      <c r="U37" s="182" t="str">
        <f>IFERROR(VLOOKUP((VLOOKUP(W37,列表!$B:$T,13,FALSE)),法术书目录!$Q$1:$R$10,2,FALSE),"")</f>
        <v/>
      </c>
      <c r="V37" s="183" t="str">
        <f>法术书目录!H30</f>
        <v/>
      </c>
      <c r="W37" s="184"/>
      <c r="X37" s="185" t="str">
        <f>IF(法术书目录!G75&lt;&gt;"QuQ",AD37,"")</f>
        <v/>
      </c>
      <c r="Y37" s="186" t="str">
        <f>IFERROR(VLOOKUP((VLOOKUP(AA37,列表!$B:$T,13,FALSE)),法术书目录!$Q$1:$R$10,2,FALSE),"")</f>
        <v/>
      </c>
      <c r="Z37" s="187" t="str">
        <f>法术书目录!H75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IF(法术书目录!G31&lt;&gt;"QuQ",AC38,"")</f>
        <v/>
      </c>
      <c r="U38" s="182" t="str">
        <f>IFERROR(VLOOKUP((VLOOKUP(W38,列表!$B:$T,13,FALSE)),法术书目录!$Q$1:$R$10,2,FALSE),"")</f>
        <v/>
      </c>
      <c r="V38" s="183" t="str">
        <f>法术书目录!H31</f>
        <v/>
      </c>
      <c r="W38" s="184"/>
      <c r="X38" s="185" t="str">
        <f>IF(法术书目录!G76&lt;&gt;"QuQ",AD38,"")</f>
        <v/>
      </c>
      <c r="Y38" s="186" t="str">
        <f>IFERROR(VLOOKUP((VLOOKUP(AA38,列表!$B:$T,13,FALSE)),法术书目录!$Q$1:$R$10,2,FALSE),"")</f>
        <v/>
      </c>
      <c r="Z38" s="187" t="str">
        <f>法术书目录!H76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IF(法术书目录!G32&lt;&gt;"QuQ",AC39,"")</f>
        <v/>
      </c>
      <c r="U39" s="182" t="str">
        <f>IFERROR(VLOOKUP((VLOOKUP(W39,列表!$B:$T,13,FALSE)),法术书目录!$Q$1:$R$10,2,FALSE),"")</f>
        <v/>
      </c>
      <c r="V39" s="183" t="str">
        <f>法术书目录!H32</f>
        <v/>
      </c>
      <c r="W39" s="184"/>
      <c r="X39" s="185" t="str">
        <f>IF(法术书目录!G77&lt;&gt;"QuQ",AD39,"")</f>
        <v/>
      </c>
      <c r="Y39" s="186" t="str">
        <f>IFERROR(VLOOKUP((VLOOKUP(AA39,列表!$B:$T,13,FALSE)),法术书目录!$Q$1:$R$10,2,FALSE),"")</f>
        <v/>
      </c>
      <c r="Z39" s="187" t="str">
        <f>法术书目录!H77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IF(法术书目录!G33&lt;&gt;"QuQ",AC40,"")</f>
        <v/>
      </c>
      <c r="U40" s="182" t="str">
        <f>IFERROR(VLOOKUP((VLOOKUP(W40,列表!$B:$T,13,FALSE)),法术书目录!$Q$1:$R$10,2,FALSE),"")</f>
        <v/>
      </c>
      <c r="V40" s="183" t="str">
        <f>法术书目录!H33</f>
        <v/>
      </c>
      <c r="W40" s="184"/>
      <c r="X40" s="185" t="str">
        <f>IF(法术书目录!G78&lt;&gt;"QuQ",AD40,"")</f>
        <v/>
      </c>
      <c r="Y40" s="186" t="str">
        <f>IFERROR(VLOOKUP((VLOOKUP(AA40,列表!$B:$T,13,FALSE)),法术书目录!$Q$1:$R$10,2,FALSE),"")</f>
        <v/>
      </c>
      <c r="Z40" s="187" t="str">
        <f>法术书目录!H78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IF(法术书目录!G34&lt;&gt;"QuQ",AC41,"")</f>
        <v/>
      </c>
      <c r="U41" s="182" t="str">
        <f>IFERROR(VLOOKUP((VLOOKUP(W41,列表!$B:$T,13,FALSE)),法术书目录!$Q$1:$R$10,2,FALSE),"")</f>
        <v/>
      </c>
      <c r="V41" s="183" t="str">
        <f>法术书目录!H34</f>
        <v/>
      </c>
      <c r="W41" s="184"/>
      <c r="X41" s="185" t="str">
        <f>IF(法术书目录!G79&lt;&gt;"QuQ",AD41,"")</f>
        <v/>
      </c>
      <c r="Y41" s="186" t="str">
        <f>IFERROR(VLOOKUP((VLOOKUP(AA41,列表!$B:$T,13,FALSE)),法术书目录!$Q$1:$R$10,2,FALSE),"")</f>
        <v/>
      </c>
      <c r="Z41" s="187" t="str">
        <f>法术书目录!H79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IF(法术书目录!G35&lt;&gt;"QuQ",AC42,"")</f>
        <v/>
      </c>
      <c r="U42" s="182" t="str">
        <f>IFERROR(VLOOKUP((VLOOKUP(W42,列表!$B:$T,13,FALSE)),法术书目录!$Q$1:$R$10,2,FALSE),"")</f>
        <v/>
      </c>
      <c r="V42" s="183" t="str">
        <f>法术书目录!H35</f>
        <v/>
      </c>
      <c r="W42" s="184"/>
      <c r="X42" s="185" t="str">
        <f>IF(法术书目录!G80&lt;&gt;"QuQ",AD42,"")</f>
        <v/>
      </c>
      <c r="Y42" s="186" t="str">
        <f>IFERROR(VLOOKUP((VLOOKUP(AA42,列表!$B:$T,13,FALSE)),法术书目录!$Q$1:$R$10,2,FALSE),"")</f>
        <v/>
      </c>
      <c r="Z42" s="187" t="str">
        <f>法术书目录!H80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IF(法术书目录!G36&lt;&gt;"QuQ",AC43,"")</f>
        <v/>
      </c>
      <c r="U43" s="182" t="str">
        <f>IFERROR(VLOOKUP((VLOOKUP(W43,列表!$B:$T,13,FALSE)),法术书目录!$Q$1:$R$10,2,FALSE),"")</f>
        <v/>
      </c>
      <c r="V43" s="183" t="str">
        <f>法术书目录!H36</f>
        <v/>
      </c>
      <c r="W43" s="184"/>
      <c r="X43" s="185" t="str">
        <f>IF(法术书目录!G81&lt;&gt;"QuQ",AD43,"")</f>
        <v/>
      </c>
      <c r="Y43" s="186" t="str">
        <f>IFERROR(VLOOKUP((VLOOKUP(AA43,列表!$B:$T,13,FALSE)),法术书目录!$Q$1:$R$10,2,FALSE),"")</f>
        <v/>
      </c>
      <c r="Z43" s="187" t="str">
        <f>法术书目录!H81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IF(法术书目录!G37&lt;&gt;"QuQ",AC44,"")</f>
        <v/>
      </c>
      <c r="U44" s="182" t="str">
        <f>IFERROR(VLOOKUP((VLOOKUP(W44,列表!$B:$T,13,FALSE)),法术书目录!$Q$1:$R$10,2,FALSE),"")</f>
        <v/>
      </c>
      <c r="V44" s="183" t="str">
        <f>法术书目录!H37</f>
        <v/>
      </c>
      <c r="W44" s="184"/>
      <c r="X44" s="185" t="str">
        <f>IF(法术书目录!G82&lt;&gt;"QuQ",AD44,"")</f>
        <v/>
      </c>
      <c r="Y44" s="186" t="str">
        <f>IFERROR(VLOOKUP((VLOOKUP(AA44,列表!$B:$T,13,FALSE)),法术书目录!$Q$1:$R$10,2,FALSE),"")</f>
        <v/>
      </c>
      <c r="Z44" s="187" t="str">
        <f>法术书目录!H82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IF(法术书目录!G38&lt;&gt;"QuQ",AC45,"")</f>
        <v/>
      </c>
      <c r="U45" s="182" t="str">
        <f>IFERROR(VLOOKUP((VLOOKUP(W45,列表!$B:$T,13,FALSE)),法术书目录!$Q$1:$R$10,2,FALSE),"")</f>
        <v/>
      </c>
      <c r="V45" s="183" t="str">
        <f>法术书目录!H38</f>
        <v/>
      </c>
      <c r="W45" s="184"/>
      <c r="X45" s="185" t="str">
        <f>IF(法术书目录!G83&lt;&gt;"QuQ",AD45,"")</f>
        <v/>
      </c>
      <c r="Y45" s="186" t="str">
        <f>IFERROR(VLOOKUP((VLOOKUP(AA45,列表!$B:$T,13,FALSE)),法术书目录!$Q$1:$R$10,2,FALSE),"")</f>
        <v/>
      </c>
      <c r="Z45" s="187" t="str">
        <f>法术书目录!H83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IF(法术书目录!G39&lt;&gt;"QuQ",AC46,"")</f>
        <v/>
      </c>
      <c r="U46" s="182" t="str">
        <f>IFERROR(VLOOKUP((VLOOKUP(W46,列表!$B:$T,13,FALSE)),法术书目录!$Q$1:$R$10,2,FALSE),"")</f>
        <v/>
      </c>
      <c r="V46" s="183" t="str">
        <f>法术书目录!H39</f>
        <v/>
      </c>
      <c r="W46" s="184"/>
      <c r="X46" s="185" t="str">
        <f>IF(法术书目录!G84&lt;&gt;"QuQ",AD46,"")</f>
        <v/>
      </c>
      <c r="Y46" s="186" t="str">
        <f>IFERROR(VLOOKUP((VLOOKUP(AA46,列表!$B:$T,13,FALSE)),法术书目录!$Q$1:$R$10,2,FALSE),"")</f>
        <v/>
      </c>
      <c r="Z46" s="187" t="str">
        <f>法术书目录!H84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IF(法术书目录!G40&lt;&gt;"QuQ",AC47,"")</f>
        <v/>
      </c>
      <c r="U47" s="182" t="str">
        <f>IFERROR(VLOOKUP((VLOOKUP(W47,列表!$B:$T,13,FALSE)),法术书目录!$Q$1:$R$10,2,FALSE),"")</f>
        <v/>
      </c>
      <c r="V47" s="183" t="str">
        <f>法术书目录!H40</f>
        <v/>
      </c>
      <c r="W47" s="184"/>
      <c r="X47" s="185" t="str">
        <f>IF(法术书目录!G85&lt;&gt;"QuQ",AD47,"")</f>
        <v/>
      </c>
      <c r="Y47" s="186" t="str">
        <f>IFERROR(VLOOKUP((VLOOKUP(AA47,列表!$B:$T,13,FALSE)),法术书目录!$Q$1:$R$10,2,FALSE),"")</f>
        <v/>
      </c>
      <c r="Z47" s="187" t="str">
        <f>法术书目录!H85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IF(法术书目录!G41&lt;&gt;"QuQ",AC48,"")</f>
        <v/>
      </c>
      <c r="U48" s="182" t="str">
        <f>IFERROR(VLOOKUP((VLOOKUP(W48,列表!$B:$T,13,FALSE)),法术书目录!$Q$1:$R$10,2,FALSE),"")</f>
        <v/>
      </c>
      <c r="V48" s="183" t="str">
        <f>法术书目录!H41</f>
        <v/>
      </c>
      <c r="W48" s="184"/>
      <c r="X48" s="185" t="str">
        <f>IF(法术书目录!G86&lt;&gt;"QuQ",AD48,"")</f>
        <v/>
      </c>
      <c r="Y48" s="186" t="str">
        <f>IFERROR(VLOOKUP((VLOOKUP(AA48,列表!$B:$T,13,FALSE)),法术书目录!$Q$1:$R$10,2,FALSE),"")</f>
        <v/>
      </c>
      <c r="Z48" s="187" t="str">
        <f>法术书目录!H86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IF(法术书目录!G42&lt;&gt;"QuQ",AC49,"")</f>
        <v/>
      </c>
      <c r="U49" s="182" t="str">
        <f>IFERROR(VLOOKUP((VLOOKUP(W49,列表!$B:$T,13,FALSE)),法术书目录!$Q$1:$R$10,2,FALSE),"")</f>
        <v/>
      </c>
      <c r="V49" s="183" t="str">
        <f>法术书目录!H42</f>
        <v/>
      </c>
      <c r="W49" s="184"/>
      <c r="X49" s="185" t="str">
        <f>IF(法术书目录!G87&lt;&gt;"QuQ",AD49,"")</f>
        <v/>
      </c>
      <c r="Y49" s="186" t="str">
        <f>IFERROR(VLOOKUP((VLOOKUP(AA49,列表!$B:$T,13,FALSE)),法术书目录!$Q$1:$R$10,2,FALSE),"")</f>
        <v/>
      </c>
      <c r="Z49" s="187" t="str">
        <f>法术书目录!H87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IF(法术书目录!G43&lt;&gt;"QuQ",AC50,"")</f>
        <v/>
      </c>
      <c r="U50" s="182" t="str">
        <f>IFERROR(VLOOKUP((VLOOKUP(W50,列表!$B:$T,13,FALSE)),法术书目录!$Q$1:$R$10,2,FALSE),"")</f>
        <v/>
      </c>
      <c r="V50" s="183" t="str">
        <f>法术书目录!H43</f>
        <v/>
      </c>
      <c r="W50" s="184"/>
      <c r="X50" s="185" t="str">
        <f>IF(法术书目录!G88&lt;&gt;"QuQ",AD50,"")</f>
        <v/>
      </c>
      <c r="Y50" s="186" t="str">
        <f>IFERROR(VLOOKUP((VLOOKUP(AA50,列表!$B:$T,13,FALSE)),法术书目录!$Q$1:$R$10,2,FALSE),"")</f>
        <v/>
      </c>
      <c r="Z50" s="187" t="str">
        <f>法术书目录!H88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IF(法术书目录!G44&lt;&gt;"QuQ",AC51,"")</f>
        <v/>
      </c>
      <c r="U51" s="182" t="str">
        <f>IFERROR(VLOOKUP((VLOOKUP(W51,列表!$B:$T,13,FALSE)),法术书目录!$Q$1:$R$10,2,FALSE),"")</f>
        <v/>
      </c>
      <c r="V51" s="183" t="str">
        <f>法术书目录!H44</f>
        <v/>
      </c>
      <c r="W51" s="184"/>
      <c r="X51" s="185" t="str">
        <f>IF(法术书目录!G89&lt;&gt;"QuQ",AD51,"")</f>
        <v/>
      </c>
      <c r="Y51" s="186" t="str">
        <f>IFERROR(VLOOKUP((VLOOKUP(AA51,列表!$B:$T,13,FALSE)),法术书目录!$Q$1:$R$10,2,FALSE),"")</f>
        <v/>
      </c>
      <c r="Z51" s="187" t="str">
        <f>法术书目录!H89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IF(法术书目录!G45&lt;&gt;"QuQ",AC52,"")</f>
        <v/>
      </c>
      <c r="U52" s="182" t="str">
        <f>IFERROR(VLOOKUP((VLOOKUP(W52,列表!$B:$T,13,FALSE)),法术书目录!$Q$1:$R$10,2,FALSE),"")</f>
        <v/>
      </c>
      <c r="V52" s="183" t="str">
        <f>法术书目录!H45</f>
        <v/>
      </c>
      <c r="W52" s="184"/>
      <c r="X52" s="185" t="str">
        <f>IF(法术书目录!G90&lt;&gt;"QuQ",AD52,"")</f>
        <v/>
      </c>
      <c r="Y52" s="186" t="str">
        <f>IFERROR(VLOOKUP((VLOOKUP(AA52,列表!$B:$T,13,FALSE)),法术书目录!$Q$1:$R$10,2,FALSE),"")</f>
        <v/>
      </c>
      <c r="Z52" s="187" t="str">
        <f>法术书目录!H90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W52">
    <cfRule type="expression" dxfId="8" priority="4">
      <formula>T8=法术书目录!$O$2</formula>
    </cfRule>
  </conditionalFormatting>
  <conditionalFormatting sqref="AA8:AA52">
    <cfRule type="expression" dxfId="8" priority="3">
      <formula>X8=法术书目录!$O$2</formula>
    </cfRule>
  </conditionalFormatting>
  <conditionalFormatting sqref="Z8:Z52 V8:V52">
    <cfRule type="cellIs" dxfId="9" priority="1" operator="equal">
      <formula>"!"</formula>
    </cfRule>
  </conditionalFormatting>
  <conditionalFormatting sqref="W8:W52 AA8:AA52">
    <cfRule type="duplicateValues" dxfId="6" priority="2"/>
  </conditionalFormatting>
  <dataValidations count="2">
    <dataValidation type="list" allowBlank="1" showInputMessage="1" showErrorMessage="1" sqref="W8:W52 AA8:AA52">
      <formula1>列表!$B$3:$B$600</formula1>
    </dataValidation>
    <dataValidation type="list" allowBlank="1" showInputMessage="1" showErrorMessage="1" sqref="AA5:AA6">
      <formula1>法术书目录!$F$1:$F$90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6145"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1240</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IFERROR(VLOOKUP(法术书目录!$O$3,法术书目录!$I:$K,2,FALSE),"空白标签")</f>
        <v/>
      </c>
      <c r="X5" s="169" t="s">
        <v>1241</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1242</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IF(法术书目录!K1&lt;&gt;"QuQ",AC8,"")</f>
        <v/>
      </c>
      <c r="U8" s="182" t="str">
        <f>IFERROR(VLOOKUP((VLOOKUP(W8,列表!$B:$T,13,FALSE)),法术书目录!$Q$1:$R$10,2,FALSE),"")</f>
        <v/>
      </c>
      <c r="V8" s="183" t="str">
        <f>法术书目录!L1</f>
        <v/>
      </c>
      <c r="W8" s="184"/>
      <c r="X8" s="185" t="str">
        <f>IF(法术书目录!K46&lt;&gt;"QuQ",AD8,"")</f>
        <v/>
      </c>
      <c r="Y8" s="186" t="str">
        <f>IFERROR(VLOOKUP((VLOOKUP(AA8,列表!$B:$T,13,FALSE)),法术书目录!$Q$1:$R$10,2,FALSE),"")</f>
        <v/>
      </c>
      <c r="Z8" s="187" t="str">
        <f>法术书目录!L46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IF(法术书目录!K2&lt;&gt;"QuQ",AC9,"")</f>
        <v/>
      </c>
      <c r="U9" s="182" t="str">
        <f>IFERROR(VLOOKUP((VLOOKUP(W9,列表!$B:$T,13,FALSE)),法术书目录!$Q$1:$R$10,2,FALSE),"")</f>
        <v/>
      </c>
      <c r="V9" s="183" t="str">
        <f>法术书目录!L2</f>
        <v/>
      </c>
      <c r="W9" s="184"/>
      <c r="X9" s="185" t="str">
        <f>IF(法术书目录!K47&lt;&gt;"QuQ",AD9,"")</f>
        <v/>
      </c>
      <c r="Y9" s="186" t="str">
        <f>IFERROR(VLOOKUP((VLOOKUP(AA9,列表!$B:$T,13,FALSE)),法术书目录!$Q$1:$R$10,2,FALSE),"")</f>
        <v/>
      </c>
      <c r="Z9" s="187" t="str">
        <f>法术书目录!L47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IF(法术书目录!K3&lt;&gt;"QuQ",AC10,"")</f>
        <v/>
      </c>
      <c r="U10" s="182" t="str">
        <f>IFERROR(VLOOKUP((VLOOKUP(W10,列表!$B:$T,13,FALSE)),法术书目录!$Q$1:$R$10,2,FALSE),"")</f>
        <v/>
      </c>
      <c r="V10" s="183" t="str">
        <f>法术书目录!L3</f>
        <v/>
      </c>
      <c r="W10" s="184"/>
      <c r="X10" s="185" t="str">
        <f>IF(法术书目录!K48&lt;&gt;"QuQ",AD10,"")</f>
        <v/>
      </c>
      <c r="Y10" s="186" t="str">
        <f>IFERROR(VLOOKUP((VLOOKUP(AA10,列表!$B:$T,13,FALSE)),法术书目录!$Q$1:$R$10,2,FALSE),"")</f>
        <v/>
      </c>
      <c r="Z10" s="187" t="str">
        <f>法术书目录!L48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IF(法术书目录!K4&lt;&gt;"QuQ",AC11,"")</f>
        <v/>
      </c>
      <c r="U11" s="182" t="str">
        <f>IFERROR(VLOOKUP((VLOOKUP(W11,列表!$B:$T,13,FALSE)),法术书目录!$Q$1:$R$10,2,FALSE),"")</f>
        <v/>
      </c>
      <c r="V11" s="183" t="str">
        <f>法术书目录!L4</f>
        <v/>
      </c>
      <c r="W11" s="184"/>
      <c r="X11" s="185" t="str">
        <f>IF(法术书目录!K49&lt;&gt;"QuQ",AD11,"")</f>
        <v/>
      </c>
      <c r="Y11" s="186" t="str">
        <f>IFERROR(VLOOKUP((VLOOKUP(AA11,列表!$B:$T,13,FALSE)),法术书目录!$Q$1:$R$10,2,FALSE),"")</f>
        <v/>
      </c>
      <c r="Z11" s="187" t="str">
        <f>法术书目录!L49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IF(法术书目录!K5&lt;&gt;"QuQ",AC12,"")</f>
        <v/>
      </c>
      <c r="U12" s="182" t="str">
        <f>IFERROR(VLOOKUP((VLOOKUP(W12,列表!$B:$T,13,FALSE)),法术书目录!$Q$1:$R$10,2,FALSE),"")</f>
        <v/>
      </c>
      <c r="V12" s="183" t="str">
        <f>法术书目录!L5</f>
        <v/>
      </c>
      <c r="W12" s="184"/>
      <c r="X12" s="185" t="str">
        <f>IF(法术书目录!K50&lt;&gt;"QuQ",AD12,"")</f>
        <v/>
      </c>
      <c r="Y12" s="186" t="str">
        <f>IFERROR(VLOOKUP((VLOOKUP(AA12,列表!$B:$T,13,FALSE)),法术书目录!$Q$1:$R$10,2,FALSE),"")</f>
        <v/>
      </c>
      <c r="Z12" s="187" t="str">
        <f>法术书目录!L50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IF(法术书目录!K6&lt;&gt;"QuQ",AC13,"")</f>
        <v/>
      </c>
      <c r="U13" s="182" t="str">
        <f>IFERROR(VLOOKUP((VLOOKUP(W13,列表!$B:$T,13,FALSE)),法术书目录!$Q$1:$R$10,2,FALSE),"")</f>
        <v/>
      </c>
      <c r="V13" s="183" t="str">
        <f>法术书目录!L6</f>
        <v/>
      </c>
      <c r="W13" s="184"/>
      <c r="X13" s="185" t="str">
        <f>IF(法术书目录!K51&lt;&gt;"QuQ",AD13,"")</f>
        <v/>
      </c>
      <c r="Y13" s="186" t="str">
        <f>IFERROR(VLOOKUP((VLOOKUP(AA13,列表!$B:$T,13,FALSE)),法术书目录!$Q$1:$R$10,2,FALSE),"")</f>
        <v/>
      </c>
      <c r="Z13" s="187" t="str">
        <f>法术书目录!L51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IF(法术书目录!K7&lt;&gt;"QuQ",AC14,"")</f>
        <v/>
      </c>
      <c r="U14" s="182" t="str">
        <f>IFERROR(VLOOKUP((VLOOKUP(W14,列表!$B:$T,13,FALSE)),法术书目录!$Q$1:$R$10,2,FALSE),"")</f>
        <v/>
      </c>
      <c r="V14" s="183" t="str">
        <f>法术书目录!L7</f>
        <v/>
      </c>
      <c r="W14" s="184"/>
      <c r="X14" s="185" t="str">
        <f>IF(法术书目录!K52&lt;&gt;"QuQ",AD14,"")</f>
        <v/>
      </c>
      <c r="Y14" s="186" t="str">
        <f>IFERROR(VLOOKUP((VLOOKUP(AA14,列表!$B:$T,13,FALSE)),法术书目录!$Q$1:$R$10,2,FALSE),"")</f>
        <v/>
      </c>
      <c r="Z14" s="187" t="str">
        <f>法术书目录!L52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IF(法术书目录!K8&lt;&gt;"QuQ",AC15,"")</f>
        <v/>
      </c>
      <c r="U15" s="182" t="str">
        <f>IFERROR(VLOOKUP((VLOOKUP(W15,列表!$B:$T,13,FALSE)),法术书目录!$Q$1:$R$10,2,FALSE),"")</f>
        <v/>
      </c>
      <c r="V15" s="183" t="str">
        <f>法术书目录!L8</f>
        <v/>
      </c>
      <c r="W15" s="184"/>
      <c r="X15" s="185" t="str">
        <f>IF(法术书目录!K53&lt;&gt;"QuQ",AD15,"")</f>
        <v/>
      </c>
      <c r="Y15" s="186" t="str">
        <f>IFERROR(VLOOKUP((VLOOKUP(AA15,列表!$B:$T,13,FALSE)),法术书目录!$Q$1:$R$10,2,FALSE),"")</f>
        <v/>
      </c>
      <c r="Z15" s="187" t="str">
        <f>法术书目录!L53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IF(法术书目录!K9&lt;&gt;"QuQ",AC16,"")</f>
        <v/>
      </c>
      <c r="U16" s="182" t="str">
        <f>IFERROR(VLOOKUP((VLOOKUP(W16,列表!$B:$T,13,FALSE)),法术书目录!$Q$1:$R$10,2,FALSE),"")</f>
        <v/>
      </c>
      <c r="V16" s="183" t="str">
        <f>法术书目录!L9</f>
        <v/>
      </c>
      <c r="W16" s="184"/>
      <c r="X16" s="185" t="str">
        <f>IF(法术书目录!K54&lt;&gt;"QuQ",AD16,"")</f>
        <v/>
      </c>
      <c r="Y16" s="186" t="str">
        <f>IFERROR(VLOOKUP((VLOOKUP(AA16,列表!$B:$T,13,FALSE)),法术书目录!$Q$1:$R$10,2,FALSE),"")</f>
        <v/>
      </c>
      <c r="Z16" s="187" t="str">
        <f>法术书目录!L54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IF(法术书目录!K10&lt;&gt;"QuQ",AC17,"")</f>
        <v/>
      </c>
      <c r="U17" s="182" t="str">
        <f>IFERROR(VLOOKUP((VLOOKUP(W17,列表!$B:$T,13,FALSE)),法术书目录!$Q$1:$R$10,2,FALSE),"")</f>
        <v/>
      </c>
      <c r="V17" s="183" t="str">
        <f>法术书目录!L10</f>
        <v/>
      </c>
      <c r="W17" s="184"/>
      <c r="X17" s="185" t="str">
        <f>IF(法术书目录!K55&lt;&gt;"QuQ",AD17,"")</f>
        <v/>
      </c>
      <c r="Y17" s="186" t="str">
        <f>IFERROR(VLOOKUP((VLOOKUP(AA17,列表!$B:$T,13,FALSE)),法术书目录!$Q$1:$R$10,2,FALSE),"")</f>
        <v/>
      </c>
      <c r="Z17" s="187" t="str">
        <f>法术书目录!L55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IF(法术书目录!K11&lt;&gt;"QuQ",AC18,"")</f>
        <v/>
      </c>
      <c r="U18" s="182" t="str">
        <f>IFERROR(VLOOKUP((VLOOKUP(W18,列表!$B:$T,13,FALSE)),法术书目录!$Q$1:$R$10,2,FALSE),"")</f>
        <v/>
      </c>
      <c r="V18" s="183" t="str">
        <f>法术书目录!L11</f>
        <v/>
      </c>
      <c r="W18" s="184"/>
      <c r="X18" s="185" t="str">
        <f>IF(法术书目录!K56&lt;&gt;"QuQ",AD18,"")</f>
        <v/>
      </c>
      <c r="Y18" s="186" t="str">
        <f>IFERROR(VLOOKUP((VLOOKUP(AA18,列表!$B:$T,13,FALSE)),法术书目录!$Q$1:$R$10,2,FALSE),"")</f>
        <v/>
      </c>
      <c r="Z18" s="187" t="str">
        <f>法术书目录!L56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IF(法术书目录!K12&lt;&gt;"QuQ",AC19,"")</f>
        <v/>
      </c>
      <c r="U19" s="182" t="str">
        <f>IFERROR(VLOOKUP((VLOOKUP(W19,列表!$B:$T,13,FALSE)),法术书目录!$Q$1:$R$10,2,FALSE),"")</f>
        <v/>
      </c>
      <c r="V19" s="183" t="str">
        <f>法术书目录!L12</f>
        <v/>
      </c>
      <c r="W19" s="184"/>
      <c r="X19" s="185" t="str">
        <f>IF(法术书目录!K57&lt;&gt;"QuQ",AD19,"")</f>
        <v/>
      </c>
      <c r="Y19" s="186" t="str">
        <f>IFERROR(VLOOKUP((VLOOKUP(AA19,列表!$B:$T,13,FALSE)),法术书目录!$Q$1:$R$10,2,FALSE),"")</f>
        <v/>
      </c>
      <c r="Z19" s="187" t="str">
        <f>法术书目录!L57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IF(法术书目录!K13&lt;&gt;"QuQ",AC20,"")</f>
        <v/>
      </c>
      <c r="U20" s="182" t="str">
        <f>IFERROR(VLOOKUP((VLOOKUP(W20,列表!$B:$T,13,FALSE)),法术书目录!$Q$1:$R$10,2,FALSE),"")</f>
        <v/>
      </c>
      <c r="V20" s="183" t="str">
        <f>法术书目录!L13</f>
        <v/>
      </c>
      <c r="W20" s="184"/>
      <c r="X20" s="185" t="str">
        <f>IF(法术书目录!K58&lt;&gt;"QuQ",AD20,"")</f>
        <v/>
      </c>
      <c r="Y20" s="186" t="str">
        <f>IFERROR(VLOOKUP((VLOOKUP(AA20,列表!$B:$T,13,FALSE)),法术书目录!$Q$1:$R$10,2,FALSE),"")</f>
        <v/>
      </c>
      <c r="Z20" s="187" t="str">
        <f>法术书目录!L58</f>
        <v/>
      </c>
      <c r="AA20" s="184"/>
      <c r="AC20" s="188">
        <v>13</v>
      </c>
      <c r="AD20" s="188">
        <v>58</v>
      </c>
    </row>
    <row r="21" ht="17.5" customHeight="1" spans="2:30">
      <c r="B21" s="159"/>
      <c r="S21" s="161"/>
      <c r="T21" s="181" t="str">
        <f>IF(法术书目录!K14&lt;&gt;"QuQ",AC21,"")</f>
        <v/>
      </c>
      <c r="U21" s="182" t="str">
        <f>IFERROR(VLOOKUP((VLOOKUP(W21,列表!$B:$T,13,FALSE)),法术书目录!$Q$1:$R$10,2,FALSE),"")</f>
        <v/>
      </c>
      <c r="V21" s="183" t="str">
        <f>法术书目录!L14</f>
        <v/>
      </c>
      <c r="W21" s="184"/>
      <c r="X21" s="185" t="str">
        <f>IF(法术书目录!K59&lt;&gt;"QuQ",AD21,"")</f>
        <v/>
      </c>
      <c r="Y21" s="186" t="str">
        <f>IFERROR(VLOOKUP((VLOOKUP(AA21,列表!$B:$T,13,FALSE)),法术书目录!$Q$1:$R$10,2,FALSE),"")</f>
        <v/>
      </c>
      <c r="Z21" s="187" t="str">
        <f>法术书目录!L59</f>
        <v/>
      </c>
      <c r="AA21" s="184"/>
      <c r="AC21" s="188">
        <v>14</v>
      </c>
      <c r="AD21" s="188">
        <v>59</v>
      </c>
    </row>
    <row r="22" ht="17.5" customHeight="1" spans="2:30">
      <c r="B22" s="159"/>
      <c r="C22" s="178" t="str">
        <f>IF(C23&lt;&gt;"","法术说明","")</f>
        <v/>
      </c>
      <c r="D22" s="179"/>
      <c r="E22" s="179"/>
      <c r="F22" s="180"/>
      <c r="S22" s="161"/>
      <c r="T22" s="181" t="str">
        <f>IF(法术书目录!K15&lt;&gt;"QuQ",AC22,"")</f>
        <v/>
      </c>
      <c r="U22" s="182" t="str">
        <f>IFERROR(VLOOKUP((VLOOKUP(W22,列表!$B:$T,13,FALSE)),法术书目录!$Q$1:$R$10,2,FALSE),"")</f>
        <v/>
      </c>
      <c r="V22" s="183" t="str">
        <f>法术书目录!L15</f>
        <v/>
      </c>
      <c r="W22" s="184"/>
      <c r="X22" s="185" t="str">
        <f>IF(法术书目录!K60&lt;&gt;"QuQ",AD22,"")</f>
        <v/>
      </c>
      <c r="Y22" s="186" t="str">
        <f>IFERROR(VLOOKUP((VLOOKUP(AA22,列表!$B:$T,13,FALSE)),法术书目录!$Q$1:$R$10,2,FALSE),"")</f>
        <v/>
      </c>
      <c r="Z22" s="187" t="str">
        <f>法术书目录!L60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IF(法术书目录!K16&lt;&gt;"QuQ",AC23,"")</f>
        <v/>
      </c>
      <c r="U23" s="182" t="str">
        <f>IFERROR(VLOOKUP((VLOOKUP(W23,列表!$B:$T,13,FALSE)),法术书目录!$Q$1:$R$10,2,FALSE),"")</f>
        <v/>
      </c>
      <c r="V23" s="183" t="str">
        <f>法术书目录!L16</f>
        <v/>
      </c>
      <c r="W23" s="184"/>
      <c r="X23" s="185" t="str">
        <f>IF(法术书目录!K61&lt;&gt;"QuQ",AD23,"")</f>
        <v/>
      </c>
      <c r="Y23" s="186" t="str">
        <f>IFERROR(VLOOKUP((VLOOKUP(AA23,列表!$B:$T,13,FALSE)),法术书目录!$Q$1:$R$10,2,FALSE),"")</f>
        <v/>
      </c>
      <c r="Z23" s="187" t="str">
        <f>法术书目录!L61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IF(法术书目录!K17&lt;&gt;"QuQ",AC24,"")</f>
        <v/>
      </c>
      <c r="U24" s="182" t="str">
        <f>IFERROR(VLOOKUP((VLOOKUP(W24,列表!$B:$T,13,FALSE)),法术书目录!$Q$1:$R$10,2,FALSE),"")</f>
        <v/>
      </c>
      <c r="V24" s="183" t="str">
        <f>法术书目录!L17</f>
        <v/>
      </c>
      <c r="W24" s="184"/>
      <c r="X24" s="185" t="str">
        <f>IF(法术书目录!K62&lt;&gt;"QuQ",AD24,"")</f>
        <v/>
      </c>
      <c r="Y24" s="186" t="str">
        <f>IFERROR(VLOOKUP((VLOOKUP(AA24,列表!$B:$T,13,FALSE)),法术书目录!$Q$1:$R$10,2,FALSE),"")</f>
        <v/>
      </c>
      <c r="Z24" s="187" t="str">
        <f>法术书目录!L62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IF(法术书目录!K18&lt;&gt;"QuQ",AC25,"")</f>
        <v/>
      </c>
      <c r="U25" s="182" t="str">
        <f>IFERROR(VLOOKUP((VLOOKUP(W25,列表!$B:$T,13,FALSE)),法术书目录!$Q$1:$R$10,2,FALSE),"")</f>
        <v/>
      </c>
      <c r="V25" s="183" t="str">
        <f>法术书目录!L18</f>
        <v/>
      </c>
      <c r="W25" s="184"/>
      <c r="X25" s="185" t="str">
        <f>IF(法术书目录!K63&lt;&gt;"QuQ",AD25,"")</f>
        <v/>
      </c>
      <c r="Y25" s="186" t="str">
        <f>IFERROR(VLOOKUP((VLOOKUP(AA25,列表!$B:$T,13,FALSE)),法术书目录!$Q$1:$R$10,2,FALSE),"")</f>
        <v/>
      </c>
      <c r="Z25" s="187" t="str">
        <f>法术书目录!L63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IF(法术书目录!K19&lt;&gt;"QuQ",AC26,"")</f>
        <v/>
      </c>
      <c r="U26" s="182" t="str">
        <f>IFERROR(VLOOKUP((VLOOKUP(W26,列表!$B:$T,13,FALSE)),法术书目录!$Q$1:$R$10,2,FALSE),"")</f>
        <v/>
      </c>
      <c r="V26" s="183" t="str">
        <f>法术书目录!L19</f>
        <v/>
      </c>
      <c r="W26" s="184"/>
      <c r="X26" s="185" t="str">
        <f>IF(法术书目录!K64&lt;&gt;"QuQ",AD26,"")</f>
        <v/>
      </c>
      <c r="Y26" s="186" t="str">
        <f>IFERROR(VLOOKUP((VLOOKUP(AA26,列表!$B:$T,13,FALSE)),法术书目录!$Q$1:$R$10,2,FALSE),"")</f>
        <v/>
      </c>
      <c r="Z26" s="187" t="str">
        <f>法术书目录!L64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IF(法术书目录!K20&lt;&gt;"QuQ",AC27,"")</f>
        <v/>
      </c>
      <c r="U27" s="182" t="str">
        <f>IFERROR(VLOOKUP((VLOOKUP(W27,列表!$B:$T,13,FALSE)),法术书目录!$Q$1:$R$10,2,FALSE),"")</f>
        <v/>
      </c>
      <c r="V27" s="183" t="str">
        <f>法术书目录!L20</f>
        <v/>
      </c>
      <c r="W27" s="184"/>
      <c r="X27" s="185" t="str">
        <f>IF(法术书目录!K65&lt;&gt;"QuQ",AD27,"")</f>
        <v/>
      </c>
      <c r="Y27" s="186" t="str">
        <f>IFERROR(VLOOKUP((VLOOKUP(AA27,列表!$B:$T,13,FALSE)),法术书目录!$Q$1:$R$10,2,FALSE),"")</f>
        <v/>
      </c>
      <c r="Z27" s="187" t="str">
        <f>法术书目录!L65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IF(法术书目录!K21&lt;&gt;"QuQ",AC28,"")</f>
        <v/>
      </c>
      <c r="U28" s="182" t="str">
        <f>IFERROR(VLOOKUP((VLOOKUP(W28,列表!$B:$T,13,FALSE)),法术书目录!$Q$1:$R$10,2,FALSE),"")</f>
        <v/>
      </c>
      <c r="V28" s="183" t="str">
        <f>法术书目录!L21</f>
        <v/>
      </c>
      <c r="W28" s="184"/>
      <c r="X28" s="185" t="str">
        <f>IF(法术书目录!K66&lt;&gt;"QuQ",AD28,"")</f>
        <v/>
      </c>
      <c r="Y28" s="186" t="str">
        <f>IFERROR(VLOOKUP((VLOOKUP(AA28,列表!$B:$T,13,FALSE)),法术书目录!$Q$1:$R$10,2,FALSE),"")</f>
        <v/>
      </c>
      <c r="Z28" s="187" t="str">
        <f>法术书目录!L66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IF(法术书目录!K22&lt;&gt;"QuQ",AC29,"")</f>
        <v/>
      </c>
      <c r="U29" s="182" t="str">
        <f>IFERROR(VLOOKUP((VLOOKUP(W29,列表!$B:$T,13,FALSE)),法术书目录!$Q$1:$R$10,2,FALSE),"")</f>
        <v/>
      </c>
      <c r="V29" s="183" t="str">
        <f>法术书目录!L22</f>
        <v/>
      </c>
      <c r="W29" s="184"/>
      <c r="X29" s="185" t="str">
        <f>IF(法术书目录!K67&lt;&gt;"QuQ",AD29,"")</f>
        <v/>
      </c>
      <c r="Y29" s="186" t="str">
        <f>IFERROR(VLOOKUP((VLOOKUP(AA29,列表!$B:$T,13,FALSE)),法术书目录!$Q$1:$R$10,2,FALSE),"")</f>
        <v/>
      </c>
      <c r="Z29" s="187" t="str">
        <f>法术书目录!L67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IF(法术书目录!K23&lt;&gt;"QuQ",AC30,"")</f>
        <v/>
      </c>
      <c r="U30" s="182" t="str">
        <f>IFERROR(VLOOKUP((VLOOKUP(W30,列表!$B:$T,13,FALSE)),法术书目录!$Q$1:$R$10,2,FALSE),"")</f>
        <v/>
      </c>
      <c r="V30" s="183" t="str">
        <f>法术书目录!L23</f>
        <v/>
      </c>
      <c r="W30" s="184"/>
      <c r="X30" s="185" t="str">
        <f>IF(法术书目录!K68&lt;&gt;"QuQ",AD30,"")</f>
        <v/>
      </c>
      <c r="Y30" s="186" t="str">
        <f>IFERROR(VLOOKUP((VLOOKUP(AA30,列表!$B:$T,13,FALSE)),法术书目录!$Q$1:$R$10,2,FALSE),"")</f>
        <v/>
      </c>
      <c r="Z30" s="187" t="str">
        <f>法术书目录!L68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IF(法术书目录!K24&lt;&gt;"QuQ",AC31,"")</f>
        <v/>
      </c>
      <c r="U31" s="182" t="str">
        <f>IFERROR(VLOOKUP((VLOOKUP(W31,列表!$B:$T,13,FALSE)),法术书目录!$Q$1:$R$10,2,FALSE),"")</f>
        <v/>
      </c>
      <c r="V31" s="183" t="str">
        <f>法术书目录!L24</f>
        <v/>
      </c>
      <c r="W31" s="184"/>
      <c r="X31" s="185" t="str">
        <f>IF(法术书目录!K69&lt;&gt;"QuQ",AD31,"")</f>
        <v/>
      </c>
      <c r="Y31" s="186" t="str">
        <f>IFERROR(VLOOKUP((VLOOKUP(AA31,列表!$B:$T,13,FALSE)),法术书目录!$Q$1:$R$10,2,FALSE),"")</f>
        <v/>
      </c>
      <c r="Z31" s="187" t="str">
        <f>法术书目录!L69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IF(法术书目录!K25&lt;&gt;"QuQ",AC32,"")</f>
        <v/>
      </c>
      <c r="U32" s="182" t="str">
        <f>IFERROR(VLOOKUP((VLOOKUP(W32,列表!$B:$T,13,FALSE)),法术书目录!$Q$1:$R$10,2,FALSE),"")</f>
        <v/>
      </c>
      <c r="V32" s="183" t="str">
        <f>法术书目录!L25</f>
        <v/>
      </c>
      <c r="W32" s="184"/>
      <c r="X32" s="185" t="str">
        <f>IF(法术书目录!K70&lt;&gt;"QuQ",AD32,"")</f>
        <v/>
      </c>
      <c r="Y32" s="186" t="str">
        <f>IFERROR(VLOOKUP((VLOOKUP(AA32,列表!$B:$T,13,FALSE)),法术书目录!$Q$1:$R$10,2,FALSE),"")</f>
        <v/>
      </c>
      <c r="Z32" s="187" t="str">
        <f>法术书目录!L70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IF(法术书目录!K26&lt;&gt;"QuQ",AC33,"")</f>
        <v/>
      </c>
      <c r="U33" s="182" t="str">
        <f>IFERROR(VLOOKUP((VLOOKUP(W33,列表!$B:$T,13,FALSE)),法术书目录!$Q$1:$R$10,2,FALSE),"")</f>
        <v/>
      </c>
      <c r="V33" s="183" t="str">
        <f>法术书目录!L26</f>
        <v/>
      </c>
      <c r="W33" s="184"/>
      <c r="X33" s="185" t="str">
        <f>IF(法术书目录!K71&lt;&gt;"QuQ",AD33,"")</f>
        <v/>
      </c>
      <c r="Y33" s="186" t="str">
        <f>IFERROR(VLOOKUP((VLOOKUP(AA33,列表!$B:$T,13,FALSE)),法术书目录!$Q$1:$R$10,2,FALSE),"")</f>
        <v/>
      </c>
      <c r="Z33" s="187" t="str">
        <f>法术书目录!L71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IF(法术书目录!K27&lt;&gt;"QuQ",AC34,"")</f>
        <v/>
      </c>
      <c r="U34" s="182" t="str">
        <f>IFERROR(VLOOKUP((VLOOKUP(W34,列表!$B:$T,13,FALSE)),法术书目录!$Q$1:$R$10,2,FALSE),"")</f>
        <v/>
      </c>
      <c r="V34" s="183" t="str">
        <f>法术书目录!L27</f>
        <v/>
      </c>
      <c r="W34" s="184"/>
      <c r="X34" s="185" t="str">
        <f>IF(法术书目录!K72&lt;&gt;"QuQ",AD34,"")</f>
        <v/>
      </c>
      <c r="Y34" s="186" t="str">
        <f>IFERROR(VLOOKUP((VLOOKUP(AA34,列表!$B:$T,13,FALSE)),法术书目录!$Q$1:$R$10,2,FALSE),"")</f>
        <v/>
      </c>
      <c r="Z34" s="187" t="str">
        <f>法术书目录!L72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IF(法术书目录!K28&lt;&gt;"QuQ",AC35,"")</f>
        <v/>
      </c>
      <c r="U35" s="182" t="str">
        <f>IFERROR(VLOOKUP((VLOOKUP(W35,列表!$B:$T,13,FALSE)),法术书目录!$Q$1:$R$10,2,FALSE),"")</f>
        <v/>
      </c>
      <c r="V35" s="183" t="str">
        <f>法术书目录!L28</f>
        <v/>
      </c>
      <c r="W35" s="184"/>
      <c r="X35" s="185" t="str">
        <f>IF(法术书目录!K73&lt;&gt;"QuQ",AD35,"")</f>
        <v/>
      </c>
      <c r="Y35" s="186" t="str">
        <f>IFERROR(VLOOKUP((VLOOKUP(AA35,列表!$B:$T,13,FALSE)),法术书目录!$Q$1:$R$10,2,FALSE),"")</f>
        <v/>
      </c>
      <c r="Z35" s="187" t="str">
        <f>法术书目录!L73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IF(法术书目录!K29&lt;&gt;"QuQ",AC36,"")</f>
        <v/>
      </c>
      <c r="U36" s="182" t="str">
        <f>IFERROR(VLOOKUP((VLOOKUP(W36,列表!$B:$T,13,FALSE)),法术书目录!$Q$1:$R$10,2,FALSE),"")</f>
        <v/>
      </c>
      <c r="V36" s="183" t="str">
        <f>法术书目录!L29</f>
        <v/>
      </c>
      <c r="W36" s="184"/>
      <c r="X36" s="185" t="str">
        <f>IF(法术书目录!K74&lt;&gt;"QuQ",AD36,"")</f>
        <v/>
      </c>
      <c r="Y36" s="186" t="str">
        <f>IFERROR(VLOOKUP((VLOOKUP(AA36,列表!$B:$T,13,FALSE)),法术书目录!$Q$1:$R$10,2,FALSE),"")</f>
        <v/>
      </c>
      <c r="Z36" s="187" t="str">
        <f>法术书目录!L74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IF(法术书目录!K30&lt;&gt;"QuQ",AC37,"")</f>
        <v/>
      </c>
      <c r="U37" s="182" t="str">
        <f>IFERROR(VLOOKUP((VLOOKUP(W37,列表!$B:$T,13,FALSE)),法术书目录!$Q$1:$R$10,2,FALSE),"")</f>
        <v/>
      </c>
      <c r="V37" s="183" t="str">
        <f>法术书目录!L30</f>
        <v/>
      </c>
      <c r="W37" s="184"/>
      <c r="X37" s="185" t="str">
        <f>IF(法术书目录!K75&lt;&gt;"QuQ",AD37,"")</f>
        <v/>
      </c>
      <c r="Y37" s="186" t="str">
        <f>IFERROR(VLOOKUP((VLOOKUP(AA37,列表!$B:$T,13,FALSE)),法术书目录!$Q$1:$R$10,2,FALSE),"")</f>
        <v/>
      </c>
      <c r="Z37" s="187" t="str">
        <f>法术书目录!L75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IF(法术书目录!K31&lt;&gt;"QuQ",AC38,"")</f>
        <v/>
      </c>
      <c r="U38" s="182" t="str">
        <f>IFERROR(VLOOKUP((VLOOKUP(W38,列表!$B:$T,13,FALSE)),法术书目录!$Q$1:$R$10,2,FALSE),"")</f>
        <v/>
      </c>
      <c r="V38" s="183" t="str">
        <f>法术书目录!L31</f>
        <v/>
      </c>
      <c r="W38" s="184"/>
      <c r="X38" s="185" t="str">
        <f>IF(法术书目录!K76&lt;&gt;"QuQ",AD38,"")</f>
        <v/>
      </c>
      <c r="Y38" s="186" t="str">
        <f>IFERROR(VLOOKUP((VLOOKUP(AA38,列表!$B:$T,13,FALSE)),法术书目录!$Q$1:$R$10,2,FALSE),"")</f>
        <v/>
      </c>
      <c r="Z38" s="187" t="str">
        <f>法术书目录!L76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IF(法术书目录!K32&lt;&gt;"QuQ",AC39,"")</f>
        <v/>
      </c>
      <c r="U39" s="182" t="str">
        <f>IFERROR(VLOOKUP((VLOOKUP(W39,列表!$B:$T,13,FALSE)),法术书目录!$Q$1:$R$10,2,FALSE),"")</f>
        <v/>
      </c>
      <c r="V39" s="183" t="str">
        <f>法术书目录!L32</f>
        <v/>
      </c>
      <c r="W39" s="184"/>
      <c r="X39" s="185" t="str">
        <f>IF(法术书目录!K77&lt;&gt;"QuQ",AD39,"")</f>
        <v/>
      </c>
      <c r="Y39" s="186" t="str">
        <f>IFERROR(VLOOKUP((VLOOKUP(AA39,列表!$B:$T,13,FALSE)),法术书目录!$Q$1:$R$10,2,FALSE),"")</f>
        <v/>
      </c>
      <c r="Z39" s="187" t="str">
        <f>法术书目录!L77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IF(法术书目录!K33&lt;&gt;"QuQ",AC40,"")</f>
        <v/>
      </c>
      <c r="U40" s="182" t="str">
        <f>IFERROR(VLOOKUP((VLOOKUP(W40,列表!$B:$T,13,FALSE)),法术书目录!$Q$1:$R$10,2,FALSE),"")</f>
        <v/>
      </c>
      <c r="V40" s="183" t="str">
        <f>法术书目录!L33</f>
        <v/>
      </c>
      <c r="W40" s="184"/>
      <c r="X40" s="185" t="str">
        <f>IF(法术书目录!K78&lt;&gt;"QuQ",AD40,"")</f>
        <v/>
      </c>
      <c r="Y40" s="186" t="str">
        <f>IFERROR(VLOOKUP((VLOOKUP(AA40,列表!$B:$T,13,FALSE)),法术书目录!$Q$1:$R$10,2,FALSE),"")</f>
        <v/>
      </c>
      <c r="Z40" s="187" t="str">
        <f>法术书目录!L78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IF(法术书目录!K34&lt;&gt;"QuQ",AC41,"")</f>
        <v/>
      </c>
      <c r="U41" s="182" t="str">
        <f>IFERROR(VLOOKUP((VLOOKUP(W41,列表!$B:$T,13,FALSE)),法术书目录!$Q$1:$R$10,2,FALSE),"")</f>
        <v/>
      </c>
      <c r="V41" s="183" t="str">
        <f>法术书目录!L34</f>
        <v/>
      </c>
      <c r="W41" s="184"/>
      <c r="X41" s="185" t="str">
        <f>IF(法术书目录!K79&lt;&gt;"QuQ",AD41,"")</f>
        <v/>
      </c>
      <c r="Y41" s="186" t="str">
        <f>IFERROR(VLOOKUP((VLOOKUP(AA41,列表!$B:$T,13,FALSE)),法术书目录!$Q$1:$R$10,2,FALSE),"")</f>
        <v/>
      </c>
      <c r="Z41" s="187" t="str">
        <f>法术书目录!L79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IF(法术书目录!K35&lt;&gt;"QuQ",AC42,"")</f>
        <v/>
      </c>
      <c r="U42" s="182" t="str">
        <f>IFERROR(VLOOKUP((VLOOKUP(W42,列表!$B:$T,13,FALSE)),法术书目录!$Q$1:$R$10,2,FALSE),"")</f>
        <v/>
      </c>
      <c r="V42" s="183" t="str">
        <f>法术书目录!L35</f>
        <v/>
      </c>
      <c r="W42" s="184"/>
      <c r="X42" s="185" t="str">
        <f>IF(法术书目录!K80&lt;&gt;"QuQ",AD42,"")</f>
        <v/>
      </c>
      <c r="Y42" s="186" t="str">
        <f>IFERROR(VLOOKUP((VLOOKUP(AA42,列表!$B:$T,13,FALSE)),法术书目录!$Q$1:$R$10,2,FALSE),"")</f>
        <v/>
      </c>
      <c r="Z42" s="187" t="str">
        <f>法术书目录!L80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IF(法术书目录!K36&lt;&gt;"QuQ",AC43,"")</f>
        <v/>
      </c>
      <c r="U43" s="182" t="str">
        <f>IFERROR(VLOOKUP((VLOOKUP(W43,列表!$B:$T,13,FALSE)),法术书目录!$Q$1:$R$10,2,FALSE),"")</f>
        <v/>
      </c>
      <c r="V43" s="183" t="str">
        <f>法术书目录!L36</f>
        <v/>
      </c>
      <c r="W43" s="184"/>
      <c r="X43" s="185" t="str">
        <f>IF(法术书目录!K81&lt;&gt;"QuQ",AD43,"")</f>
        <v/>
      </c>
      <c r="Y43" s="186" t="str">
        <f>IFERROR(VLOOKUP((VLOOKUP(AA43,列表!$B:$T,13,FALSE)),法术书目录!$Q$1:$R$10,2,FALSE),"")</f>
        <v/>
      </c>
      <c r="Z43" s="187" t="str">
        <f>法术书目录!L81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IF(法术书目录!K37&lt;&gt;"QuQ",AC44,"")</f>
        <v/>
      </c>
      <c r="U44" s="182" t="str">
        <f>IFERROR(VLOOKUP((VLOOKUP(W44,列表!$B:$T,13,FALSE)),法术书目录!$Q$1:$R$10,2,FALSE),"")</f>
        <v/>
      </c>
      <c r="V44" s="183" t="str">
        <f>法术书目录!L37</f>
        <v/>
      </c>
      <c r="W44" s="184"/>
      <c r="X44" s="185" t="str">
        <f>IF(法术书目录!K82&lt;&gt;"QuQ",AD44,"")</f>
        <v/>
      </c>
      <c r="Y44" s="186" t="str">
        <f>IFERROR(VLOOKUP((VLOOKUP(AA44,列表!$B:$T,13,FALSE)),法术书目录!$Q$1:$R$10,2,FALSE),"")</f>
        <v/>
      </c>
      <c r="Z44" s="187" t="str">
        <f>法术书目录!L82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IF(法术书目录!K38&lt;&gt;"QuQ",AC45,"")</f>
        <v/>
      </c>
      <c r="U45" s="182" t="str">
        <f>IFERROR(VLOOKUP((VLOOKUP(W45,列表!$B:$T,13,FALSE)),法术书目录!$Q$1:$R$10,2,FALSE),"")</f>
        <v/>
      </c>
      <c r="V45" s="183" t="str">
        <f>法术书目录!L38</f>
        <v/>
      </c>
      <c r="W45" s="184"/>
      <c r="X45" s="185" t="str">
        <f>IF(法术书目录!K83&lt;&gt;"QuQ",AD45,"")</f>
        <v/>
      </c>
      <c r="Y45" s="186" t="str">
        <f>IFERROR(VLOOKUP((VLOOKUP(AA45,列表!$B:$T,13,FALSE)),法术书目录!$Q$1:$R$10,2,FALSE),"")</f>
        <v/>
      </c>
      <c r="Z45" s="187" t="str">
        <f>法术书目录!L83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IF(法术书目录!K39&lt;&gt;"QuQ",AC46,"")</f>
        <v/>
      </c>
      <c r="U46" s="182" t="str">
        <f>IFERROR(VLOOKUP((VLOOKUP(W46,列表!$B:$T,13,FALSE)),法术书目录!$Q$1:$R$10,2,FALSE),"")</f>
        <v/>
      </c>
      <c r="V46" s="183" t="str">
        <f>法术书目录!L39</f>
        <v/>
      </c>
      <c r="W46" s="184"/>
      <c r="X46" s="185" t="str">
        <f>IF(法术书目录!K84&lt;&gt;"QuQ",AD46,"")</f>
        <v/>
      </c>
      <c r="Y46" s="186" t="str">
        <f>IFERROR(VLOOKUP((VLOOKUP(AA46,列表!$B:$T,13,FALSE)),法术书目录!$Q$1:$R$10,2,FALSE),"")</f>
        <v/>
      </c>
      <c r="Z46" s="187" t="str">
        <f>法术书目录!L84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IF(法术书目录!K40&lt;&gt;"QuQ",AC47,"")</f>
        <v/>
      </c>
      <c r="U47" s="182" t="str">
        <f>IFERROR(VLOOKUP((VLOOKUP(W47,列表!$B:$T,13,FALSE)),法术书目录!$Q$1:$R$10,2,FALSE),"")</f>
        <v/>
      </c>
      <c r="V47" s="183" t="str">
        <f>法术书目录!L40</f>
        <v/>
      </c>
      <c r="W47" s="184"/>
      <c r="X47" s="185" t="str">
        <f>IF(法术书目录!K85&lt;&gt;"QuQ",AD47,"")</f>
        <v/>
      </c>
      <c r="Y47" s="186" t="str">
        <f>IFERROR(VLOOKUP((VLOOKUP(AA47,列表!$B:$T,13,FALSE)),法术书目录!$Q$1:$R$10,2,FALSE),"")</f>
        <v/>
      </c>
      <c r="Z47" s="187" t="str">
        <f>法术书目录!L85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IF(法术书目录!K41&lt;&gt;"QuQ",AC48,"")</f>
        <v/>
      </c>
      <c r="U48" s="182" t="str">
        <f>IFERROR(VLOOKUP((VLOOKUP(W48,列表!$B:$T,13,FALSE)),法术书目录!$Q$1:$R$10,2,FALSE),"")</f>
        <v/>
      </c>
      <c r="V48" s="183" t="str">
        <f>法术书目录!L41</f>
        <v/>
      </c>
      <c r="W48" s="184"/>
      <c r="X48" s="185" t="str">
        <f>IF(法术书目录!K86&lt;&gt;"QuQ",AD48,"")</f>
        <v/>
      </c>
      <c r="Y48" s="186" t="str">
        <f>IFERROR(VLOOKUP((VLOOKUP(AA48,列表!$B:$T,13,FALSE)),法术书目录!$Q$1:$R$10,2,FALSE),"")</f>
        <v/>
      </c>
      <c r="Z48" s="187" t="str">
        <f>法术书目录!L86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IF(法术书目录!K42&lt;&gt;"QuQ",AC49,"")</f>
        <v/>
      </c>
      <c r="U49" s="182" t="str">
        <f>IFERROR(VLOOKUP((VLOOKUP(W49,列表!$B:$T,13,FALSE)),法术书目录!$Q$1:$R$10,2,FALSE),"")</f>
        <v/>
      </c>
      <c r="V49" s="183" t="str">
        <f>法术书目录!L42</f>
        <v/>
      </c>
      <c r="W49" s="184"/>
      <c r="X49" s="185" t="str">
        <f>IF(法术书目录!K87&lt;&gt;"QuQ",AD49,"")</f>
        <v/>
      </c>
      <c r="Y49" s="186" t="str">
        <f>IFERROR(VLOOKUP((VLOOKUP(AA49,列表!$B:$T,13,FALSE)),法术书目录!$Q$1:$R$10,2,FALSE),"")</f>
        <v/>
      </c>
      <c r="Z49" s="187" t="str">
        <f>法术书目录!L87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IF(法术书目录!K43&lt;&gt;"QuQ",AC50,"")</f>
        <v/>
      </c>
      <c r="U50" s="182" t="str">
        <f>IFERROR(VLOOKUP((VLOOKUP(W50,列表!$B:$T,13,FALSE)),法术书目录!$Q$1:$R$10,2,FALSE),"")</f>
        <v/>
      </c>
      <c r="V50" s="183" t="str">
        <f>法术书目录!L43</f>
        <v/>
      </c>
      <c r="W50" s="184"/>
      <c r="X50" s="185" t="str">
        <f>IF(法术书目录!K88&lt;&gt;"QuQ",AD50,"")</f>
        <v/>
      </c>
      <c r="Y50" s="186" t="str">
        <f>IFERROR(VLOOKUP((VLOOKUP(AA50,列表!$B:$T,13,FALSE)),法术书目录!$Q$1:$R$10,2,FALSE),"")</f>
        <v/>
      </c>
      <c r="Z50" s="187" t="str">
        <f>法术书目录!L88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IF(法术书目录!K44&lt;&gt;"QuQ",AC51,"")</f>
        <v/>
      </c>
      <c r="U51" s="182" t="str">
        <f>IFERROR(VLOOKUP((VLOOKUP(W51,列表!$B:$T,13,FALSE)),法术书目录!$Q$1:$R$10,2,FALSE),"")</f>
        <v/>
      </c>
      <c r="V51" s="183" t="str">
        <f>法术书目录!L44</f>
        <v/>
      </c>
      <c r="W51" s="184"/>
      <c r="X51" s="185" t="str">
        <f>IF(法术书目录!K89&lt;&gt;"QuQ",AD51,"")</f>
        <v/>
      </c>
      <c r="Y51" s="186" t="str">
        <f>IFERROR(VLOOKUP((VLOOKUP(AA51,列表!$B:$T,13,FALSE)),法术书目录!$Q$1:$R$10,2,FALSE),"")</f>
        <v/>
      </c>
      <c r="Z51" s="187" t="str">
        <f>法术书目录!L89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IF(法术书目录!K45&lt;&gt;"QuQ",AC52,"")</f>
        <v/>
      </c>
      <c r="U52" s="182" t="str">
        <f>IFERROR(VLOOKUP((VLOOKUP(W52,列表!$B:$T,13,FALSE)),法术书目录!$Q$1:$R$10,2,FALSE),"")</f>
        <v/>
      </c>
      <c r="V52" s="183" t="str">
        <f>法术书目录!L45</f>
        <v/>
      </c>
      <c r="W52" s="184"/>
      <c r="X52" s="185" t="str">
        <f>IF(法术书目录!K90&lt;&gt;"QuQ",AD52,"")</f>
        <v/>
      </c>
      <c r="Y52" s="186" t="str">
        <f>IFERROR(VLOOKUP((VLOOKUP(AA52,列表!$B:$T,13,FALSE)),法术书目录!$Q$1:$R$10,2,FALSE),"")</f>
        <v/>
      </c>
      <c r="Z52" s="187" t="str">
        <f>法术书目录!L90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W52">
    <cfRule type="expression" dxfId="8" priority="4">
      <formula>T8=法术书目录!$O$3</formula>
    </cfRule>
  </conditionalFormatting>
  <conditionalFormatting sqref="AA8:AA52">
    <cfRule type="expression" dxfId="8" priority="3">
      <formula>X8=法术书目录!$O$3</formula>
    </cfRule>
  </conditionalFormatting>
  <conditionalFormatting sqref="Z8:Z52 V8:V52">
    <cfRule type="cellIs" dxfId="9" priority="1" operator="equal">
      <formula>"!"</formula>
    </cfRule>
  </conditionalFormatting>
  <conditionalFormatting sqref="W8:W52 AA8:AA52">
    <cfRule type="duplicateValues" dxfId="6" priority="2"/>
  </conditionalFormatting>
  <dataValidations count="2">
    <dataValidation type="list" allowBlank="1" showInputMessage="1" showErrorMessage="1" sqref="W8:W52 AA8:AA52">
      <formula1>列表!$B$3:$B$600</formula1>
    </dataValidation>
    <dataValidation type="list" allowBlank="1" showInputMessage="1" showErrorMessage="1" sqref="AA5:AA6">
      <formula1>法术书目录!$J$1:$J$90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7169"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20"/>
  <sheetViews>
    <sheetView zoomScale="55" zoomScaleNormal="55" workbookViewId="0">
      <selection activeCell="W10" sqref="W10"/>
    </sheetView>
  </sheetViews>
  <sheetFormatPr defaultColWidth="9" defaultRowHeight="14"/>
  <cols>
    <col min="1" max="2" width="9" style="60"/>
    <col min="3" max="3" width="9" style="61"/>
    <col min="4" max="4" width="30.7727272727273" style="61" customWidth="1"/>
    <col min="5" max="8" width="9" style="61"/>
    <col min="9" max="11" width="3.77272727272727" style="61" customWidth="1"/>
    <col min="12" max="14" width="9" style="61"/>
    <col min="15" max="16" width="15.7727272727273" style="61" customWidth="1"/>
    <col min="17" max="18" width="15.7727272727273" style="60" customWidth="1"/>
    <col min="19" max="19" width="9" style="60"/>
    <col min="20" max="23" width="9" style="61"/>
    <col min="24" max="16384" width="9" style="60"/>
  </cols>
  <sheetData>
    <row r="1" spans="1:29">
      <c r="B1" s="62"/>
      <c r="C1" s="63"/>
      <c r="D1" s="63"/>
      <c r="E1" s="63"/>
      <c r="F1" s="63"/>
      <c r="G1" s="63"/>
      <c r="H1" s="63"/>
      <c r="I1" s="63"/>
      <c r="J1" s="63"/>
      <c r="K1" s="63"/>
      <c r="L1" s="63"/>
      <c r="M1" s="63"/>
      <c r="N1" s="63"/>
      <c r="O1" s="63"/>
      <c r="P1" s="63"/>
      <c r="Q1" s="62"/>
      <c r="R1" s="62"/>
      <c r="S1" s="62"/>
      <c r="T1" s="63"/>
      <c r="U1" s="63"/>
      <c r="X1" s="64" t="s">
        <v>1243</v>
      </c>
      <c r="Y1" s="64"/>
      <c r="Z1" s="64"/>
      <c r="AA1" s="64"/>
      <c r="AB1" s="64"/>
      <c r="AC1" s="64"/>
    </row>
    <row r="2" spans="1:29">
      <c r="A2" s="65" t="s">
        <v>1244</v>
      </c>
      <c r="B2" s="65"/>
      <c r="C2" s="65"/>
      <c r="D2" s="65"/>
      <c r="E2" s="65"/>
      <c r="F2" s="65"/>
      <c r="G2" s="65"/>
      <c r="H2" s="65"/>
      <c r="I2" s="63"/>
      <c r="J2" s="63"/>
      <c r="K2" s="63"/>
      <c r="L2" s="66" t="s">
        <v>1245</v>
      </c>
      <c r="M2" s="66"/>
      <c r="N2" s="66" t="s">
        <v>1245</v>
      </c>
      <c r="O2" s="66"/>
      <c r="R2" s="62"/>
      <c r="S2" s="62"/>
      <c r="T2" s="63"/>
      <c r="U2" s="63"/>
      <c r="X2" s="64"/>
      <c r="Y2" s="64"/>
      <c r="Z2" s="64"/>
      <c r="AA2" s="64"/>
      <c r="AB2" s="64"/>
      <c r="AC2" s="64"/>
    </row>
    <row r="3" ht="14.75" spans="1:29">
      <c r="A3" s="65"/>
      <c r="B3" s="65"/>
      <c r="C3" s="65"/>
      <c r="D3" s="65"/>
      <c r="E3" s="65"/>
      <c r="F3" s="65"/>
      <c r="G3" s="65"/>
      <c r="H3" s="65"/>
      <c r="I3" s="63"/>
      <c r="J3" s="63"/>
      <c r="K3" s="63"/>
      <c r="L3" s="66"/>
      <c r="M3" s="66"/>
      <c r="N3" s="66"/>
      <c r="O3" s="66"/>
      <c r="R3" s="62"/>
      <c r="S3" s="62"/>
      <c r="T3" s="63"/>
      <c r="U3" s="63"/>
      <c r="X3" s="67" t="s">
        <v>1246</v>
      </c>
      <c r="Y3" s="67"/>
      <c r="Z3" s="67"/>
      <c r="AA3" s="67"/>
      <c r="AB3" s="67"/>
      <c r="AC3" s="67"/>
    </row>
    <row r="4" spans="1:29">
      <c r="A4" s="65"/>
      <c r="B4" s="65"/>
      <c r="C4" s="65"/>
      <c r="D4" s="65"/>
      <c r="E4" s="65"/>
      <c r="F4" s="65"/>
      <c r="G4" s="65"/>
      <c r="H4" s="65"/>
      <c r="I4" s="63"/>
      <c r="L4" s="68" t="s">
        <v>311</v>
      </c>
      <c r="M4" s="69"/>
      <c r="N4" s="68" t="s">
        <v>190</v>
      </c>
      <c r="O4" s="69"/>
      <c r="P4" s="70"/>
      <c r="Q4" s="71"/>
      <c r="R4" s="71"/>
      <c r="S4" s="71"/>
      <c r="T4" s="70"/>
      <c r="U4" s="72"/>
      <c r="X4" s="67"/>
      <c r="Y4" s="67"/>
      <c r="Z4" s="67"/>
      <c r="AA4" s="67"/>
      <c r="AB4" s="67"/>
      <c r="AC4" s="67"/>
    </row>
    <row r="5" ht="14.75" spans="1:29">
      <c r="A5" s="65"/>
      <c r="B5" s="65"/>
      <c r="C5" s="65"/>
      <c r="D5" s="65"/>
      <c r="E5" s="65"/>
      <c r="F5" s="65"/>
      <c r="G5" s="65"/>
      <c r="H5" s="65"/>
      <c r="I5" s="63"/>
      <c r="L5" s="73"/>
      <c r="M5" s="74"/>
      <c r="N5" s="73"/>
      <c r="O5" s="74"/>
      <c r="Q5" s="63"/>
      <c r="R5" s="63"/>
      <c r="S5" s="63"/>
      <c r="U5" s="75"/>
      <c r="X5" s="67"/>
      <c r="Y5" s="67"/>
      <c r="Z5" s="67"/>
      <c r="AA5" s="67"/>
      <c r="AB5" s="67"/>
      <c r="AC5" s="67"/>
    </row>
    <row r="6" ht="20" customHeight="1" spans="1:29">
      <c r="A6" s="65"/>
      <c r="B6" s="65"/>
      <c r="C6" s="65"/>
      <c r="D6" s="65"/>
      <c r="E6" s="65"/>
      <c r="F6" s="65"/>
      <c r="G6" s="65"/>
      <c r="H6" s="65"/>
      <c r="I6" s="63"/>
      <c r="L6" s="76"/>
      <c r="M6" s="66"/>
      <c r="N6" s="66"/>
      <c r="O6" s="66"/>
      <c r="P6" s="66"/>
      <c r="Q6" s="66"/>
      <c r="R6" s="66"/>
      <c r="S6" s="66"/>
      <c r="T6" s="77"/>
      <c r="U6" s="78"/>
      <c r="X6" s="67"/>
      <c r="Y6" s="67"/>
      <c r="Z6" s="67"/>
      <c r="AA6" s="67"/>
      <c r="AB6" s="67"/>
      <c r="AC6" s="67"/>
    </row>
    <row r="7" ht="35" customHeight="1" spans="1:29">
      <c r="B7" s="62"/>
      <c r="C7" s="63"/>
      <c r="D7" s="63"/>
      <c r="E7" s="63"/>
      <c r="F7" s="63"/>
      <c r="G7" s="63"/>
      <c r="H7" s="63"/>
      <c r="I7" s="63"/>
      <c r="L7" s="76"/>
      <c r="M7" s="79" t="str">
        <f>IF($L$4="法师",法师!I2,IF($L$4="术士",法师!S2,IF($L$4="邪术师",法师!AC2,IF($L$4="牧师",法师!AM2,IF($L$4="圣武士",法师!AW2,IF($L$4="游侠",法师!BG2,IF($L$4="德鲁伊",法师!BQ2,法师!CA2)))))))</f>
        <v>衰弱射线</v>
      </c>
      <c r="N7" s="79"/>
      <c r="O7" s="79"/>
      <c r="P7" s="79"/>
      <c r="Q7" s="80" t="str">
        <f>IF($L$4="法师",法师!H2,IF($L$4="术士",法师!R2,IF($L$4="邪术师",法师!AB2,IF($L$4="牧师",法师!AL2,IF($L$4="圣武士",法师!AV2,IF($L$4="游侠",法师!BF2,IF($L$4="德鲁伊",法师!BP2,法师!BZ2)))))))</f>
        <v>Ray of Enfeeblement</v>
      </c>
      <c r="R7" s="80"/>
      <c r="S7" s="80"/>
      <c r="T7" s="80"/>
      <c r="U7" s="78"/>
      <c r="X7" s="67"/>
      <c r="Y7" s="67"/>
      <c r="Z7" s="67"/>
      <c r="AA7" s="67"/>
      <c r="AB7" s="67"/>
      <c r="AC7" s="67"/>
    </row>
    <row r="8" ht="35" customHeight="1" spans="1:29">
      <c r="B8" s="62"/>
      <c r="C8" s="81" t="s">
        <v>494</v>
      </c>
      <c r="D8" s="82"/>
      <c r="E8" s="83" t="s">
        <v>1247</v>
      </c>
      <c r="F8" s="63"/>
      <c r="G8" s="63"/>
      <c r="H8" s="63"/>
      <c r="I8" s="63"/>
      <c r="J8" s="63"/>
      <c r="K8" s="63"/>
      <c r="L8" s="76"/>
      <c r="M8" s="79" t="str">
        <f>IF($L$4="法师",法师!I3,IF($L$4="术士",法师!S3,IF($L$4="邪术师",法师!AC3,IF($L$4="牧师",法师!AM3,IF($L$4="圣武士",法师!AW3,IF($L$4="游侠",法师!BG3,IF($L$4="德鲁伊",法师!BQ3,法师!CA3)))))))</f>
        <v>心灵尖刺</v>
      </c>
      <c r="N8" s="79"/>
      <c r="O8" s="79"/>
      <c r="P8" s="79"/>
      <c r="Q8" s="80" t="str">
        <f>IF($L$4="法师",法师!H3,IF($L$4="术士",法师!R3,IF($L$4="邪术师",法师!AB3,IF($L$4="牧师",法师!AL3,IF($L$4="圣武士",法师!AV3,IF($L$4="游侠",法师!BF3,IF($L$4="德鲁伊",法师!BP3,法师!BZ3)))))))</f>
        <v>Mind Spike</v>
      </c>
      <c r="R8" s="80"/>
      <c r="S8" s="80"/>
      <c r="T8" s="80"/>
      <c r="U8" s="84"/>
      <c r="X8" s="67"/>
      <c r="Y8" s="67"/>
      <c r="Z8" s="67"/>
      <c r="AA8" s="67"/>
      <c r="AB8" s="67"/>
      <c r="AC8" s="67"/>
    </row>
    <row r="9" ht="35" customHeight="1" spans="1:29">
      <c r="B9" s="62"/>
      <c r="C9" s="85"/>
      <c r="D9" s="86"/>
      <c r="E9" s="87"/>
      <c r="F9" s="63"/>
      <c r="G9" s="63"/>
      <c r="H9" s="63"/>
      <c r="I9" s="63"/>
      <c r="J9" s="63"/>
      <c r="K9" s="63"/>
      <c r="L9" s="76"/>
      <c r="M9" s="79" t="str">
        <f>IF($L$4="法师",法师!I4,IF($L$4="术士",法师!S4,IF($L$4="邪术师",法师!AC4,IF($L$4="牧师",法师!AM4,IF($L$4="圣武士",法师!AW4,IF($L$4="游侠",法师!BG4,IF($L$4="德鲁伊",法师!BQ4,法师!CA4)))))))</f>
        <v>幽影刃</v>
      </c>
      <c r="N9" s="79"/>
      <c r="O9" s="79"/>
      <c r="P9" s="79"/>
      <c r="Q9" s="80" t="str">
        <f>IF($L$4="法师",法师!H4,IF($L$4="术士",法师!R4,IF($L$4="邪术师",法师!AB4,IF($L$4="牧师",法师!AL4,IF($L$4="圣武士",法师!AV4,IF($L$4="游侠",法师!BF4,IF($L$4="德鲁伊",法师!BP4,法师!BZ4)))))))</f>
        <v>Shadow Blade</v>
      </c>
      <c r="R9" s="80"/>
      <c r="S9" s="80"/>
      <c r="T9" s="80"/>
      <c r="U9" s="84"/>
      <c r="X9" s="67"/>
      <c r="Y9" s="67"/>
      <c r="Z9" s="67"/>
      <c r="AA9" s="67"/>
      <c r="AB9" s="67"/>
      <c r="AC9" s="67"/>
    </row>
    <row r="10" ht="35" customHeight="1" spans="1:29">
      <c r="B10" s="62"/>
      <c r="C10" s="81" t="s">
        <v>578</v>
      </c>
      <c r="D10" s="82"/>
      <c r="E10" s="83" t="s">
        <v>1247</v>
      </c>
      <c r="F10" s="63"/>
      <c r="G10" s="63"/>
      <c r="H10" s="63"/>
      <c r="I10" s="63"/>
      <c r="J10" s="63"/>
      <c r="K10" s="63"/>
      <c r="L10" s="76"/>
      <c r="M10" s="79" t="str">
        <f>IF($L$4="法师",法师!I5,IF($L$4="术士",法师!S5,IF($L$4="邪术师",法师!AC5,IF($L$4="牧师",法师!AM5,IF($L$4="圣武士",法师!AW5,IF($L$4="游侠",法师!BG5,IF($L$4="德鲁伊",法师!BQ5,法师!CA5)))))))</f>
        <v>龙息术</v>
      </c>
      <c r="N10" s="79"/>
      <c r="O10" s="79"/>
      <c r="P10" s="79"/>
      <c r="Q10" s="80" t="str">
        <f>IF($L$4="法师",法师!H5,IF($L$4="术士",法师!R5,IF($L$4="邪术师",法师!AB5,IF($L$4="牧师",法师!AL5,IF($L$4="圣武士",法师!AV5,IF($L$4="游侠",法师!BF5,IF($L$4="德鲁伊",法师!BP5,法师!BZ5)))))))</f>
        <v>Dragon's Breath</v>
      </c>
      <c r="R10" s="80"/>
      <c r="S10" s="80"/>
      <c r="T10" s="80"/>
      <c r="U10" s="84"/>
      <c r="X10" s="67"/>
      <c r="Y10" s="67"/>
      <c r="Z10" s="67"/>
      <c r="AA10" s="67"/>
      <c r="AB10" s="67"/>
      <c r="AC10" s="67"/>
    </row>
    <row r="11" ht="35" customHeight="1" spans="1:29">
      <c r="B11" s="62"/>
      <c r="C11" s="85"/>
      <c r="D11" s="86"/>
      <c r="E11" s="87"/>
      <c r="F11" s="63"/>
      <c r="G11" s="63"/>
      <c r="H11" s="63"/>
      <c r="I11" s="63"/>
      <c r="J11" s="63"/>
      <c r="K11" s="63"/>
      <c r="L11" s="76"/>
      <c r="M11" s="79" t="str">
        <f>IF($L$4="法师",法师!I6,IF($L$4="术士",法师!S6,IF($L$4="邪术师",法师!AC6,IF($L$4="牧师",法师!AM6,IF($L$4="圣武士",法师!AW6,IF($L$4="游侠",法师!BG6,IF($L$4="德鲁伊",法师!BQ6,法师!CA6)))))))</f>
        <v>麦克斯米利安的地之攫E</v>
      </c>
      <c r="N11" s="79"/>
      <c r="O11" s="79"/>
      <c r="P11" s="79"/>
      <c r="Q11" s="80" t="str">
        <f>IF($L$4="法师",法师!H6,IF($L$4="术士",法师!R6,IF($L$4="邪术师",法师!AB6,IF($L$4="牧师",法师!AL6,IF($L$4="圣武士",法师!AV6,IF($L$4="游侠",法师!BF6,IF($L$4="德鲁伊",法师!BP6,法师!BZ6)))))))</f>
        <v>Maximilian’s Earthen Grasp</v>
      </c>
      <c r="R11" s="80"/>
      <c r="S11" s="80"/>
      <c r="T11" s="80"/>
      <c r="U11" s="84"/>
      <c r="X11" s="67"/>
      <c r="Y11" s="67"/>
      <c r="Z11" s="67"/>
      <c r="AA11" s="67"/>
      <c r="AB11" s="67"/>
      <c r="AC11" s="67"/>
    </row>
    <row r="12" ht="35" customHeight="1" spans="1:29">
      <c r="B12" s="62"/>
      <c r="C12" s="81" t="s">
        <v>1248</v>
      </c>
      <c r="D12" s="82"/>
      <c r="E12" s="83" t="s">
        <v>1247</v>
      </c>
      <c r="F12" s="63"/>
      <c r="G12" s="63"/>
      <c r="H12" s="63"/>
      <c r="I12" s="63"/>
      <c r="J12" s="63"/>
      <c r="K12" s="63"/>
      <c r="L12" s="76"/>
      <c r="M12" s="79" t="str">
        <f>IF($L$4="法师",法师!I7,IF($L$4="术士",法师!S7,IF($L$4="邪术师",法师!AC7,IF($L$4="牧师",法师!AM7,IF($L$4="圣武士",法师!AW7,IF($L$4="游侠",法师!BG7,IF($L$4="德鲁伊",法师!BQ7,法师!CA7)))))))</f>
        <v>麦克斯米利安的地之攫</v>
      </c>
      <c r="N12" s="79"/>
      <c r="O12" s="79"/>
      <c r="P12" s="79"/>
      <c r="Q12" s="80" t="str">
        <f>IF($L$4="法师",法师!H7,IF($L$4="术士",法师!R7,IF($L$4="邪术师",法师!AB7,IF($L$4="牧师",法师!AL7,IF($L$4="圣武士",法师!AV7,IF($L$4="游侠",法师!BF7,IF($L$4="德鲁伊",法师!BP7,法师!BZ7)))))))</f>
        <v>Maximilian’s Earthen Grasp</v>
      </c>
      <c r="R12" s="80"/>
      <c r="S12" s="80"/>
      <c r="T12" s="80"/>
      <c r="U12" s="84"/>
      <c r="X12" s="67"/>
      <c r="Y12" s="67"/>
      <c r="Z12" s="67"/>
      <c r="AA12" s="67"/>
      <c r="AB12" s="67"/>
      <c r="AC12" s="67"/>
    </row>
    <row r="13" ht="35" customHeight="1" spans="1:29">
      <c r="B13" s="62"/>
      <c r="C13" s="85"/>
      <c r="D13" s="86"/>
      <c r="E13" s="87"/>
      <c r="F13" s="63"/>
      <c r="G13" s="63"/>
      <c r="H13" s="63"/>
      <c r="I13" s="63"/>
      <c r="J13" s="63"/>
      <c r="K13" s="63"/>
      <c r="L13" s="76"/>
      <c r="M13" s="79" t="str">
        <f>IF($L$4="法师",法师!I8,IF($L$4="术士",法师!S8,IF($L$4="邪术师",法师!AC8,IF($L$4="牧师",法师!AM8,IF($L$4="圣武士",法师!AW8,IF($L$4="游侠",法师!BG8,IF($L$4="德鲁伊",法师!BQ8,法师!CA8)))))))</f>
        <v>灼热射线</v>
      </c>
      <c r="N13" s="79"/>
      <c r="O13" s="79"/>
      <c r="P13" s="79"/>
      <c r="Q13" s="80" t="str">
        <f>IF($L$4="法师",法师!H8,IF($L$4="术士",法师!R8,IF($L$4="邪术师",法师!AB8,IF($L$4="牧师",法师!AL8,IF($L$4="圣武士",法师!AV8,IF($L$4="游侠",法师!BF8,IF($L$4="德鲁伊",法师!BP8,法师!BZ8)))))))</f>
        <v>Scorching Ray</v>
      </c>
      <c r="R13" s="80"/>
      <c r="S13" s="80"/>
      <c r="T13" s="80"/>
      <c r="U13" s="84"/>
      <c r="X13" s="67"/>
      <c r="Y13" s="67"/>
      <c r="Z13" s="67"/>
      <c r="AA13" s="67"/>
      <c r="AB13" s="67"/>
      <c r="AC13" s="67"/>
    </row>
    <row r="14" ht="35" customHeight="1" spans="1:29">
      <c r="B14" s="62"/>
      <c r="C14" s="81" t="s">
        <v>1249</v>
      </c>
      <c r="D14" s="82"/>
      <c r="E14" s="83" t="s">
        <v>1247</v>
      </c>
      <c r="F14" s="63"/>
      <c r="G14" s="63"/>
      <c r="H14" s="63"/>
      <c r="I14" s="63"/>
      <c r="J14" s="63"/>
      <c r="K14" s="63"/>
      <c r="L14" s="76"/>
      <c r="M14" s="79" t="str">
        <f>IF($L$4="法师",法师!I9,IF($L$4="术士",法师!S9,IF($L$4="邪术师",法师!AC9,IF($L$4="牧师",法师!AM9,IF($L$4="圣武士",法师!AW9,IF($L$4="游侠",法师!BG9,IF($L$4="德鲁伊",法师!BQ9,法师!CA9)))))))</f>
        <v>史尼洛雪球群E</v>
      </c>
      <c r="N14" s="79"/>
      <c r="O14" s="79"/>
      <c r="P14" s="79"/>
      <c r="Q14" s="80" t="str">
        <f>IF($L$4="法师",法师!H9,IF($L$4="术士",法师!R9,IF($L$4="邪术师",法师!AB9,IF($L$4="牧师",法师!AL9,IF($L$4="圣武士",法师!AV9,IF($L$4="游侠",法师!BF9,IF($L$4="德鲁伊",法师!BP9,法师!BZ9)))))))</f>
        <v>Snilloc’s Snowball Swarm</v>
      </c>
      <c r="R14" s="80"/>
      <c r="S14" s="80"/>
      <c r="T14" s="80"/>
      <c r="U14" s="84"/>
      <c r="X14" s="67"/>
      <c r="Y14" s="67"/>
      <c r="Z14" s="67"/>
      <c r="AA14" s="67"/>
      <c r="AB14" s="67"/>
      <c r="AC14" s="67"/>
    </row>
    <row r="15" ht="35" customHeight="1" spans="1:29">
      <c r="B15" s="62"/>
      <c r="C15" s="85"/>
      <c r="D15" s="86"/>
      <c r="E15" s="87"/>
      <c r="F15" s="63"/>
      <c r="G15" s="63"/>
      <c r="H15" s="63"/>
      <c r="I15" s="63"/>
      <c r="J15" s="63"/>
      <c r="K15" s="63"/>
      <c r="L15" s="76"/>
      <c r="M15" s="79" t="str">
        <f>IF($L$4="法师",法师!I10,IF($L$4="术士",法师!S10,IF($L$4="邪术师",法师!AC10,IF($L$4="牧师",法师!AM10,IF($L$4="圣武士",法师!AW10,IF($L$4="游侠",法师!BG10,IF($L$4="德鲁伊",法师!BQ10,法师!CA10)))))))</f>
        <v>史尼洛雪球群</v>
      </c>
      <c r="N15" s="79"/>
      <c r="O15" s="79"/>
      <c r="P15" s="79"/>
      <c r="Q15" s="80" t="str">
        <f>IF($L$4="法师",法师!H10,IF($L$4="术士",法师!R10,IF($L$4="邪术师",法师!AB10,IF($L$4="牧师",法师!AL10,IF($L$4="圣武士",法师!AV10,IF($L$4="游侠",法师!BF10,IF($L$4="德鲁伊",法师!BP10,法师!BZ10)))))))</f>
        <v>Snilloc’s Snowball Swarm</v>
      </c>
      <c r="R15" s="80"/>
      <c r="S15" s="80"/>
      <c r="T15" s="80"/>
      <c r="U15" s="84"/>
      <c r="X15" s="67"/>
      <c r="Y15" s="67"/>
      <c r="Z15" s="67"/>
      <c r="AA15" s="67"/>
      <c r="AB15" s="67"/>
      <c r="AC15" s="67"/>
    </row>
    <row r="16" ht="35" customHeight="1" spans="1:29">
      <c r="B16" s="62"/>
      <c r="F16" s="63"/>
      <c r="G16" s="63"/>
      <c r="H16" s="63"/>
      <c r="I16" s="63"/>
      <c r="J16" s="63"/>
      <c r="K16" s="63"/>
      <c r="L16" s="76"/>
      <c r="M16" s="79" t="str">
        <f>IF($L$4="法师",法师!I11,IF($L$4="术士",法师!S11,IF($L$4="邪术师",法师!AC11,IF($L$4="牧师",法师!AM11,IF($L$4="圣武士",法师!AW11,IF($L$4="游侠",法师!BG11,IF($L$4="德鲁伊",法师!BQ11,法师!CA11)))))))</f>
        <v>黑暗术</v>
      </c>
      <c r="N16" s="79"/>
      <c r="O16" s="79"/>
      <c r="P16" s="79"/>
      <c r="Q16" s="80" t="str">
        <f>IF($L$4="法师",法师!H11,IF($L$4="术士",法师!R11,IF($L$4="邪术师",法师!AB11,IF($L$4="牧师",法师!AL11,IF($L$4="圣武士",法师!AV11,IF($L$4="游侠",法师!BF11,IF($L$4="德鲁伊",法师!BP11,法师!BZ11)))))))</f>
        <v>Darkness</v>
      </c>
      <c r="R16" s="80"/>
      <c r="S16" s="80"/>
      <c r="T16" s="80"/>
      <c r="U16" s="84"/>
      <c r="X16" s="67"/>
      <c r="Y16" s="67"/>
      <c r="Z16" s="67"/>
      <c r="AA16" s="67"/>
      <c r="AB16" s="67"/>
      <c r="AC16" s="67"/>
    </row>
    <row r="17" ht="35" customHeight="1" spans="2:29">
      <c r="B17" s="62"/>
      <c r="F17" s="63"/>
      <c r="G17" s="63"/>
      <c r="H17" s="63"/>
      <c r="I17" s="63"/>
      <c r="J17" s="63"/>
      <c r="K17" s="63"/>
      <c r="L17" s="76"/>
      <c r="M17" s="79" t="str">
        <f>IF($L$4="法师",法师!I12,IF($L$4="术士",法师!S12,IF($L$4="邪术师",法师!AC12,IF($L$4="牧师",法师!AM12,IF($L$4="圣武士",法师!AW12,IF($L$4="游侠",法师!BG12,IF($L$4="德鲁伊",法师!BQ12,法师!CA12)))))))</f>
        <v>镜影术</v>
      </c>
      <c r="N17" s="79"/>
      <c r="O17" s="79"/>
      <c r="P17" s="79"/>
      <c r="Q17" s="80" t="str">
        <f>IF($L$4="法师",法师!H12,IF($L$4="术士",法师!R12,IF($L$4="邪术师",法师!AB12,IF($L$4="牧师",法师!AL12,IF($L$4="圣武士",法师!AV12,IF($L$4="游侠",法师!BF12,IF($L$4="德鲁伊",法师!BP12,法师!BZ12)))))))</f>
        <v>Mirror Image</v>
      </c>
      <c r="R17" s="80"/>
      <c r="S17" s="80"/>
      <c r="T17" s="80"/>
      <c r="U17" s="84"/>
      <c r="X17" s="67"/>
      <c r="Y17" s="67"/>
      <c r="Z17" s="67"/>
      <c r="AA17" s="67"/>
      <c r="AB17" s="67"/>
      <c r="AC17" s="67"/>
    </row>
    <row r="18" ht="35" customHeight="1" spans="2:29">
      <c r="B18" s="62"/>
      <c r="F18" s="63"/>
      <c r="G18" s="63"/>
      <c r="H18" s="63"/>
      <c r="I18" s="63"/>
      <c r="J18" s="63"/>
      <c r="K18" s="63"/>
      <c r="L18" s="76"/>
      <c r="M18" s="79" t="str">
        <f>IF($L$4="法师",法师!I13,IF($L$4="术士",法师!S13,IF($L$4="邪术师",法师!AC13,IF($L$4="牧师",法师!AM13,IF($L$4="圣武士",法师!AW13,IF($L$4="游侠",法师!BG13,IF($L$4="德鲁伊",法师!BQ13,法师!CA13)))))))</f>
        <v>迷踪步</v>
      </c>
      <c r="N18" s="79"/>
      <c r="O18" s="79"/>
      <c r="P18" s="79"/>
      <c r="Q18" s="80" t="str">
        <f>IF($L$4="法师",法师!H13,IF($L$4="术士",法师!R13,IF($L$4="邪术师",法师!AB13,IF($L$4="牧师",法师!AL13,IF($L$4="圣武士",法师!AV13,IF($L$4="游侠",法师!BF13,IF($L$4="德鲁伊",法师!BP13,法师!BZ13)))))))</f>
        <v>Misty Step</v>
      </c>
      <c r="R18" s="80"/>
      <c r="S18" s="80"/>
      <c r="T18" s="80"/>
      <c r="U18" s="84"/>
      <c r="X18" s="67"/>
      <c r="Y18" s="67"/>
      <c r="Z18" s="67"/>
      <c r="AA18" s="67"/>
      <c r="AB18" s="67"/>
      <c r="AC18" s="67"/>
    </row>
    <row r="19" ht="35" customHeight="1" spans="2:29">
      <c r="B19" s="62"/>
      <c r="C19" s="88" t="s">
        <v>1250</v>
      </c>
      <c r="D19" s="88"/>
      <c r="E19" s="88"/>
      <c r="F19" s="88"/>
      <c r="G19" s="88"/>
      <c r="H19" s="63"/>
      <c r="I19" s="63"/>
      <c r="J19" s="63"/>
      <c r="K19" s="63"/>
      <c r="L19" s="76"/>
      <c r="M19" s="79" t="str">
        <f>IF($L$4="法师",法师!I14,IF($L$4="术士",法师!S14,IF($L$4="邪术师",法师!AC14,IF($L$4="牧师",法师!AM14,IF($L$4="圣武士",法师!AW14,IF($L$4="游侠",法师!BG14,IF($L$4="德鲁伊",法师!BQ14,法师!CA14)))))))</f>
        <v>蛛行术</v>
      </c>
      <c r="N19" s="79"/>
      <c r="O19" s="79"/>
      <c r="P19" s="79"/>
      <c r="Q19" s="80" t="str">
        <f>IF($L$4="法师",法师!H14,IF($L$4="术士",法师!R14,IF($L$4="邪术师",法师!AB14,IF($L$4="牧师",法师!AL14,IF($L$4="圣武士",法师!AV14,IF($L$4="游侠",法师!BF14,IF($L$4="德鲁伊",法师!BP14,法师!BZ14)))))))</f>
        <v>Spider Climb</v>
      </c>
      <c r="R19" s="80"/>
      <c r="S19" s="80"/>
      <c r="T19" s="80"/>
      <c r="U19" s="84"/>
      <c r="X19" s="67"/>
      <c r="Y19" s="67"/>
      <c r="Z19" s="67"/>
      <c r="AA19" s="67"/>
      <c r="AB19" s="67"/>
      <c r="AC19" s="67"/>
    </row>
    <row r="20" ht="35" customHeight="1" spans="2:29">
      <c r="B20" s="62"/>
      <c r="C20" s="88"/>
      <c r="D20" s="88"/>
      <c r="E20" s="88"/>
      <c r="F20" s="88"/>
      <c r="G20" s="88"/>
      <c r="H20" s="63"/>
      <c r="I20" s="63"/>
      <c r="J20" s="63"/>
      <c r="K20" s="63"/>
      <c r="L20" s="76"/>
      <c r="M20" s="79" t="str">
        <f>IF($L$4="法师",法师!I15,IF($L$4="术士",法师!S15,IF($L$4="邪术师",法师!AC15,IF($L$4="牧师",法师!AM15,IF($L$4="圣武士",法师!AW15,IF($L$4="游侠",法师!BG15,IF($L$4="德鲁伊",法师!BQ15,法师!CA15)))))))</f>
        <v>变身术</v>
      </c>
      <c r="N20" s="79"/>
      <c r="O20" s="79"/>
      <c r="P20" s="79"/>
      <c r="Q20" s="80" t="str">
        <f>IF($L$4="法师",法师!H15,IF($L$4="术士",法师!R15,IF($L$4="邪术师",法师!AB15,IF($L$4="牧师",法师!AL15,IF($L$4="圣武士",法师!AV15,IF($L$4="游侠",法师!BF15,IF($L$4="德鲁伊",法师!BP15,法师!BZ15)))))))</f>
        <v>Alter Self</v>
      </c>
      <c r="R20" s="80"/>
      <c r="S20" s="80"/>
      <c r="T20" s="80"/>
      <c r="U20" s="84"/>
      <c r="X20" s="67"/>
      <c r="Y20" s="67"/>
      <c r="Z20" s="67"/>
      <c r="AA20" s="67"/>
      <c r="AB20" s="67"/>
      <c r="AC20" s="67"/>
    </row>
    <row r="21" ht="35" customHeight="1" spans="2:29">
      <c r="B21" s="62"/>
      <c r="C21" s="88"/>
      <c r="D21" s="88"/>
      <c r="E21" s="88"/>
      <c r="F21" s="88"/>
      <c r="G21" s="88"/>
      <c r="H21" s="63"/>
      <c r="I21" s="63"/>
      <c r="J21" s="63"/>
      <c r="K21" s="63"/>
      <c r="L21" s="76"/>
      <c r="M21" s="79" t="str">
        <f>IF($L$4="法师",法师!I16,IF($L$4="术士",法师!S16,IF($L$4="邪术师",法师!AC16,IF($L$4="牧师",法师!AM16,IF($L$4="圣武士",法师!AW16,IF($L$4="游侠",法师!BG16,IF($L$4="德鲁伊",法师!BQ16,法师!CA16)))))))</f>
        <v>朦胧术</v>
      </c>
      <c r="N21" s="79"/>
      <c r="O21" s="79"/>
      <c r="P21" s="79"/>
      <c r="Q21" s="80" t="str">
        <f>IF($L$4="法师",法师!H16,IF($L$4="术士",法师!R16,IF($L$4="邪术师",法师!AB16,IF($L$4="牧师",法师!AL16,IF($L$4="圣武士",法师!AV16,IF($L$4="游侠",法师!BF16,IF($L$4="德鲁伊",法师!BP16,法师!BZ16)))))))</f>
        <v>Blur</v>
      </c>
      <c r="R21" s="80"/>
      <c r="S21" s="80"/>
      <c r="T21" s="80"/>
      <c r="U21" s="84"/>
      <c r="X21" s="67"/>
      <c r="Y21" s="67"/>
      <c r="Z21" s="67"/>
      <c r="AA21" s="67"/>
      <c r="AB21" s="67"/>
      <c r="AC21" s="67"/>
    </row>
    <row r="22" ht="35" customHeight="1" spans="2:29">
      <c r="B22" s="62"/>
      <c r="C22" s="88"/>
      <c r="D22" s="88"/>
      <c r="E22" s="88"/>
      <c r="F22" s="88"/>
      <c r="G22" s="88"/>
      <c r="H22" s="63"/>
      <c r="I22" s="63"/>
      <c r="J22" s="63"/>
      <c r="K22" s="63"/>
      <c r="L22" s="76"/>
      <c r="M22" s="79" t="str">
        <f>IF($L$4="法师",法师!I17,IF($L$4="术士",法师!S17,IF($L$4="邪术师",法师!AC17,IF($L$4="牧师",法师!AM17,IF($L$4="圣武士",法师!AW17,IF($L$4="游侠",法师!BG17,IF($L$4="德鲁伊",法师!BQ17,法师!CA17)))))))</f>
        <v>变巨/缩小术</v>
      </c>
      <c r="N22" s="79"/>
      <c r="O22" s="79"/>
      <c r="P22" s="79"/>
      <c r="Q22" s="80" t="str">
        <f>IF($L$4="法师",法师!H17,IF($L$4="术士",法师!R17,IF($L$4="邪术师",法师!AB17,IF($L$4="牧师",法师!AL17,IF($L$4="圣武士",法师!AV17,IF($L$4="游侠",法师!BF17,IF($L$4="德鲁伊",法师!BP17,法师!BZ17)))))))</f>
        <v>Enlarge/Reduce</v>
      </c>
      <c r="R22" s="80"/>
      <c r="S22" s="80"/>
      <c r="T22" s="80"/>
      <c r="U22" s="84"/>
      <c r="X22" s="67"/>
      <c r="Y22" s="67"/>
      <c r="Z22" s="67"/>
      <c r="AA22" s="67"/>
      <c r="AB22" s="67"/>
      <c r="AC22" s="67"/>
    </row>
    <row r="23" ht="35" customHeight="1" spans="2:29">
      <c r="B23" s="62"/>
      <c r="C23" s="88"/>
      <c r="D23" s="88"/>
      <c r="E23" s="88"/>
      <c r="F23" s="88"/>
      <c r="G23" s="88"/>
      <c r="H23" s="63"/>
      <c r="I23" s="63"/>
      <c r="J23" s="63"/>
      <c r="K23" s="63"/>
      <c r="L23" s="76"/>
      <c r="M23" s="79" t="str">
        <f>IF($L$4="法师",法师!I18,IF($L$4="术士",法师!S18,IF($L$4="邪术师",法师!AC18,IF($L$4="牧师",法师!AM18,IF($L$4="圣武士",法师!AW18,IF($L$4="游侠",法师!BG18,IF($L$4="德鲁伊",法师!BQ18,法师!CA18)))))))</f>
        <v>浮空术</v>
      </c>
      <c r="N23" s="79"/>
      <c r="O23" s="79"/>
      <c r="P23" s="79"/>
      <c r="Q23" s="80" t="str">
        <f>IF($L$4="法师",法师!H18,IF($L$4="术士",法师!R18,IF($L$4="邪术师",法师!AB18,IF($L$4="牧师",法师!AL18,IF($L$4="圣武士",法师!AV18,IF($L$4="游侠",法师!BF18,IF($L$4="德鲁伊",法师!BP18,法师!BZ18)))))))</f>
        <v>Levitate</v>
      </c>
      <c r="R23" s="80"/>
      <c r="S23" s="80"/>
      <c r="T23" s="80"/>
      <c r="U23" s="84"/>
      <c r="X23" s="67"/>
      <c r="Y23" s="67"/>
      <c r="Z23" s="67"/>
      <c r="AA23" s="67"/>
      <c r="AB23" s="67"/>
      <c r="AC23" s="67"/>
    </row>
    <row r="24" ht="35" customHeight="1" spans="2:29">
      <c r="B24" s="62"/>
      <c r="C24" s="88"/>
      <c r="D24" s="88"/>
      <c r="E24" s="88"/>
      <c r="F24" s="88"/>
      <c r="G24" s="88"/>
      <c r="H24" s="63"/>
      <c r="I24" s="63"/>
      <c r="J24" s="63"/>
      <c r="K24" s="63"/>
      <c r="L24" s="76"/>
      <c r="M24" s="79" t="str">
        <f>IF($L$4="法师",法师!I19,IF($L$4="术士",法师!S19,IF($L$4="邪术师",法师!AC19,IF($L$4="牧师",法师!AM19,IF($L$4="圣武士",法师!AW19,IF($L$4="游侠",法师!BG19,IF($L$4="德鲁伊",法师!BQ19,法师!CA19)))))))</f>
        <v>蛛网术</v>
      </c>
      <c r="N24" s="79"/>
      <c r="O24" s="79"/>
      <c r="P24" s="79"/>
      <c r="Q24" s="80" t="str">
        <f>IF($L$4="法师",法师!H19,IF($L$4="术士",法师!R19,IF($L$4="邪术师",法师!AB19,IF($L$4="牧师",法师!AL19,IF($L$4="圣武士",法师!AV19,IF($L$4="游侠",法师!BF19,IF($L$4="德鲁伊",法师!BP19,法师!BZ19)))))))</f>
        <v>Web</v>
      </c>
      <c r="R24" s="80"/>
      <c r="S24" s="80"/>
      <c r="T24" s="80"/>
      <c r="U24" s="84"/>
    </row>
    <row r="25" ht="35" customHeight="1" spans="2:29">
      <c r="B25" s="62"/>
      <c r="C25" s="88"/>
      <c r="D25" s="88"/>
      <c r="E25" s="88"/>
      <c r="F25" s="88"/>
      <c r="G25" s="88"/>
      <c r="J25" s="63"/>
      <c r="K25" s="63"/>
      <c r="L25" s="76"/>
      <c r="M25" s="79" t="str">
        <f>IF($L$4="法师",法师!I20,IF($L$4="术士",法师!S20,IF($L$4="邪术师",法师!AC20,IF($L$4="牧师",法师!AM20,IF($L$4="圣武士",法师!AW20,IF($L$4="游侠",法师!BG20,IF($L$4="德鲁伊",法师!BQ20,法师!CA20)))))))</f>
        <v>烟火E</v>
      </c>
      <c r="N25" s="79"/>
      <c r="O25" s="79"/>
      <c r="P25" s="79"/>
      <c r="Q25" s="80" t="str">
        <f>IF($L$4="法师",法师!H20,IF($L$4="术士",法师!R20,IF($L$4="邪术师",法师!AB20,IF($L$4="牧师",法师!AL20,IF($L$4="圣武士",法师!AV20,IF($L$4="游侠",法师!BF20,IF($L$4="德鲁伊",法师!BP20,法师!BZ20)))))))</f>
        <v>Pyrotechnics</v>
      </c>
      <c r="R25" s="80"/>
      <c r="S25" s="80"/>
      <c r="T25" s="80"/>
      <c r="U25" s="84"/>
    </row>
    <row r="26" ht="35" customHeight="1" spans="2:29">
      <c r="B26" s="62"/>
      <c r="C26" s="88"/>
      <c r="D26" s="88"/>
      <c r="E26" s="88"/>
      <c r="F26" s="88"/>
      <c r="G26" s="88"/>
      <c r="J26" s="63"/>
      <c r="K26" s="63"/>
      <c r="L26" s="76"/>
      <c r="M26" s="79" t="str">
        <f>IF($L$4="法师",法师!I21,IF($L$4="术士",法师!S21,IF($L$4="邪术师",法师!AC21,IF($L$4="牧师",法师!AM21,IF($L$4="圣武士",法师!AW21,IF($L$4="游侠",法师!BG21,IF($L$4="德鲁伊",法师!BQ21,法师!CA21)))))))</f>
        <v>烟火</v>
      </c>
      <c r="N26" s="79"/>
      <c r="O26" s="79"/>
      <c r="P26" s="79"/>
      <c r="Q26" s="80" t="str">
        <f>IF($L$4="法师",法师!H21,IF($L$4="术士",法师!R21,IF($L$4="邪术师",法师!AB21,IF($L$4="牧师",法师!AL21,IF($L$4="圣武士",法师!AV21,IF($L$4="游侠",法师!BF21,IF($L$4="德鲁伊",法师!BP21,法师!BZ21)))))))</f>
        <v>Pyrotechnics</v>
      </c>
      <c r="R26" s="80"/>
      <c r="S26" s="80"/>
      <c r="T26" s="80"/>
      <c r="U26" s="84"/>
    </row>
    <row r="27" ht="35" customHeight="1" spans="2:29">
      <c r="B27" s="62"/>
      <c r="C27" s="88"/>
      <c r="D27" s="88"/>
      <c r="E27" s="88"/>
      <c r="F27" s="88"/>
      <c r="G27" s="88"/>
      <c r="J27" s="63"/>
      <c r="K27" s="63"/>
      <c r="L27" s="76"/>
      <c r="M27" s="79" t="str">
        <f>IF($L$4="法师",法师!I22,IF($L$4="术士",法师!S22,IF($L$4="邪术师",法师!AC22,IF($L$4="牧师",法师!AM22,IF($L$4="圣武士",法师!AW22,IF($L$4="游侠",法师!BG22,IF($L$4="德鲁伊",法师!BQ22,法师!CA22)))))))</f>
        <v>守护之风</v>
      </c>
      <c r="N27" s="79"/>
      <c r="O27" s="79"/>
      <c r="P27" s="79"/>
      <c r="Q27" s="80" t="str">
        <f>IF($L$4="法师",法师!H22,IF($L$4="术士",法师!R22,IF($L$4="邪术师",法师!AB22,IF($L$4="牧师",法师!AL22,IF($L$4="圣武士",法师!AV22,IF($L$4="游侠",法师!BF22,IF($L$4="德鲁伊",法师!BP22,法师!BZ22)))))))</f>
        <v>Warding Wind</v>
      </c>
      <c r="R27" s="80"/>
      <c r="S27" s="80"/>
      <c r="T27" s="80"/>
      <c r="U27" s="84"/>
    </row>
    <row r="28" ht="35" customHeight="1" spans="2:29">
      <c r="B28" s="62"/>
      <c r="C28" s="88"/>
      <c r="D28" s="88"/>
      <c r="E28" s="88"/>
      <c r="F28" s="88"/>
      <c r="G28" s="88"/>
      <c r="J28" s="63"/>
      <c r="K28" s="63"/>
      <c r="L28" s="76"/>
      <c r="M28" s="79" t="str">
        <f>IF($L$4="法师",法师!I23,IF($L$4="术士",法师!S23,IF($L$4="邪术师",法师!AC23,IF($L$4="牧师",法师!AM23,IF($L$4="圣武士",法师!AW23,IF($L$4="游侠",法师!BG23,IF($L$4="德鲁伊",法师!BQ23,法师!CA23)))))))</f>
        <v>空中写字E</v>
      </c>
      <c r="N28" s="79"/>
      <c r="O28" s="79"/>
      <c r="P28" s="79"/>
      <c r="Q28" s="80" t="str">
        <f>IF($L$4="法师",法师!H23,IF($L$4="术士",法师!R23,IF($L$4="邪术师",法师!AB23,IF($L$4="牧师",法师!AL23,IF($L$4="圣武士",法师!AV23,IF($L$4="游侠",法师!BF23,IF($L$4="德鲁伊",法师!BP23,法师!BZ23)))))))</f>
        <v>Skywrite</v>
      </c>
      <c r="R28" s="80"/>
      <c r="S28" s="80"/>
      <c r="T28" s="80"/>
      <c r="U28" s="84"/>
    </row>
    <row r="29" s="60" customFormat="1" ht="35" customHeight="1" spans="2:29">
      <c r="B29" s="62"/>
      <c r="C29" s="88"/>
      <c r="D29" s="88"/>
      <c r="E29" s="88"/>
      <c r="F29" s="88"/>
      <c r="G29" s="88"/>
      <c r="J29" s="62"/>
      <c r="K29" s="62"/>
      <c r="L29" s="89"/>
      <c r="M29" s="79" t="str">
        <f>IF($L$4="法师",法师!I24,IF($L$4="术士",法师!S24,IF($L$4="邪术师",法师!AC24,IF($L$4="牧师",法师!AM24,IF($L$4="圣武士",法师!AW24,IF($L$4="游侠",法师!BG24,IF($L$4="德鲁伊",法师!BQ24,法师!CA24)))))))</f>
        <v>空中写字</v>
      </c>
      <c r="N29" s="79"/>
      <c r="O29" s="79"/>
      <c r="P29" s="79"/>
      <c r="Q29" s="80" t="str">
        <f>IF($L$4="法师",法师!H24,IF($L$4="术士",法师!R24,IF($L$4="邪术师",法师!AB24,IF($L$4="牧师",法师!AL24,IF($L$4="圣武士",法师!AV24,IF($L$4="游侠",法师!BF24,IF($L$4="德鲁伊",法师!BP24,法师!BZ24)))))))</f>
        <v>Skywrite</v>
      </c>
      <c r="R29" s="80"/>
      <c r="S29" s="80"/>
      <c r="T29" s="80"/>
      <c r="U29" s="90"/>
      <c r="V29" s="61"/>
    </row>
    <row r="30" s="60" customFormat="1" ht="35" customHeight="1" spans="2:29">
      <c r="B30" s="62"/>
      <c r="C30" s="88"/>
      <c r="D30" s="88"/>
      <c r="E30" s="88"/>
      <c r="F30" s="88"/>
      <c r="G30" s="88"/>
      <c r="J30" s="62"/>
      <c r="K30" s="62"/>
      <c r="L30" s="89"/>
      <c r="M30" s="79" t="str">
        <f>IF($L$4="法师",法师!I25,IF($L$4="术士",法师!S25,IF($L$4="邪术师",法师!AC25,IF($L$4="牧师",法师!AM25,IF($L$4="圣武士",法师!AW25,IF($L$4="游侠",法师!BG25,IF($L$4="德鲁伊",法师!BQ25,法师!CA25)))))))</f>
        <v>匕首之云</v>
      </c>
      <c r="N30" s="79"/>
      <c r="O30" s="79"/>
      <c r="P30" s="79"/>
      <c r="Q30" s="80" t="str">
        <f>IF($L$4="法师",法师!H25,IF($L$4="术士",法师!R25,IF($L$4="邪术师",法师!AB25,IF($L$4="牧师",法师!AL25,IF($L$4="圣武士",法师!AV25,IF($L$4="游侠",法师!BF25,IF($L$4="德鲁伊",法师!BP25,法师!BZ25)))))))</f>
        <v>Cloud of Daggers</v>
      </c>
      <c r="R30" s="80"/>
      <c r="S30" s="80"/>
      <c r="T30" s="80"/>
      <c r="U30" s="90"/>
      <c r="V30" s="61"/>
    </row>
    <row r="31" s="60" customFormat="1" ht="35" customHeight="1" spans="2:29">
      <c r="B31" s="62"/>
      <c r="C31" s="88"/>
      <c r="D31" s="88"/>
      <c r="E31" s="88"/>
      <c r="F31" s="88"/>
      <c r="G31" s="88"/>
      <c r="J31" s="62"/>
      <c r="K31" s="62"/>
      <c r="L31" s="89"/>
      <c r="M31" s="79" t="str">
        <f>IF($L$4="法师",法师!I26,IF($L$4="术士",法师!S26,IF($L$4="邪术师",法师!AC26,IF($L$4="牧师",法师!AM26,IF($L$4="圣武士",法师!AW26,IF($L$4="游侠",法师!BG26,IF($L$4="德鲁伊",法师!BQ26,法师!CA26)))))))</f>
        <v>疯狂冠冕</v>
      </c>
      <c r="N31" s="79"/>
      <c r="O31" s="79"/>
      <c r="P31" s="79"/>
      <c r="Q31" s="80" t="str">
        <f>IF($L$4="法师",法师!H26,IF($L$4="术士",法师!R26,IF($L$4="邪术师",法师!AB26,IF($L$4="牧师",法师!AL26,IF($L$4="圣武士",法师!AV26,IF($L$4="游侠",法师!BF26,IF($L$4="德鲁伊",法师!BP26,法师!BZ26)))))))</f>
        <v>Crown of Madness</v>
      </c>
      <c r="R31" s="80"/>
      <c r="S31" s="80"/>
      <c r="T31" s="80"/>
      <c r="U31" s="90"/>
      <c r="V31" s="61"/>
    </row>
    <row r="32" s="60" customFormat="1" ht="35" customHeight="1" spans="2:29">
      <c r="B32" s="62"/>
      <c r="C32" s="88"/>
      <c r="D32" s="88"/>
      <c r="E32" s="88"/>
      <c r="F32" s="88"/>
      <c r="G32" s="88"/>
      <c r="J32" s="62"/>
      <c r="K32" s="62"/>
      <c r="L32" s="89"/>
      <c r="M32" s="79" t="str">
        <f>IF($L$4="法师",法师!I27,IF($L$4="术士",法师!S27,IF($L$4="邪术师",法师!AC27,IF($L$4="牧师",法师!AM27,IF($L$4="圣武士",法师!AW27,IF($L$4="游侠",法师!BG27,IF($L$4="德鲁伊",法师!BQ27,法师!CA27)))))))</f>
        <v>隐形术</v>
      </c>
      <c r="N32" s="79"/>
      <c r="O32" s="79"/>
      <c r="P32" s="79"/>
      <c r="Q32" s="80" t="str">
        <f>IF($L$4="法师",法师!H27,IF($L$4="术士",法师!R27,IF($L$4="邪术师",法师!AB27,IF($L$4="牧师",法师!AL27,IF($L$4="圣武士",法师!AV27,IF($L$4="游侠",法师!BF27,IF($L$4="德鲁伊",法师!BP27,法师!BZ27)))))))</f>
        <v>Invisibility</v>
      </c>
      <c r="R32" s="80"/>
      <c r="S32" s="80"/>
      <c r="T32" s="80"/>
      <c r="U32" s="90"/>
      <c r="V32" s="61"/>
    </row>
    <row r="33" s="60" customFormat="1" ht="35" customHeight="1" spans="2:22">
      <c r="B33" s="62"/>
      <c r="C33" s="88"/>
      <c r="D33" s="88"/>
      <c r="E33" s="88"/>
      <c r="F33" s="88"/>
      <c r="G33" s="88"/>
      <c r="J33" s="62"/>
      <c r="K33" s="62"/>
      <c r="L33" s="89"/>
      <c r="M33" s="79" t="str">
        <f>IF($L$4="法师",法师!I28,IF($L$4="术士",法师!S28,IF($L$4="邪术师",法师!AC28,IF($L$4="牧师",法师!AM28,IF($L$4="圣武士",法师!AW28,IF($L$4="游侠",法师!BG28,IF($L$4="德鲁伊",法师!BQ28,法师!CA28)))))))</f>
        <v>粉碎音波</v>
      </c>
      <c r="N33" s="79"/>
      <c r="O33" s="79"/>
      <c r="P33" s="79"/>
      <c r="Q33" s="80" t="str">
        <f>IF($L$4="法师",法师!H28,IF($L$4="术士",法师!R28,IF($L$4="邪术师",法师!AB28,IF($L$4="牧师",法师!AL28,IF($L$4="圣武士",法师!AV28,IF($L$4="游侠",法师!BF28,IF($L$4="德鲁伊",法师!BP28,法师!BZ28)))))))</f>
        <v>Shatter</v>
      </c>
      <c r="R33" s="80"/>
      <c r="S33" s="80"/>
      <c r="T33" s="80"/>
      <c r="U33" s="90"/>
      <c r="V33" s="61"/>
    </row>
    <row r="34" s="60" customFormat="1" ht="35" customHeight="1" spans="2:22">
      <c r="B34" s="62"/>
      <c r="J34" s="62"/>
      <c r="K34" s="62"/>
      <c r="L34" s="89"/>
      <c r="M34" s="79" t="str">
        <f>IF($L$4="法师",法师!I29,IF($L$4="术士",法师!S29,IF($L$4="邪术师",法师!AC29,IF($L$4="牧师",法师!AM29,IF($L$4="圣武士",法师!AW29,IF($L$4="游侠",法师!BG29,IF($L$4="德鲁伊",法师!BQ29,法师!CA29)))))))</f>
        <v>暗示术</v>
      </c>
      <c r="N34" s="79"/>
      <c r="O34" s="79"/>
      <c r="P34" s="79"/>
      <c r="Q34" s="80" t="str">
        <f>IF($L$4="法师",法师!H29,IF($L$4="术士",法师!R29,IF($L$4="邪术师",法师!AB29,IF($L$4="牧师",法师!AL29,IF($L$4="圣武士",法师!AV29,IF($L$4="游侠",法师!BF29,IF($L$4="德鲁伊",法师!BP29,法师!BZ29)))))))</f>
        <v>Suggestion</v>
      </c>
      <c r="R34" s="80"/>
      <c r="S34" s="80"/>
      <c r="T34" s="80"/>
      <c r="U34" s="90"/>
      <c r="V34" s="61"/>
    </row>
    <row r="35" s="60" customFormat="1" ht="35" customHeight="1" spans="2:22">
      <c r="B35" s="79" t="s">
        <v>1251</v>
      </c>
      <c r="C35" s="79"/>
      <c r="D35" s="79"/>
      <c r="E35" s="79"/>
      <c r="F35" s="79"/>
      <c r="G35" s="79"/>
      <c r="H35" s="62"/>
      <c r="I35" s="62"/>
      <c r="J35" s="62"/>
      <c r="K35" s="62"/>
      <c r="L35" s="89"/>
      <c r="M35" s="79" t="str">
        <f>IF($L$4="法师",法师!I30,IF($L$4="术士",法师!S30,IF($L$4="邪术师",法师!AC30,IF($L$4="牧师",法师!AM30,IF($L$4="圣武士",法师!AW30,IF($L$4="游侠",法师!BG30,IF($L$4="德鲁伊",法师!BQ30,法师!CA30)))))))</f>
        <v>侦测思想</v>
      </c>
      <c r="N35" s="79"/>
      <c r="O35" s="79"/>
      <c r="P35" s="79"/>
      <c r="Q35" s="80" t="str">
        <f>IF($L$4="法师",法师!H30,IF($L$4="术士",法师!R30,IF($L$4="邪术师",法师!AB30,IF($L$4="牧师",法师!AL30,IF($L$4="圣武士",法师!AV30,IF($L$4="游侠",法师!BF30,IF($L$4="德鲁伊",法师!BP30,法师!BZ30)))))))</f>
        <v>Detect Thoughts</v>
      </c>
      <c r="R35" s="80"/>
      <c r="S35" s="80"/>
      <c r="T35" s="80"/>
      <c r="U35" s="90"/>
      <c r="V35" s="61"/>
    </row>
    <row r="36" s="60" customFormat="1" ht="35" customHeight="1" spans="2:22">
      <c r="B36" s="91" t="s">
        <v>1252</v>
      </c>
      <c r="C36" s="92"/>
      <c r="D36" s="93" t="s">
        <v>1253</v>
      </c>
      <c r="E36" s="94"/>
      <c r="F36" s="94"/>
      <c r="G36" s="94"/>
      <c r="H36" s="62"/>
      <c r="I36" s="62"/>
      <c r="J36" s="62"/>
      <c r="K36" s="62"/>
      <c r="L36" s="89"/>
      <c r="M36" s="79" t="str">
        <f>IF($L$4="法师",法师!I31,IF($L$4="术士",法师!S31,IF($L$4="邪术师",法师!AC31,IF($L$4="牧师",法师!AM31,IF($L$4="圣武士",法师!AW31,IF($L$4="游侠",法师!BG31,IF($L$4="德鲁伊",法师!BQ31,法师!CA31)))))))</f>
        <v>敲击术</v>
      </c>
      <c r="N36" s="79"/>
      <c r="O36" s="79"/>
      <c r="P36" s="79"/>
      <c r="Q36" s="80" t="str">
        <f>IF($L$4="法师",法师!H31,IF($L$4="术士",法师!R31,IF($L$4="邪术师",法师!AB31,IF($L$4="牧师",法师!AL31,IF($L$4="圣武士",法师!AV31,IF($L$4="游侠",法师!BF31,IF($L$4="德鲁伊",法师!BP31,法师!BZ31)))))))</f>
        <v>Knock</v>
      </c>
      <c r="R36" s="80"/>
      <c r="S36" s="80"/>
      <c r="T36" s="80"/>
      <c r="U36" s="90"/>
      <c r="V36" s="61"/>
    </row>
    <row r="37" s="60" customFormat="1" ht="35" customHeight="1" spans="2:22">
      <c r="B37" s="94"/>
      <c r="C37" s="94"/>
      <c r="D37" s="94"/>
      <c r="E37" s="94"/>
      <c r="F37" s="94"/>
      <c r="G37" s="94"/>
      <c r="H37" s="62"/>
      <c r="I37" s="62"/>
      <c r="J37" s="62"/>
      <c r="K37" s="62"/>
      <c r="L37" s="89"/>
      <c r="M37" s="79" t="str">
        <f>IF($L$4="法师",法师!I32,IF($L$4="术士",法师!S32,IF($L$4="邪术师",法师!AC32,IF($L$4="牧师",法师!AM32,IF($L$4="圣武士",法师!AW32,IF($L$4="游侠",法师!BG32,IF($L$4="德鲁伊",法师!BQ32,法师!CA32)))))))</f>
        <v>魅影之力</v>
      </c>
      <c r="N37" s="79"/>
      <c r="O37" s="79"/>
      <c r="P37" s="79"/>
      <c r="Q37" s="80" t="str">
        <f>IF($L$4="法师",法师!H32,IF($L$4="术士",法师!R32,IF($L$4="邪术师",法师!AB32,IF($L$4="牧师",法师!AL32,IF($L$4="圣武士",法师!AV32,IF($L$4="游侠",法师!BF32,IF($L$4="德鲁伊",法师!BP32,法师!BZ32)))))))</f>
        <v>Phantasmal Force</v>
      </c>
      <c r="R37" s="80"/>
      <c r="S37" s="80"/>
      <c r="T37" s="80"/>
      <c r="U37" s="90"/>
      <c r="V37" s="61"/>
    </row>
    <row r="38" s="60" customFormat="1" ht="35" customHeight="1" spans="2:22">
      <c r="B38" s="63"/>
      <c r="C38" s="63"/>
      <c r="D38" s="63"/>
      <c r="E38" s="63"/>
      <c r="F38" s="63"/>
      <c r="G38" s="63"/>
      <c r="H38" s="62"/>
      <c r="I38" s="62"/>
      <c r="J38" s="62"/>
      <c r="K38" s="62"/>
      <c r="L38" s="89"/>
      <c r="M38" s="79" t="str">
        <f>IF($L$4="法师",法师!I33,IF($L$4="术士",法师!S33,IF($L$4="邪术师",法师!AC33,IF($L$4="牧师",法师!AM33,IF($L$4="圣武士",法师!AW33,IF($L$4="游侠",法师!BG33,IF($L$4="德鲁伊",法师!BQ33,法师!CA33)))))))</f>
        <v>识破隐形</v>
      </c>
      <c r="N38" s="79"/>
      <c r="O38" s="79"/>
      <c r="P38" s="79"/>
      <c r="Q38" s="80" t="str">
        <f>IF($L$4="法师",法师!H33,IF($L$4="术士",法师!R33,IF($L$4="邪术师",法师!AB33,IF($L$4="牧师",法师!AL33,IF($L$4="圣武士",法师!AV33,IF($L$4="游侠",法师!BF33,IF($L$4="德鲁伊",法师!BP33,法师!BZ33)))))))</f>
        <v>See Invisibility</v>
      </c>
      <c r="R38" s="80"/>
      <c r="S38" s="80"/>
      <c r="T38" s="80"/>
      <c r="U38" s="90"/>
      <c r="V38" s="61"/>
    </row>
    <row r="39" s="60" customFormat="1" ht="35" customHeight="1" spans="2:22">
      <c r="B39" s="62"/>
      <c r="C39" s="62"/>
      <c r="D39" s="62"/>
      <c r="E39" s="62"/>
      <c r="F39" s="62"/>
      <c r="G39" s="62"/>
      <c r="H39" s="62"/>
      <c r="I39" s="62"/>
      <c r="J39" s="62"/>
      <c r="K39" s="62"/>
      <c r="L39" s="89"/>
      <c r="M39" s="79" t="str">
        <f>IF($L$4="法师",法师!I34,IF($L$4="术士",法师!S34,IF($L$4="邪术师",法师!AC34,IF($L$4="牧师",法师!AM34,IF($L$4="圣武士",法师!AW34,IF($L$4="游侠",法师!BG34,IF($L$4="德鲁伊",法师!BQ34,法师!CA34)))))))</f>
        <v>目盲/耳聋术</v>
      </c>
      <c r="N39" s="79"/>
      <c r="O39" s="79"/>
      <c r="P39" s="79"/>
      <c r="Q39" s="80" t="str">
        <f>IF($L$4="法师",法师!H34,IF($L$4="术士",法师!R34,IF($L$4="邪术师",法师!AB34,IF($L$4="牧师",法师!AL34,IF($L$4="圣武士",法师!AV34,IF($L$4="游侠",法师!BF34,IF($L$4="德鲁伊",法师!BP34,法师!BZ34)))))))</f>
        <v>Blindness/Deafness</v>
      </c>
      <c r="R39" s="80"/>
      <c r="S39" s="80"/>
      <c r="T39" s="80"/>
      <c r="U39" s="90"/>
      <c r="V39" s="61"/>
    </row>
    <row r="40" s="60" customFormat="1" ht="35" customHeight="1" spans="2:22">
      <c r="B40" s="62"/>
      <c r="C40" s="62"/>
      <c r="D40" s="62"/>
      <c r="E40" s="62"/>
      <c r="F40" s="62"/>
      <c r="G40" s="62"/>
      <c r="H40" s="62"/>
      <c r="I40" s="62"/>
      <c r="J40" s="62"/>
      <c r="K40" s="62"/>
      <c r="L40" s="89"/>
      <c r="M40" s="79" t="str">
        <f>IF($L$4="法师",法师!I35,IF($L$4="术士",法师!S35,IF($L$4="邪术师",法师!AC35,IF($L$4="牧师",法师!AM35,IF($L$4="圣武士",法师!AW35,IF($L$4="游侠",法师!BG35,IF($L$4="德鲁伊",法师!BQ35,法师!CA35)))))))</f>
        <v>人类定身术</v>
      </c>
      <c r="N40" s="79"/>
      <c r="O40" s="79"/>
      <c r="P40" s="79"/>
      <c r="Q40" s="80" t="str">
        <f>IF($L$4="法师",法师!H35,IF($L$4="术士",法师!R35,IF($L$4="邪术师",法师!AB35,IF($L$4="牧师",法师!AL35,IF($L$4="圣武士",法师!AV35,IF($L$4="游侠",法师!BF35,IF($L$4="德鲁伊",法师!BP35,法师!BZ35)))))))</f>
        <v>Hold Person</v>
      </c>
      <c r="R40" s="80"/>
      <c r="S40" s="80"/>
      <c r="T40" s="80"/>
      <c r="U40" s="90"/>
      <c r="V40" s="61"/>
    </row>
    <row r="41" s="60" customFormat="1" ht="35" customHeight="1" spans="2:22">
      <c r="B41" s="95" t="s">
        <v>1254</v>
      </c>
      <c r="C41" s="95"/>
      <c r="D41" s="95"/>
      <c r="E41" s="95"/>
      <c r="F41" s="95"/>
      <c r="G41" s="95"/>
      <c r="H41" s="62"/>
      <c r="I41" s="62"/>
      <c r="J41" s="62"/>
      <c r="K41" s="62"/>
      <c r="L41" s="89"/>
      <c r="M41" s="79" t="str">
        <f>IF($L$4="法师",法师!I36,IF($L$4="术士",法师!S36,IF($L$4="邪术师",法师!AC36,IF($L$4="牧师",法师!AM36,IF($L$4="圣武士",法师!AW36,IF($L$4="游侠",法师!BG36,IF($L$4="德鲁伊",法师!BQ36,法师!CA36)))))))</f>
        <v>物件定位术</v>
      </c>
      <c r="N41" s="79"/>
      <c r="O41" s="79"/>
      <c r="P41" s="79"/>
      <c r="Q41" s="80" t="str">
        <f>IF($L$4="法师",法师!H36,IF($L$4="术士",法师!R36,IF($L$4="邪术师",法师!AB36,IF($L$4="牧师",法师!AL36,IF($L$4="圣武士",法师!AV36,IF($L$4="游侠",法师!BF36,IF($L$4="德鲁伊",法师!BP36,法师!BZ36)))))))</f>
        <v>Locate Object</v>
      </c>
      <c r="R41" s="80"/>
      <c r="S41" s="80"/>
      <c r="T41" s="80"/>
      <c r="U41" s="90"/>
      <c r="V41" s="61"/>
    </row>
    <row r="42" s="60" customFormat="1" ht="35" customHeight="1" spans="2:22">
      <c r="B42" s="95"/>
      <c r="C42" s="95"/>
      <c r="D42" s="95"/>
      <c r="E42" s="95"/>
      <c r="F42" s="95"/>
      <c r="G42" s="95"/>
      <c r="H42" s="62"/>
      <c r="I42" s="62"/>
      <c r="J42" s="62"/>
      <c r="K42" s="62"/>
      <c r="L42" s="89"/>
      <c r="M42" s="79" t="str">
        <f>IF($L$4="法师",法师!I37,IF($L$4="术士",法师!S37,IF($L$4="邪术师",法师!AC37,IF($L$4="牧师",法师!AM37,IF($L$4="圣武士",法师!AW37,IF($L$4="游侠",法师!BG37,IF($L$4="德鲁伊",法师!BQ37,法师!CA37)))))))</f>
        <v>魔嘴术</v>
      </c>
      <c r="N42" s="79"/>
      <c r="O42" s="79"/>
      <c r="P42" s="79"/>
      <c r="Q42" s="80" t="str">
        <f>IF($L$4="法师",法师!H37,IF($L$4="术士",法师!R37,IF($L$4="邪术师",法师!AB37,IF($L$4="牧师",法师!AL37,IF($L$4="圣武士",法师!AV37,IF($L$4="游侠",法师!BF37,IF($L$4="德鲁伊",法师!BP37,法师!BZ37)))))))</f>
        <v>Magic Mouth</v>
      </c>
      <c r="R42" s="80"/>
      <c r="S42" s="80"/>
      <c r="T42" s="80"/>
      <c r="U42" s="90"/>
      <c r="V42" s="61"/>
    </row>
    <row r="43" s="60" customFormat="1" ht="35" customHeight="1" spans="2:22">
      <c r="B43" s="91" t="s">
        <v>1252</v>
      </c>
      <c r="C43" s="95"/>
      <c r="D43" s="93" t="s">
        <v>1255</v>
      </c>
      <c r="E43" s="96"/>
      <c r="F43" s="96"/>
      <c r="G43" s="96"/>
      <c r="H43" s="62"/>
      <c r="I43" s="62"/>
      <c r="J43" s="62"/>
      <c r="K43" s="62"/>
      <c r="L43" s="89"/>
      <c r="M43" s="79" t="str">
        <f>IF($L$4="法师",法师!I38,IF($L$4="术士",法师!S38,IF($L$4="邪术师",法师!AC38,IF($L$4="牧师",法师!AM38,IF($L$4="圣武士",法师!AW38,IF($L$4="游侠",法师!BG38,IF($L$4="德鲁伊",法师!BQ38,法师!CA38)))))))</f>
        <v>魔化武器</v>
      </c>
      <c r="N43" s="79"/>
      <c r="O43" s="79"/>
      <c r="P43" s="79"/>
      <c r="Q43" s="80" t="str">
        <f>IF($L$4="法师",法师!H38,IF($L$4="术士",法师!R38,IF($L$4="邪术师",法师!AB38,IF($L$4="牧师",法师!AL38,IF($L$4="圣武士",法师!AV38,IF($L$4="游侠",法师!BF38,IF($L$4="德鲁伊",法师!BP38,法师!BZ38)))))))</f>
        <v>Magic Weapon</v>
      </c>
      <c r="R43" s="80"/>
      <c r="S43" s="80"/>
      <c r="T43" s="80"/>
      <c r="U43" s="90"/>
      <c r="V43" s="61"/>
    </row>
    <row r="44" s="60" customFormat="1" ht="35" customHeight="1" spans="2:22">
      <c r="B44" s="94"/>
      <c r="C44" s="94"/>
      <c r="E44" s="94"/>
      <c r="F44" s="94"/>
      <c r="G44" s="94"/>
      <c r="H44" s="62"/>
      <c r="I44" s="62"/>
      <c r="J44" s="62"/>
      <c r="K44" s="62"/>
      <c r="L44" s="89"/>
      <c r="M44" s="79" t="str">
        <f>IF($L$4="法师",法师!I39,IF($L$4="术士",法师!S39,IF($L$4="邪术师",法师!AC39,IF($L$4="牧师",法师!AM39,IF($L$4="圣武士",法师!AW39,IF($L$4="游侠",法师!BG39,IF($L$4="德鲁伊",法师!BQ39,法师!CA39)))))))</f>
        <v>不灭明焰</v>
      </c>
      <c r="N44" s="79"/>
      <c r="O44" s="79"/>
      <c r="P44" s="79"/>
      <c r="Q44" s="80" t="str">
        <f>IF($L$4="法师",法师!H39,IF($L$4="术士",法师!R39,IF($L$4="邪术师",法师!AB39,IF($L$4="牧师",法师!AL39,IF($L$4="圣武士",法师!AV39,IF($L$4="游侠",法师!BF39,IF($L$4="德鲁伊",法师!BP39,法师!BZ39)))))))</f>
        <v>Continual Flame</v>
      </c>
      <c r="R44" s="80"/>
      <c r="S44" s="80"/>
      <c r="T44" s="80"/>
      <c r="U44" s="90"/>
      <c r="V44" s="61"/>
    </row>
    <row r="45" s="60" customFormat="1" ht="35" customHeight="1" spans="2:22">
      <c r="D45" s="97" t="str">
        <f>VLOOKUP(D43,列表!A2:L557,12,FALSE)</f>
        <v>侦测思想</v>
      </c>
      <c r="H45" s="62"/>
      <c r="I45" s="62"/>
      <c r="J45" s="62"/>
      <c r="K45" s="62"/>
      <c r="L45" s="89"/>
      <c r="M45" s="79" t="str">
        <f>IF($L$4="法师",法师!I40,IF($L$4="术士",法师!S40,IF($L$4="邪术师",法师!AC40,IF($L$4="牧师",法师!AM40,IF($L$4="圣武士",法师!AW40,IF($L$4="游侠",法师!BG40,IF($L$4="德鲁伊",法师!BQ40,法师!CA40)))))))</f>
        <v>遗体防腐</v>
      </c>
      <c r="N45" s="79"/>
      <c r="O45" s="79"/>
      <c r="P45" s="79"/>
      <c r="Q45" s="80" t="str">
        <f>IF($L$4="法师",法师!H40,IF($L$4="术士",法师!R40,IF($L$4="邪术师",法师!AB40,IF($L$4="牧师",法师!AL40,IF($L$4="圣武士",法师!AV40,IF($L$4="游侠",法师!BF40,IF($L$4="德鲁伊",法师!BP40,法师!BZ40)))))))</f>
        <v>Gentle Repose</v>
      </c>
      <c r="R45" s="80"/>
      <c r="S45" s="80"/>
      <c r="T45" s="80"/>
      <c r="U45" s="90"/>
      <c r="V45" s="61"/>
    </row>
    <row r="46" s="60" customFormat="1" ht="35" customHeight="1" spans="2:22">
      <c r="B46" s="91" t="s">
        <v>1256</v>
      </c>
      <c r="C46" s="91"/>
      <c r="D46" s="91"/>
      <c r="E46" s="91"/>
      <c r="F46" s="91"/>
      <c r="G46" s="91"/>
      <c r="H46" s="62"/>
      <c r="I46" s="62"/>
      <c r="J46" s="62"/>
      <c r="K46" s="62"/>
      <c r="L46" s="89"/>
      <c r="M46" s="79" t="str">
        <f>IF($L$4="法师",法师!I41,IF($L$4="术士",法师!S41,IF($L$4="邪术师",法师!AC41,IF($L$4="牧师",法师!AM41,IF($L$4="圣武士",法师!AW41,IF($L$4="游侠",法师!BG41,IF($L$4="德鲁伊",法师!BQ41,法师!CA41)))))))</f>
        <v>秘法锁</v>
      </c>
      <c r="N46" s="79"/>
      <c r="O46" s="79"/>
      <c r="P46" s="79"/>
      <c r="Q46" s="80" t="str">
        <f>IF($L$4="法师",法师!H41,IF($L$4="术士",法师!R41,IF($L$4="邪术师",法师!AB41,IF($L$4="牧师",法师!AL41,IF($L$4="圣武士",法师!AV41,IF($L$4="游侠",法师!BF41,IF($L$4="德鲁伊",法师!BP41,法师!BZ41)))))))</f>
        <v>Arcane Lock</v>
      </c>
      <c r="R46" s="80"/>
      <c r="S46" s="80"/>
      <c r="T46" s="80"/>
      <c r="U46" s="90"/>
      <c r="V46" s="61"/>
    </row>
    <row r="47" s="60" customFormat="1" ht="35" customHeight="1" spans="2:22">
      <c r="B47" s="91"/>
      <c r="C47" s="91"/>
      <c r="D47" s="91"/>
      <c r="E47" s="91"/>
      <c r="F47" s="91"/>
      <c r="G47" s="91"/>
      <c r="H47" s="62"/>
      <c r="I47" s="62"/>
      <c r="J47" s="62"/>
      <c r="K47" s="62"/>
      <c r="L47" s="89"/>
      <c r="M47" s="79" t="str">
        <f>IF($L$4="法师",法师!I42,IF($L$4="术士",法师!S42,IF($L$4="邪术师",法师!AC42,IF($L$4="牧师",法师!AM42,IF($L$4="圣武士",法师!AW42,IF($L$4="游侠",法师!BG42,IF($L$4="德鲁伊",法师!BQ42,法师!CA42)))))))</f>
        <v>炽焰法球</v>
      </c>
      <c r="N47" s="79"/>
      <c r="O47" s="79"/>
      <c r="P47" s="79"/>
      <c r="Q47" s="80" t="str">
        <f>IF($L$4="法师",法师!H42,IF($L$4="术士",法师!R42,IF($L$4="邪术师",法师!AB42,IF($L$4="牧师",法师!AL42,IF($L$4="圣武士",法师!AV42,IF($L$4="游侠",法师!BF42,IF($L$4="德鲁伊",法师!BP42,法师!BZ42)))))))</f>
        <v>Flaming Sphere</v>
      </c>
      <c r="R47" s="80"/>
      <c r="S47" s="80"/>
      <c r="T47" s="80"/>
      <c r="U47" s="90"/>
      <c r="V47" s="61"/>
    </row>
    <row r="48" s="60" customFormat="1" ht="35" customHeight="1" spans="2:22">
      <c r="B48" s="91"/>
      <c r="C48" s="91"/>
      <c r="D48" s="91"/>
      <c r="E48" s="91"/>
      <c r="F48" s="91"/>
      <c r="G48" s="91"/>
      <c r="H48" s="62"/>
      <c r="I48" s="62"/>
      <c r="J48" s="62"/>
      <c r="K48" s="62"/>
      <c r="L48" s="89"/>
      <c r="M48" s="79" t="str">
        <f>IF($L$4="法师",法师!I43,IF($L$4="术士",法师!S43,IF($L$4="邪术师",法师!AC43,IF($L$4="牧师",法师!AM43,IF($L$4="圣武士",法师!AW43,IF($L$4="游侠",法师!BG43,IF($L$4="德鲁伊",法师!BQ43,法师!CA43)))))))</f>
        <v>马友夫强酸箭</v>
      </c>
      <c r="N48" s="79"/>
      <c r="O48" s="79"/>
      <c r="P48" s="79"/>
      <c r="Q48" s="80" t="str">
        <f>IF($L$4="法师",法师!H43,IF($L$4="术士",法师!R43,IF($L$4="邪术师",法师!AB43,IF($L$4="牧师",法师!AL43,IF($L$4="圣武士",法师!AV43,IF($L$4="游侠",法师!BF43,IF($L$4="德鲁伊",法师!BP43,法师!BZ43)))))))</f>
        <v>Melf’s Acid Arrow</v>
      </c>
      <c r="R48" s="80"/>
      <c r="S48" s="80"/>
      <c r="T48" s="80"/>
      <c r="U48" s="90"/>
      <c r="V48" s="61"/>
    </row>
    <row r="49" s="60" customFormat="1" ht="35" customHeight="1" spans="2:22">
      <c r="B49" s="91"/>
      <c r="C49" s="91"/>
      <c r="D49" s="91"/>
      <c r="E49" s="91"/>
      <c r="F49" s="91"/>
      <c r="G49" s="91"/>
      <c r="H49" s="62"/>
      <c r="I49" s="62"/>
      <c r="J49" s="62"/>
      <c r="K49" s="62"/>
      <c r="L49" s="89"/>
      <c r="M49" s="79" t="str">
        <f>IF($L$4="法师",法师!I44,IF($L$4="术士",法师!S44,IF($L$4="邪术师",法师!AC44,IF($L$4="牧师",法师!AM44,IF($L$4="圣武士",法师!AW44,IF($L$4="游侠",法师!BG44,IF($L$4="德鲁伊",法师!BQ44,法师!CA44)))))))</f>
        <v>涅斯图魔法灵光</v>
      </c>
      <c r="N49" s="79"/>
      <c r="O49" s="79"/>
      <c r="P49" s="79"/>
      <c r="Q49" s="80" t="str">
        <f>IF($L$4="法师",法师!H44,IF($L$4="术士",法师!R44,IF($L$4="邪术师",法师!AB44,IF($L$4="牧师",法师!AL44,IF($L$4="圣武士",法师!AV44,IF($L$4="游侠",法师!BF44,IF($L$4="德鲁伊",法师!BP44,法师!BZ44)))))))</f>
        <v>Nystul’s Magic Aura</v>
      </c>
      <c r="R49" s="80"/>
      <c r="S49" s="80"/>
      <c r="T49" s="80"/>
      <c r="U49" s="90"/>
      <c r="V49" s="61"/>
    </row>
    <row r="50" s="60" customFormat="1" ht="35" customHeight="1" spans="2:22">
      <c r="B50" s="91" t="s">
        <v>1257</v>
      </c>
      <c r="C50" s="91"/>
      <c r="D50" s="91"/>
      <c r="E50" s="91"/>
      <c r="F50" s="91"/>
      <c r="G50" s="91"/>
      <c r="H50" s="62"/>
      <c r="I50" s="62"/>
      <c r="J50" s="62"/>
      <c r="K50" s="62"/>
      <c r="L50" s="89"/>
      <c r="M50" s="79" t="str">
        <f>IF($L$4="法师",法师!I45,IF($L$4="术士",法师!S45,IF($L$4="邪术师",法师!AC45,IF($L$4="牧师",法师!AM45,IF($L$4="圣武士",法师!AW45,IF($L$4="游侠",法师!BG45,IF($L$4="德鲁伊",法师!BQ45,法师!CA45)))))))</f>
        <v>魔绳术</v>
      </c>
      <c r="N50" s="79"/>
      <c r="O50" s="79"/>
      <c r="P50" s="79"/>
      <c r="Q50" s="80" t="str">
        <f>IF($L$4="法师",法师!H45,IF($L$4="术士",法师!R45,IF($L$4="邪术师",法师!AB45,IF($L$4="牧师",法师!AL45,IF($L$4="圣武士",法师!AV45,IF($L$4="游侠",法师!BF45,IF($L$4="德鲁伊",法师!BP45,法师!BZ45)))))))</f>
        <v>Rope Trick</v>
      </c>
      <c r="R50" s="80"/>
      <c r="S50" s="80"/>
      <c r="T50" s="80"/>
      <c r="U50" s="90"/>
      <c r="V50" s="61"/>
    </row>
    <row r="51" s="60" customFormat="1" ht="35" customHeight="1" spans="2:22">
      <c r="B51" s="91"/>
      <c r="C51" s="91"/>
      <c r="D51" s="91"/>
      <c r="E51" s="91"/>
      <c r="F51" s="91"/>
      <c r="G51" s="91"/>
      <c r="H51" s="62"/>
      <c r="I51" s="62"/>
      <c r="J51" s="62"/>
      <c r="K51" s="62"/>
      <c r="L51" s="89"/>
      <c r="M51" s="79" t="str">
        <f>IF($L$4="法师",法师!I46,IF($L$4="术士",法师!S46,IF($L$4="邪术师",法师!AC46,IF($L$4="牧师",法师!AM46,IF($L$4="圣武士",法师!AW46,IF($L$4="游侠",法师!BG46,IF($L$4="德鲁伊",法师!BQ46,法师!CA46)))))))</f>
        <v>地缚</v>
      </c>
      <c r="N51" s="79"/>
      <c r="O51" s="79"/>
      <c r="P51" s="79"/>
      <c r="Q51" s="80" t="str">
        <f>IF($L$4="法师",法师!H46,IF($L$4="术士",法师!R46,IF($L$4="邪术师",法师!AB46,IF($L$4="牧师",法师!AL46,IF($L$4="圣武士",法师!AV46,IF($L$4="游侠",法师!BF46,IF($L$4="德鲁伊",法师!BP46,法师!BZ46)))))))</f>
        <v>Earthbind</v>
      </c>
      <c r="R51" s="80"/>
      <c r="S51" s="80"/>
      <c r="T51" s="80"/>
      <c r="U51" s="90"/>
      <c r="V51" s="61"/>
    </row>
    <row r="52" s="60" customFormat="1" ht="35" customHeight="1" spans="2:22">
      <c r="B52" s="91"/>
      <c r="C52" s="91"/>
      <c r="D52" s="91"/>
      <c r="E52" s="91"/>
      <c r="F52" s="91"/>
      <c r="G52" s="91"/>
      <c r="H52" s="62"/>
      <c r="I52" s="62"/>
      <c r="J52" s="62"/>
      <c r="K52" s="62"/>
      <c r="L52" s="89"/>
      <c r="M52" s="79" t="str">
        <f>IF($L$4="法师",法师!I47,IF($L$4="术士",法师!S47,IF($L$4="邪术师",法师!AC47,IF($L$4="牧师",法师!AM47,IF($L$4="圣武士",法师!AW47,IF($L$4="游侠",法师!BG47,IF($L$4="德鲁伊",法师!BQ47,法师!CA47)))))))</f>
        <v>地缚</v>
      </c>
      <c r="N52" s="79"/>
      <c r="O52" s="79"/>
      <c r="P52" s="79"/>
      <c r="Q52" s="80" t="str">
        <f>IF($L$4="法师",法师!H47,IF($L$4="术士",法师!R47,IF($L$4="邪术师",法师!AB47,IF($L$4="牧师",法师!AL47,IF($L$4="圣武士",法师!AV47,IF($L$4="游侠",法师!BF47,IF($L$4="德鲁伊",法师!BP47,法师!BZ47)))))))</f>
        <v>Earthbind</v>
      </c>
      <c r="R52" s="80"/>
      <c r="S52" s="80"/>
      <c r="T52" s="80"/>
      <c r="U52" s="90"/>
      <c r="V52" s="61"/>
    </row>
    <row r="53" s="60" customFormat="1" ht="35" customHeight="1" spans="2:22">
      <c r="B53" s="91"/>
      <c r="C53" s="91"/>
      <c r="D53" s="91"/>
      <c r="E53" s="91"/>
      <c r="F53" s="91"/>
      <c r="G53" s="91"/>
      <c r="H53" s="62"/>
      <c r="I53" s="62"/>
      <c r="J53" s="62"/>
      <c r="K53" s="62"/>
      <c r="L53" s="89"/>
      <c r="M53" s="79" t="str">
        <f>IF($L$4="法师",法师!I48,IF($L$4="术士",法师!S48,IF($L$4="邪术师",法师!AC48,IF($L$4="牧师",法师!AM48,IF($L$4="圣武士",法师!AW48,IF($L$4="游侠",法师!BG48,IF($L$4="德鲁伊",法师!BQ48,法师!CA48)))))))</f>
        <v>尘土恶魔E</v>
      </c>
      <c r="N53" s="79"/>
      <c r="O53" s="79"/>
      <c r="P53" s="79"/>
      <c r="Q53" s="80" t="str">
        <f>IF($L$4="法师",法师!H48,IF($L$4="术士",法师!R48,IF($L$4="邪术师",法师!AB48,IF($L$4="牧师",法师!AL48,IF($L$4="圣武士",法师!AV48,IF($L$4="游侠",法师!BF48,IF($L$4="德鲁伊",法师!BP48,法师!BZ48)))))))</f>
        <v>Dust Devil</v>
      </c>
      <c r="R53" s="80"/>
      <c r="S53" s="80"/>
      <c r="T53" s="80"/>
      <c r="U53" s="90"/>
      <c r="V53" s="61"/>
    </row>
    <row r="54" s="60" customFormat="1" ht="35" customHeight="1" spans="2:22">
      <c r="B54" s="62"/>
      <c r="C54" s="62"/>
      <c r="D54" s="62"/>
      <c r="E54" s="62"/>
      <c r="F54" s="62"/>
      <c r="G54" s="62"/>
      <c r="H54" s="62"/>
      <c r="I54" s="62"/>
      <c r="J54" s="62"/>
      <c r="K54" s="62"/>
      <c r="L54" s="89"/>
      <c r="M54" s="79" t="str">
        <f>IF($L$4="法师",法师!I49,IF($L$4="术士",法师!S49,IF($L$4="邪术师",法师!AC49,IF($L$4="牧师",法师!AM49,IF($L$4="圣武士",法师!AW49,IF($L$4="游侠",法师!BG49,IF($L$4="德鲁伊",法师!BQ49,法师!CA49)))))))</f>
        <v>尘土恶魔</v>
      </c>
      <c r="N54" s="79"/>
      <c r="O54" s="79"/>
      <c r="P54" s="79"/>
      <c r="Q54" s="80" t="str">
        <f>IF($L$4="法师",法师!H49,IF($L$4="术士",法师!R49,IF($L$4="邪术师",法师!AB49,IF($L$4="牧师",法师!AL49,IF($L$4="圣武士",法师!AV49,IF($L$4="游侠",法师!BF49,IF($L$4="德鲁伊",法师!BP49,法师!BZ49)))))))</f>
        <v>Dust Devil</v>
      </c>
      <c r="R54" s="80"/>
      <c r="S54" s="80"/>
      <c r="T54" s="80"/>
      <c r="U54" s="90"/>
      <c r="V54" s="61"/>
    </row>
    <row r="55" s="60" customFormat="1" ht="35" customHeight="1" spans="2:22">
      <c r="B55" s="62"/>
      <c r="C55" s="62"/>
      <c r="D55" s="62"/>
      <c r="E55" s="62"/>
      <c r="F55" s="62"/>
      <c r="G55" s="62"/>
      <c r="H55" s="62"/>
      <c r="I55" s="62"/>
      <c r="J55" s="62"/>
      <c r="K55" s="62"/>
      <c r="L55" s="89"/>
      <c r="M55" s="79" t="str">
        <f>IF($L$4="法师",法师!I50,IF($L$4="术士",法师!S50,IF($L$4="邪术师",法师!AC50,IF($L$4="牧师",法师!AM50,IF($L$4="圣武士",法师!AW50,IF($L$4="游侠",法师!BG50,IF($L$4="德鲁伊",法师!BQ50,法师!CA50)))))))</f>
        <v>黑暗视觉</v>
      </c>
      <c r="N55" s="79"/>
      <c r="O55" s="79"/>
      <c r="P55" s="79"/>
      <c r="Q55" s="80" t="str">
        <f>IF($L$4="法师",法师!H50,IF($L$4="术士",法师!R50,IF($L$4="邪术师",法师!AB50,IF($L$4="牧师",法师!AL50,IF($L$4="圣武士",法师!AV50,IF($L$4="游侠",法师!BF50,IF($L$4="德鲁伊",法师!BP50,法师!BZ50)))))))</f>
        <v>Darkvision</v>
      </c>
      <c r="R55" s="80"/>
      <c r="S55" s="80"/>
      <c r="T55" s="80"/>
      <c r="U55" s="90"/>
      <c r="V55" s="61"/>
    </row>
    <row r="56" s="60" customFormat="1" ht="35" customHeight="1" spans="2:22">
      <c r="B56" s="62"/>
      <c r="C56" s="62"/>
      <c r="D56" s="62"/>
      <c r="E56" s="62"/>
      <c r="F56" s="62"/>
      <c r="G56" s="62"/>
      <c r="H56" s="62"/>
      <c r="I56" s="62"/>
      <c r="J56" s="62"/>
      <c r="K56" s="62"/>
      <c r="L56" s="89"/>
      <c r="M56" s="79" t="str">
        <f>IF($L$4="法师",法师!I51,IF($L$4="术士",法师!S51,IF($L$4="邪术师",法师!AC51,IF($L$4="牧师",法师!AM51,IF($L$4="圣武士",法师!AW51,IF($L$4="游侠",法师!BG51,IF($L$4="德鲁伊",法师!BQ51,法师!CA51)))))))</f>
        <v>造风术</v>
      </c>
      <c r="N56" s="79"/>
      <c r="O56" s="79"/>
      <c r="P56" s="79"/>
      <c r="Q56" s="80" t="str">
        <f>IF($L$4="法师",法师!H51,IF($L$4="术士",法师!R51,IF($L$4="邪术师",法师!AB51,IF($L$4="牧师",法师!AL51,IF($L$4="圣武士",法师!AV51,IF($L$4="游侠",法师!BF51,IF($L$4="德鲁伊",法师!BP51,法师!BZ51)))))))</f>
        <v>Gust of Wind</v>
      </c>
      <c r="R56" s="80"/>
      <c r="S56" s="80"/>
      <c r="T56" s="80"/>
      <c r="U56" s="90"/>
      <c r="V56" s="61"/>
    </row>
    <row r="57" s="60" customFormat="1" ht="35" customHeight="1" spans="2:22">
      <c r="B57" s="62"/>
      <c r="C57" s="62"/>
      <c r="D57" s="62"/>
      <c r="E57" s="62"/>
      <c r="F57" s="62"/>
      <c r="G57" s="62"/>
      <c r="H57" s="62"/>
      <c r="I57" s="62"/>
      <c r="J57" s="62"/>
      <c r="K57" s="62"/>
      <c r="L57" s="89"/>
      <c r="M57" s="79" t="str">
        <f>IF($L$4="法师",法师!I52,IF($L$4="术士",法师!S52,IF($L$4="邪术师",法师!AC52,IF($L$4="牧师",法师!AM52,IF($L$4="圣武士",法师!AW52,IF($L$4="游侠",法师!BG52,IF($L$4="德鲁伊",法师!BQ52,法师!CA52)))))))</f>
        <v/>
      </c>
      <c r="N57" s="79"/>
      <c r="O57" s="79"/>
      <c r="P57" s="79"/>
      <c r="Q57" s="80" t="str">
        <f>IF($L$4="法师",法师!H52,IF($L$4="术士",法师!R52,IF($L$4="邪术师",法师!AB52,IF($L$4="牧师",法师!AL52,IF($L$4="圣武士",法师!AV52,IF($L$4="游侠",法师!BF52,IF($L$4="德鲁伊",法师!BP52,法师!BZ52)))))))</f>
        <v/>
      </c>
      <c r="R57" s="80"/>
      <c r="S57" s="80"/>
      <c r="T57" s="80"/>
      <c r="U57" s="90"/>
      <c r="V57" s="61"/>
    </row>
    <row r="58" s="60" customFormat="1" ht="35" customHeight="1" spans="2:22">
      <c r="B58" s="62"/>
      <c r="C58" s="62"/>
      <c r="D58" s="62"/>
      <c r="E58" s="62"/>
      <c r="F58" s="62"/>
      <c r="G58" s="62"/>
      <c r="H58" s="62"/>
      <c r="I58" s="62"/>
      <c r="J58" s="62"/>
      <c r="K58" s="62"/>
      <c r="L58" s="89"/>
      <c r="M58" s="79" t="str">
        <f>IF($L$4="法师",法师!I53,IF($L$4="术士",法师!S53,IF($L$4="邪术师",法师!AC53,IF($L$4="牧师",法师!AM53,IF($L$4="圣武士",法师!AW53,IF($L$4="游侠",法师!BG53,IF($L$4="德鲁伊",法师!BQ53,法师!CA53)))))))</f>
        <v/>
      </c>
      <c r="N58" s="79"/>
      <c r="O58" s="79"/>
      <c r="P58" s="79"/>
      <c r="Q58" s="80" t="str">
        <f>IF($L$4="法师",法师!H53,IF($L$4="术士",法师!R53,IF($L$4="邪术师",法师!AB53,IF($L$4="牧师",法师!AL53,IF($L$4="圣武士",法师!AV53,IF($L$4="游侠",法师!BF53,IF($L$4="德鲁伊",法师!BP53,法师!BZ53)))))))</f>
        <v/>
      </c>
      <c r="R58" s="80"/>
      <c r="S58" s="80"/>
      <c r="T58" s="80"/>
      <c r="U58" s="90"/>
      <c r="V58" s="61"/>
    </row>
    <row r="59" s="60" customFormat="1" ht="35" customHeight="1" spans="2:22">
      <c r="B59" s="62"/>
      <c r="C59" s="62"/>
      <c r="D59" s="62"/>
      <c r="E59" s="62"/>
      <c r="F59" s="62"/>
      <c r="G59" s="62"/>
      <c r="H59" s="62"/>
      <c r="I59" s="62"/>
      <c r="J59" s="62"/>
      <c r="K59" s="62"/>
      <c r="L59" s="89"/>
      <c r="M59" s="79" t="str">
        <f>IF($L$4="法师",法师!I54,IF($L$4="术士",法师!S54,IF($L$4="邪术师",法师!AC54,IF($L$4="牧师",法师!AM54,IF($L$4="圣武士",法师!AW54,IF($L$4="游侠",法师!BG54,IF($L$4="德鲁伊",法师!BQ54,法师!CA54)))))))</f>
        <v/>
      </c>
      <c r="N59" s="79"/>
      <c r="O59" s="79"/>
      <c r="P59" s="79"/>
      <c r="Q59" s="80" t="str">
        <f>IF($L$4="法师",法师!H54,IF($L$4="术士",法师!R54,IF($L$4="邪术师",法师!AB54,IF($L$4="牧师",法师!AL54,IF($L$4="圣武士",法师!AV54,IF($L$4="游侠",法师!BF54,IF($L$4="德鲁伊",法师!BP54,法师!BZ54)))))))</f>
        <v/>
      </c>
      <c r="R59" s="80"/>
      <c r="S59" s="80"/>
      <c r="T59" s="80"/>
      <c r="U59" s="90"/>
      <c r="V59" s="61"/>
    </row>
    <row r="60" s="60" customFormat="1" ht="35" customHeight="1" spans="2:22">
      <c r="B60" s="62"/>
      <c r="C60" s="62"/>
      <c r="D60" s="62"/>
      <c r="E60" s="62"/>
      <c r="F60" s="62"/>
      <c r="G60" s="62"/>
      <c r="H60" s="62"/>
      <c r="I60" s="62"/>
      <c r="J60" s="62"/>
      <c r="K60" s="62"/>
      <c r="L60" s="89"/>
      <c r="M60" s="79" t="str">
        <f>IF($L$4="法师",法师!I55,IF($L$4="术士",法师!S55,IF($L$4="邪术师",法师!AC55,IF($L$4="牧师",法师!AM55,IF($L$4="圣武士",法师!AW55,IF($L$4="游侠",法师!BG55,IF($L$4="德鲁伊",法师!BQ55,法师!CA55)))))))</f>
        <v/>
      </c>
      <c r="N60" s="79"/>
      <c r="O60" s="79"/>
      <c r="P60" s="79"/>
      <c r="Q60" s="80" t="str">
        <f>IF($L$4="法师",法师!H55,IF($L$4="术士",法师!R55,IF($L$4="邪术师",法师!AB55,IF($L$4="牧师",法师!AL55,IF($L$4="圣武士",法师!AV55,IF($L$4="游侠",法师!BF55,IF($L$4="德鲁伊",法师!BP55,法师!BZ55)))))))</f>
        <v/>
      </c>
      <c r="R60" s="80"/>
      <c r="S60" s="80"/>
      <c r="T60" s="80"/>
      <c r="U60" s="90"/>
      <c r="V60" s="61"/>
    </row>
    <row r="61" s="60" customFormat="1" ht="35" customHeight="1" spans="2:22">
      <c r="B61" s="62"/>
      <c r="C61" s="62"/>
      <c r="D61" s="62"/>
      <c r="E61" s="62"/>
      <c r="F61" s="62"/>
      <c r="G61" s="62"/>
      <c r="H61" s="62"/>
      <c r="I61" s="62"/>
      <c r="J61" s="62"/>
      <c r="K61" s="62"/>
      <c r="L61" s="89"/>
      <c r="M61" s="79" t="str">
        <f>IF($L$4="法师",法师!I56,IF($L$4="术士",法师!S56,IF($L$4="邪术师",法师!AC56,IF($L$4="牧师",法师!AM56,IF($L$4="圣武士",法师!AW56,IF($L$4="游侠",法师!BG56,IF($L$4="德鲁伊",法师!BQ56,法师!CA56)))))))</f>
        <v/>
      </c>
      <c r="N61" s="79"/>
      <c r="O61" s="79"/>
      <c r="P61" s="79"/>
      <c r="Q61" s="80" t="str">
        <f>IF($L$4="法师",法师!H56,IF($L$4="术士",法师!R56,IF($L$4="邪术师",法师!AB56,IF($L$4="牧师",法师!AL56,IF($L$4="圣武士",法师!AV56,IF($L$4="游侠",法师!BF56,IF($L$4="德鲁伊",法师!BP56,法师!BZ56)))))))</f>
        <v/>
      </c>
      <c r="R61" s="80"/>
      <c r="S61" s="80"/>
      <c r="T61" s="80"/>
      <c r="U61" s="90"/>
      <c r="V61" s="61"/>
    </row>
    <row r="62" s="60" customFormat="1" ht="35" customHeight="1" spans="2:22">
      <c r="B62" s="62"/>
      <c r="C62" s="62"/>
      <c r="D62" s="62"/>
      <c r="E62" s="62"/>
      <c r="F62" s="62"/>
      <c r="G62" s="62"/>
      <c r="H62" s="62"/>
      <c r="I62" s="62"/>
      <c r="J62" s="62"/>
      <c r="K62" s="62"/>
      <c r="L62" s="89"/>
      <c r="M62" s="79" t="str">
        <f>IF($L$4="法师",法师!I57,IF($L$4="术士",法师!S57,IF($L$4="邪术师",法师!AC57,IF($L$4="牧师",法师!AM57,IF($L$4="圣武士",法师!AW57,IF($L$4="游侠",法师!BG57,IF($L$4="德鲁伊",法师!BQ57,法师!CA57)))))))</f>
        <v/>
      </c>
      <c r="N62" s="79"/>
      <c r="O62" s="79"/>
      <c r="P62" s="79"/>
      <c r="Q62" s="80" t="str">
        <f>IF($L$4="法师",法师!H57,IF($L$4="术士",法师!R57,IF($L$4="邪术师",法师!AB57,IF($L$4="牧师",法师!AL57,IF($L$4="圣武士",法师!AV57,IF($L$4="游侠",法师!BF57,IF($L$4="德鲁伊",法师!BP57,法师!BZ57)))))))</f>
        <v/>
      </c>
      <c r="R62" s="80"/>
      <c r="S62" s="80"/>
      <c r="T62" s="80"/>
      <c r="U62" s="90"/>
      <c r="V62" s="61"/>
    </row>
    <row r="63" ht="20" customHeight="1" spans="2:22">
      <c r="B63" s="62"/>
      <c r="C63" s="63"/>
      <c r="D63" s="63"/>
      <c r="E63" s="63"/>
      <c r="F63" s="63"/>
      <c r="G63" s="63"/>
      <c r="H63" s="63"/>
      <c r="I63" s="63"/>
      <c r="J63" s="63"/>
      <c r="K63" s="63"/>
      <c r="L63" s="73"/>
      <c r="M63" s="98" t="str">
        <f>IF($L$4="法师",法师!I52,IF($L$4="术士",法师!R52,IF($L$4="邪术师",法师!Z52,IF($L$4="牧师",法师!AK52,IF($L$4="圣武士",法师!AV52,IF($L$4="游侠",法师!BD52,IF($L$4="德鲁伊",法师!BN52,法师!BZ52)))))))</f>
        <v/>
      </c>
      <c r="N63" s="99"/>
      <c r="O63" s="99"/>
      <c r="P63" s="99"/>
      <c r="Q63" s="99"/>
      <c r="R63" s="99"/>
      <c r="S63" s="99"/>
      <c r="T63" s="99"/>
      <c r="U63" s="74"/>
    </row>
    <row r="64" ht="14.75"/>
    <row r="65" ht="26.25" spans="1:31">
      <c r="H65" s="66"/>
      <c r="I65" s="60"/>
      <c r="J65" s="60"/>
      <c r="K65" s="100"/>
      <c r="L65" s="101"/>
      <c r="M65" s="101"/>
      <c r="N65" s="102"/>
      <c r="O65" s="103"/>
      <c r="P65" s="103"/>
      <c r="Q65" s="103"/>
      <c r="R65" s="103"/>
      <c r="S65" s="103"/>
      <c r="T65" s="104"/>
      <c r="V65" s="60"/>
    </row>
    <row r="66" ht="26.25" spans="1:31">
      <c r="H66" s="105"/>
      <c r="I66" s="100"/>
      <c r="J66" s="106"/>
      <c r="K66" s="107"/>
      <c r="L66" s="107"/>
      <c r="M66" s="108"/>
      <c r="N66" s="103"/>
      <c r="O66" s="103"/>
      <c r="P66" s="103"/>
      <c r="Q66" s="106"/>
      <c r="R66" s="109" t="str">
        <f>VLOOKUP(M67,列表!B2:M557,12,FALSE)</f>
        <v>Detect Thoughts</v>
      </c>
      <c r="S66" s="109"/>
      <c r="T66" s="109"/>
      <c r="U66" s="110"/>
      <c r="W66" s="111"/>
      <c r="X66" s="111"/>
      <c r="Y66" s="111"/>
      <c r="Z66" s="111"/>
      <c r="AA66" s="111"/>
      <c r="AB66" s="111"/>
      <c r="AC66" s="111"/>
      <c r="AD66" s="111"/>
      <c r="AE66" s="111"/>
    </row>
    <row r="67" ht="25.5" spans="1:31">
      <c r="H67" s="105"/>
      <c r="I67" s="112"/>
      <c r="J67" s="113" t="s">
        <v>1258</v>
      </c>
      <c r="K67" s="114"/>
      <c r="L67" s="115"/>
      <c r="M67" s="116" t="str">
        <f>IF(D36=VLOOKUP(D36,列表!$B$2:$L$557,11,FALSE),D36,"你查你马呢？")</f>
        <v>侦测思想</v>
      </c>
      <c r="N67" s="116"/>
      <c r="O67" s="116"/>
      <c r="P67" s="116"/>
      <c r="Q67" s="116"/>
      <c r="R67" s="116"/>
      <c r="S67" s="116"/>
      <c r="T67" s="116"/>
      <c r="U67" s="115"/>
      <c r="W67" s="111"/>
      <c r="X67" s="111"/>
      <c r="Y67" s="111"/>
      <c r="Z67" s="111"/>
      <c r="AA67" s="111"/>
      <c r="AB67" s="111"/>
      <c r="AC67" s="111"/>
      <c r="AD67" s="111"/>
      <c r="AE67" s="111"/>
    </row>
    <row r="68" ht="25.5" spans="1:31">
      <c r="H68" s="63"/>
      <c r="I68" s="112"/>
      <c r="J68" s="117"/>
      <c r="K68" s="118"/>
      <c r="L68" s="115"/>
      <c r="M68" s="116"/>
      <c r="N68" s="116"/>
      <c r="O68" s="116"/>
      <c r="P68" s="116"/>
      <c r="Q68" s="116"/>
      <c r="R68" s="116"/>
      <c r="S68" s="116"/>
      <c r="T68" s="116"/>
      <c r="U68" s="115"/>
      <c r="W68" s="111"/>
      <c r="X68" s="111"/>
      <c r="Y68" s="111"/>
      <c r="Z68" s="111"/>
      <c r="AA68" s="111"/>
      <c r="AB68" s="111"/>
      <c r="AC68" s="111"/>
      <c r="AD68" s="111"/>
      <c r="AE68" s="111"/>
    </row>
    <row r="69" ht="26.25" spans="1:31">
      <c r="H69" s="62"/>
      <c r="I69" s="119"/>
      <c r="J69" s="117"/>
      <c r="K69" s="118"/>
      <c r="L69" s="120"/>
      <c r="M69" s="116"/>
      <c r="N69" s="116"/>
      <c r="O69" s="116"/>
      <c r="P69" s="116"/>
      <c r="Q69" s="116"/>
      <c r="R69" s="116"/>
      <c r="S69" s="116"/>
      <c r="T69" s="116"/>
      <c r="U69" s="115"/>
      <c r="W69" s="111"/>
      <c r="X69" s="111"/>
      <c r="Y69" s="111"/>
      <c r="Z69" s="111"/>
      <c r="AA69" s="111"/>
      <c r="AB69" s="111"/>
      <c r="AC69" s="111"/>
      <c r="AD69" s="111"/>
      <c r="AE69" s="111"/>
    </row>
    <row r="70" ht="25.5" spans="1:31">
      <c r="H70" s="62"/>
      <c r="I70" s="119"/>
      <c r="J70" s="115"/>
      <c r="K70" s="121"/>
      <c r="L70" s="120"/>
      <c r="M70" s="116"/>
      <c r="N70" s="116"/>
      <c r="O70" s="116"/>
      <c r="P70" s="116"/>
      <c r="Q70" s="116"/>
      <c r="R70" s="116"/>
      <c r="S70" s="116"/>
      <c r="T70" s="116"/>
      <c r="U70" s="115"/>
      <c r="W70" s="111"/>
      <c r="X70" s="111"/>
      <c r="Y70" s="111"/>
      <c r="Z70" s="111"/>
      <c r="AA70" s="111"/>
      <c r="AB70" s="111"/>
      <c r="AC70" s="111"/>
      <c r="AD70" s="111"/>
      <c r="AE70" s="111"/>
    </row>
    <row r="71" ht="25.5" spans="1:31">
      <c r="H71" s="105"/>
      <c r="I71" s="60"/>
      <c r="J71" s="122"/>
      <c r="K71" s="112"/>
      <c r="L71" s="120"/>
      <c r="M71" s="116"/>
      <c r="N71" s="116"/>
      <c r="O71" s="116"/>
      <c r="P71" s="116"/>
      <c r="Q71" s="116"/>
      <c r="R71" s="116"/>
      <c r="S71" s="116"/>
      <c r="T71" s="116"/>
      <c r="U71" s="115"/>
      <c r="W71" s="111"/>
      <c r="X71" s="111"/>
      <c r="Y71" s="111"/>
      <c r="Z71" s="111"/>
      <c r="AA71" s="111"/>
      <c r="AB71" s="111"/>
      <c r="AC71" s="111"/>
      <c r="AD71" s="111"/>
      <c r="AE71" s="111"/>
    </row>
    <row r="72" ht="25.5" spans="1:31">
      <c r="A72" s="123"/>
      <c r="H72" s="105"/>
      <c r="I72" s="60"/>
      <c r="J72" s="122"/>
      <c r="K72" s="122"/>
      <c r="L72" s="107"/>
      <c r="M72" s="124" t="str">
        <f>VLOOKUP(M67,列表!B2:M557,3,FALSE)</f>
        <v>诗人 术士 法师</v>
      </c>
      <c r="N72" s="124"/>
      <c r="O72" s="124"/>
      <c r="P72" s="125" t="str">
        <f>VLOOKUP(M67,列表!B2:M557,4,FALSE)</f>
        <v>2环/预言</v>
      </c>
      <c r="Q72" s="125"/>
      <c r="R72" s="125"/>
      <c r="S72" s="126" t="str">
        <f>VLOOKUP(M67,列表!B2:M557,2,FALSE)</f>
        <v>出自：PHB</v>
      </c>
      <c r="T72" s="126"/>
      <c r="U72" s="115"/>
      <c r="W72" s="111"/>
      <c r="X72" s="111"/>
      <c r="Y72" s="111"/>
      <c r="Z72" s="111"/>
      <c r="AA72" s="111"/>
      <c r="AB72" s="111"/>
      <c r="AC72" s="111"/>
      <c r="AD72" s="111"/>
      <c r="AE72" s="111"/>
    </row>
    <row r="73" ht="25.5" spans="1:31">
      <c r="H73" s="105"/>
      <c r="I73" s="60"/>
      <c r="J73" s="122"/>
      <c r="K73" s="122"/>
      <c r="L73" s="107"/>
      <c r="M73" s="124"/>
      <c r="N73" s="124"/>
      <c r="O73" s="124"/>
      <c r="P73" s="125"/>
      <c r="Q73" s="125"/>
      <c r="R73" s="125"/>
      <c r="S73" s="126"/>
      <c r="T73" s="126"/>
      <c r="U73" s="115"/>
      <c r="W73" s="111"/>
      <c r="X73" s="111"/>
      <c r="Y73" s="111"/>
      <c r="Z73" s="111"/>
      <c r="AA73" s="111"/>
      <c r="AB73" s="111"/>
      <c r="AC73" s="111"/>
      <c r="AD73" s="111"/>
      <c r="AE73" s="111"/>
    </row>
    <row r="74" ht="25.5" spans="1:31">
      <c r="H74" s="105"/>
      <c r="I74" s="60"/>
      <c r="J74" s="122"/>
      <c r="K74" s="122"/>
      <c r="L74" s="107"/>
      <c r="M74" s="127" t="s">
        <v>1259</v>
      </c>
      <c r="N74" s="127"/>
      <c r="O74" s="128" t="str">
        <f>VLOOKUP(M67,列表!B2:M557,5,FALSE)</f>
        <v>1动作</v>
      </c>
      <c r="P74" s="128"/>
      <c r="Q74" s="128"/>
      <c r="R74" s="128"/>
      <c r="S74" s="128"/>
      <c r="T74" s="128"/>
      <c r="U74" s="115"/>
      <c r="W74" s="111"/>
      <c r="X74" s="111"/>
      <c r="Y74" s="111"/>
      <c r="Z74" s="111"/>
      <c r="AA74" s="111"/>
      <c r="AB74" s="111"/>
      <c r="AC74" s="111"/>
      <c r="AD74" s="111"/>
      <c r="AE74" s="111"/>
    </row>
    <row r="75" ht="25.5" spans="1:31">
      <c r="I75" s="60"/>
      <c r="J75" s="122"/>
      <c r="K75" s="122"/>
      <c r="L75" s="107"/>
      <c r="M75" s="127"/>
      <c r="N75" s="127"/>
      <c r="O75" s="128"/>
      <c r="P75" s="128"/>
      <c r="Q75" s="128"/>
      <c r="R75" s="128"/>
      <c r="S75" s="128"/>
      <c r="T75" s="128"/>
      <c r="U75" s="115"/>
      <c r="W75" s="111"/>
      <c r="X75" s="111"/>
      <c r="Y75" s="111"/>
      <c r="Z75" s="111"/>
      <c r="AA75" s="111"/>
      <c r="AB75" s="111"/>
      <c r="AC75" s="111"/>
      <c r="AD75" s="111"/>
      <c r="AE75" s="111"/>
    </row>
    <row r="76" ht="25.5" spans="1:31">
      <c r="I76" s="60"/>
      <c r="J76" s="122"/>
      <c r="K76" s="122"/>
      <c r="L76" s="107"/>
      <c r="M76" s="129" t="s">
        <v>1260</v>
      </c>
      <c r="N76" s="129"/>
      <c r="O76" s="128" t="str">
        <f>VLOOKUP(M67,列表!B2:M557,6,FALSE)</f>
        <v>自身</v>
      </c>
      <c r="P76" s="128"/>
      <c r="Q76" s="128"/>
      <c r="R76" s="128"/>
      <c r="S76" s="128"/>
      <c r="T76" s="128"/>
      <c r="U76" s="115"/>
      <c r="W76" s="111"/>
      <c r="X76" s="111"/>
      <c r="Y76" s="111"/>
      <c r="Z76" s="111"/>
      <c r="AA76" s="111"/>
      <c r="AB76" s="111"/>
      <c r="AC76" s="111"/>
      <c r="AD76" s="111"/>
      <c r="AE76" s="111"/>
    </row>
    <row r="77" ht="25.5" spans="1:31">
      <c r="I77" s="60"/>
      <c r="J77" s="122"/>
      <c r="K77" s="122"/>
      <c r="L77" s="107"/>
      <c r="M77" s="129"/>
      <c r="N77" s="129"/>
      <c r="O77" s="128"/>
      <c r="P77" s="128"/>
      <c r="Q77" s="128"/>
      <c r="R77" s="128"/>
      <c r="S77" s="128"/>
      <c r="T77" s="128"/>
      <c r="U77" s="115"/>
      <c r="W77" s="111"/>
      <c r="X77" s="111"/>
      <c r="Y77" s="111"/>
      <c r="Z77" s="111"/>
      <c r="AA77" s="111"/>
      <c r="AB77" s="111"/>
      <c r="AC77" s="111"/>
      <c r="AD77" s="111"/>
      <c r="AE77" s="111"/>
    </row>
    <row r="78" ht="25.5" spans="1:31">
      <c r="I78" s="60"/>
      <c r="J78" s="122"/>
      <c r="K78" s="122"/>
      <c r="L78" s="107"/>
      <c r="M78" s="129" t="s">
        <v>1261</v>
      </c>
      <c r="N78" s="129"/>
      <c r="O78" s="128" t="str">
        <f>VLOOKUP(M67,列表!B2:M557,7,FALSE)</f>
        <v>V、S、M（一块铜片）</v>
      </c>
      <c r="P78" s="128"/>
      <c r="Q78" s="128"/>
      <c r="R78" s="128"/>
      <c r="S78" s="128"/>
      <c r="T78" s="128"/>
      <c r="U78" s="115"/>
      <c r="W78" s="111"/>
      <c r="X78" s="111"/>
      <c r="Y78" s="111"/>
      <c r="Z78" s="111"/>
      <c r="AA78" s="111"/>
      <c r="AB78" s="111"/>
      <c r="AC78" s="111"/>
      <c r="AD78" s="111"/>
      <c r="AE78" s="111"/>
    </row>
    <row r="79" ht="25.5" spans="1:31">
      <c r="I79" s="60"/>
      <c r="J79" s="122"/>
      <c r="K79" s="122"/>
      <c r="L79" s="107"/>
      <c r="M79" s="129"/>
      <c r="N79" s="129"/>
      <c r="O79" s="128"/>
      <c r="P79" s="128"/>
      <c r="Q79" s="128"/>
      <c r="R79" s="128"/>
      <c r="S79" s="128"/>
      <c r="T79" s="128"/>
      <c r="U79" s="115"/>
      <c r="W79" s="111"/>
      <c r="X79" s="111"/>
      <c r="Y79" s="111"/>
      <c r="Z79" s="111"/>
      <c r="AA79" s="111"/>
      <c r="AB79" s="111"/>
      <c r="AC79" s="111"/>
      <c r="AD79" s="111"/>
      <c r="AE79" s="111"/>
    </row>
    <row r="80" ht="25.5" spans="1:31">
      <c r="I80" s="60"/>
      <c r="J80" s="122"/>
      <c r="K80" s="122"/>
      <c r="L80" s="107"/>
      <c r="M80" s="130" t="s">
        <v>1262</v>
      </c>
      <c r="N80" s="130"/>
      <c r="O80" s="128" t="str">
        <f>VLOOKUP(M67,列表!B2:M557,8,FALSE)</f>
        <v>专注，至多1分钟</v>
      </c>
      <c r="P80" s="128"/>
      <c r="Q80" s="128"/>
      <c r="R80" s="128"/>
      <c r="S80" s="128"/>
      <c r="T80" s="128"/>
      <c r="U80" s="115"/>
      <c r="W80" s="111"/>
      <c r="X80" s="111"/>
      <c r="Y80" s="111"/>
      <c r="Z80" s="111"/>
      <c r="AA80" s="111"/>
      <c r="AB80" s="111"/>
      <c r="AC80" s="111"/>
      <c r="AD80" s="111"/>
      <c r="AE80" s="111"/>
    </row>
    <row r="81" ht="25.5" spans="9:31">
      <c r="I81" s="60"/>
      <c r="J81" s="122"/>
      <c r="K81" s="122"/>
      <c r="L81" s="107"/>
      <c r="M81" s="130"/>
      <c r="N81" s="130"/>
      <c r="O81" s="128"/>
      <c r="P81" s="128"/>
      <c r="Q81" s="128"/>
      <c r="R81" s="128"/>
      <c r="S81" s="128"/>
      <c r="T81" s="128"/>
      <c r="U81" s="115"/>
      <c r="W81" s="111"/>
      <c r="X81" s="111"/>
      <c r="Y81" s="111"/>
      <c r="Z81" s="111"/>
      <c r="AA81" s="111"/>
      <c r="AB81" s="111"/>
      <c r="AC81" s="111"/>
      <c r="AD81" s="111"/>
      <c r="AE81" s="111"/>
    </row>
    <row r="82" ht="25.5" spans="9:31">
      <c r="I82" s="60"/>
      <c r="J82" s="122"/>
      <c r="K82" s="122"/>
      <c r="L82" s="107"/>
      <c r="M82" s="131"/>
      <c r="N82" s="131"/>
      <c r="O82" s="131"/>
      <c r="P82" s="131"/>
      <c r="Q82" s="131"/>
      <c r="R82" s="131"/>
      <c r="S82" s="131"/>
      <c r="T82" s="131"/>
      <c r="U82" s="115"/>
      <c r="W82" s="111"/>
      <c r="X82" s="111"/>
      <c r="Y82" s="111"/>
      <c r="Z82" s="111"/>
      <c r="AA82" s="111"/>
      <c r="AB82" s="111"/>
      <c r="AC82" s="111"/>
      <c r="AD82" s="111"/>
      <c r="AE82" s="111"/>
    </row>
    <row r="83" ht="25.5" spans="9:31">
      <c r="I83" s="60"/>
      <c r="J83" s="122"/>
      <c r="K83" s="122"/>
      <c r="L83" s="107"/>
      <c r="M83" s="132" t="str">
        <f>VLOOKUP(M67,列表!B2:M557,9,FALSE)</f>
        <v>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v>
      </c>
      <c r="N83" s="133"/>
      <c r="O83" s="133"/>
      <c r="P83" s="133"/>
      <c r="Q83" s="133"/>
      <c r="R83" s="133"/>
      <c r="S83" s="133"/>
      <c r="T83" s="133"/>
      <c r="U83" s="115"/>
      <c r="W83" s="111"/>
      <c r="X83" s="111"/>
      <c r="Y83" s="111"/>
      <c r="Z83" s="111"/>
      <c r="AA83" s="111"/>
      <c r="AB83" s="111"/>
      <c r="AC83" s="111"/>
      <c r="AD83" s="111"/>
      <c r="AE83" s="111"/>
    </row>
    <row r="84" ht="25.5" spans="9:31">
      <c r="I84" s="60"/>
      <c r="J84" s="122"/>
      <c r="K84" s="122"/>
      <c r="L84" s="107"/>
      <c r="M84" s="133"/>
      <c r="N84" s="133"/>
      <c r="O84" s="133"/>
      <c r="P84" s="133"/>
      <c r="Q84" s="133"/>
      <c r="R84" s="133"/>
      <c r="S84" s="133"/>
      <c r="T84" s="133"/>
      <c r="U84" s="115"/>
      <c r="W84" s="111"/>
      <c r="X84" s="111"/>
      <c r="Y84" s="111"/>
      <c r="Z84" s="111"/>
      <c r="AA84" s="111"/>
      <c r="AB84" s="111"/>
      <c r="AC84" s="111"/>
      <c r="AD84" s="111"/>
      <c r="AE84" s="111"/>
    </row>
    <row r="85" ht="25.5" spans="9:31">
      <c r="I85" s="60"/>
      <c r="J85" s="122"/>
      <c r="K85" s="122"/>
      <c r="L85" s="107"/>
      <c r="M85" s="133"/>
      <c r="N85" s="133"/>
      <c r="O85" s="133"/>
      <c r="P85" s="133"/>
      <c r="Q85" s="133"/>
      <c r="R85" s="133"/>
      <c r="S85" s="133"/>
      <c r="T85" s="133"/>
      <c r="U85" s="115"/>
      <c r="W85" s="111"/>
      <c r="X85" s="111"/>
      <c r="Y85" s="111"/>
      <c r="Z85" s="111"/>
      <c r="AA85" s="111"/>
      <c r="AB85" s="111"/>
      <c r="AC85" s="111"/>
      <c r="AD85" s="111"/>
      <c r="AE85" s="111"/>
    </row>
    <row r="86" ht="25.5" spans="9:31">
      <c r="I86" s="60"/>
      <c r="J86" s="134"/>
      <c r="K86" s="122"/>
      <c r="L86" s="107"/>
      <c r="M86" s="133"/>
      <c r="N86" s="133"/>
      <c r="O86" s="133"/>
      <c r="P86" s="133"/>
      <c r="Q86" s="133"/>
      <c r="R86" s="133"/>
      <c r="S86" s="133"/>
      <c r="T86" s="133"/>
      <c r="U86" s="115"/>
      <c r="W86" s="111"/>
      <c r="X86" s="111"/>
      <c r="Y86" s="111"/>
      <c r="Z86" s="111"/>
      <c r="AA86" s="111"/>
      <c r="AB86" s="111"/>
      <c r="AC86" s="111"/>
      <c r="AD86" s="111"/>
      <c r="AE86" s="111"/>
    </row>
    <row r="87" ht="25.5" spans="9:31">
      <c r="I87" s="60"/>
      <c r="J87" s="60"/>
      <c r="K87" s="122"/>
      <c r="L87" s="107"/>
      <c r="M87" s="133"/>
      <c r="N87" s="133"/>
      <c r="O87" s="133"/>
      <c r="P87" s="133"/>
      <c r="Q87" s="133"/>
      <c r="R87" s="133"/>
      <c r="S87" s="133"/>
      <c r="T87" s="133"/>
      <c r="U87" s="115"/>
      <c r="W87" s="111"/>
      <c r="X87" s="111"/>
      <c r="Y87" s="111"/>
      <c r="Z87" s="111"/>
      <c r="AA87" s="111"/>
      <c r="AB87" s="111"/>
      <c r="AC87" s="111"/>
      <c r="AD87" s="111"/>
      <c r="AE87" s="111"/>
    </row>
    <row r="88" ht="25.5" spans="9:31">
      <c r="I88" s="60"/>
      <c r="J88" s="60"/>
      <c r="K88" s="122"/>
      <c r="L88" s="107"/>
      <c r="M88" s="133"/>
      <c r="N88" s="133"/>
      <c r="O88" s="133"/>
      <c r="P88" s="133"/>
      <c r="Q88" s="133"/>
      <c r="R88" s="133"/>
      <c r="S88" s="133"/>
      <c r="T88" s="133"/>
      <c r="U88" s="115"/>
      <c r="W88" s="111"/>
      <c r="X88" s="111"/>
      <c r="Y88" s="111"/>
      <c r="Z88" s="111"/>
      <c r="AA88" s="111"/>
      <c r="AB88" s="111"/>
      <c r="AC88" s="111"/>
      <c r="AD88" s="111"/>
      <c r="AE88" s="111"/>
    </row>
    <row r="89" ht="25.5" spans="9:31">
      <c r="I89" s="60"/>
      <c r="J89" s="60"/>
      <c r="K89" s="122"/>
      <c r="L89" s="107"/>
      <c r="M89" s="133"/>
      <c r="N89" s="133"/>
      <c r="O89" s="133"/>
      <c r="P89" s="133"/>
      <c r="Q89" s="133"/>
      <c r="R89" s="133"/>
      <c r="S89" s="133"/>
      <c r="T89" s="133"/>
      <c r="U89" s="115"/>
      <c r="W89" s="111"/>
      <c r="X89" s="111"/>
      <c r="Y89" s="111"/>
      <c r="Z89" s="111"/>
      <c r="AA89" s="111"/>
      <c r="AB89" s="111"/>
      <c r="AC89" s="111"/>
      <c r="AD89" s="111"/>
      <c r="AE89" s="111"/>
    </row>
    <row r="90" ht="25.5" spans="9:31">
      <c r="I90" s="60"/>
      <c r="J90" s="60"/>
      <c r="K90" s="122"/>
      <c r="L90" s="107"/>
      <c r="M90" s="133"/>
      <c r="N90" s="133"/>
      <c r="O90" s="133"/>
      <c r="P90" s="133"/>
      <c r="Q90" s="133"/>
      <c r="R90" s="133"/>
      <c r="S90" s="133"/>
      <c r="T90" s="133"/>
      <c r="U90" s="115"/>
      <c r="W90" s="111"/>
      <c r="X90" s="111"/>
      <c r="Y90" s="111"/>
      <c r="Z90" s="111"/>
      <c r="AA90" s="111"/>
      <c r="AB90" s="111"/>
      <c r="AC90" s="111"/>
      <c r="AD90" s="111"/>
      <c r="AE90" s="111"/>
    </row>
    <row r="91" ht="25.5" spans="9:31">
      <c r="I91" s="60"/>
      <c r="J91" s="60"/>
      <c r="K91" s="122"/>
      <c r="L91" s="107"/>
      <c r="M91" s="133"/>
      <c r="N91" s="133"/>
      <c r="O91" s="133"/>
      <c r="P91" s="133"/>
      <c r="Q91" s="133"/>
      <c r="R91" s="133"/>
      <c r="S91" s="133"/>
      <c r="T91" s="133"/>
      <c r="U91" s="115"/>
      <c r="W91" s="111"/>
      <c r="X91" s="111"/>
      <c r="Y91" s="111"/>
      <c r="Z91" s="111"/>
      <c r="AA91" s="111"/>
      <c r="AB91" s="111"/>
      <c r="AC91" s="111"/>
      <c r="AD91" s="111"/>
      <c r="AE91" s="111"/>
    </row>
    <row r="92" ht="25.5" spans="9:31">
      <c r="I92" s="60"/>
      <c r="J92" s="60"/>
      <c r="K92" s="122"/>
      <c r="L92" s="107"/>
      <c r="M92" s="133"/>
      <c r="N92" s="133"/>
      <c r="O92" s="133"/>
      <c r="P92" s="133"/>
      <c r="Q92" s="133"/>
      <c r="R92" s="133"/>
      <c r="S92" s="133"/>
      <c r="T92" s="133"/>
      <c r="U92" s="115"/>
      <c r="W92" s="111"/>
      <c r="X92" s="111"/>
      <c r="Y92" s="111"/>
      <c r="Z92" s="111"/>
      <c r="AA92" s="111"/>
      <c r="AB92" s="111"/>
      <c r="AC92" s="111"/>
      <c r="AD92" s="111"/>
      <c r="AE92" s="111"/>
    </row>
    <row r="93" ht="25.5" spans="9:31">
      <c r="I93" s="60"/>
      <c r="J93" s="60"/>
      <c r="K93" s="122"/>
      <c r="L93" s="107"/>
      <c r="M93" s="133"/>
      <c r="N93" s="133"/>
      <c r="O93" s="133"/>
      <c r="P93" s="133"/>
      <c r="Q93" s="133"/>
      <c r="R93" s="133"/>
      <c r="S93" s="133"/>
      <c r="T93" s="133"/>
      <c r="U93" s="115"/>
      <c r="W93" s="111"/>
      <c r="X93" s="111"/>
      <c r="Y93" s="111"/>
      <c r="Z93" s="111"/>
      <c r="AA93" s="111"/>
      <c r="AB93" s="111"/>
      <c r="AC93" s="111"/>
      <c r="AD93" s="111"/>
      <c r="AE93" s="111"/>
    </row>
    <row r="94" ht="25.5" spans="9:31">
      <c r="I94" s="60"/>
      <c r="J94" s="60"/>
      <c r="K94" s="122"/>
      <c r="L94" s="107"/>
      <c r="M94" s="133"/>
      <c r="N94" s="133"/>
      <c r="O94" s="133"/>
      <c r="P94" s="133"/>
      <c r="Q94" s="133"/>
      <c r="R94" s="133"/>
      <c r="S94" s="133"/>
      <c r="T94" s="133"/>
      <c r="U94" s="115"/>
      <c r="W94" s="111"/>
      <c r="X94" s="111"/>
      <c r="Y94" s="111"/>
      <c r="Z94" s="111"/>
      <c r="AA94" s="111"/>
      <c r="AB94" s="111"/>
      <c r="AC94" s="111"/>
      <c r="AD94" s="111"/>
      <c r="AE94" s="111"/>
    </row>
    <row r="95" ht="25.5" spans="9:31">
      <c r="I95" s="60"/>
      <c r="J95" s="60"/>
      <c r="K95" s="122"/>
      <c r="L95" s="107"/>
      <c r="M95" s="133"/>
      <c r="N95" s="133"/>
      <c r="O95" s="133"/>
      <c r="P95" s="133"/>
      <c r="Q95" s="133"/>
      <c r="R95" s="133"/>
      <c r="S95" s="133"/>
      <c r="T95" s="133"/>
      <c r="U95" s="115"/>
      <c r="W95" s="111"/>
      <c r="X95" s="111"/>
      <c r="Y95" s="111"/>
      <c r="Z95" s="111"/>
      <c r="AA95" s="111"/>
      <c r="AB95" s="111"/>
      <c r="AC95" s="111"/>
      <c r="AD95" s="111"/>
      <c r="AE95" s="111"/>
    </row>
    <row r="96" ht="25.5" spans="9:31">
      <c r="I96" s="60"/>
      <c r="J96" s="60"/>
      <c r="K96" s="122"/>
      <c r="L96" s="107"/>
      <c r="M96" s="133"/>
      <c r="N96" s="133"/>
      <c r="O96" s="133"/>
      <c r="P96" s="133"/>
      <c r="Q96" s="133"/>
      <c r="R96" s="133"/>
      <c r="S96" s="133"/>
      <c r="T96" s="133"/>
      <c r="U96" s="115"/>
      <c r="W96" s="111"/>
      <c r="X96" s="111"/>
      <c r="Y96" s="111"/>
      <c r="Z96" s="111"/>
      <c r="AA96" s="111"/>
      <c r="AB96" s="111"/>
      <c r="AC96" s="111"/>
      <c r="AD96" s="111"/>
      <c r="AE96" s="111"/>
    </row>
    <row r="97" ht="25.5" spans="9:31">
      <c r="I97" s="60"/>
      <c r="J97" s="60"/>
      <c r="K97" s="122"/>
      <c r="L97" s="107"/>
      <c r="M97" s="133"/>
      <c r="N97" s="133"/>
      <c r="O97" s="133"/>
      <c r="P97" s="133"/>
      <c r="Q97" s="133"/>
      <c r="R97" s="133"/>
      <c r="S97" s="133"/>
      <c r="T97" s="133"/>
      <c r="U97" s="115"/>
      <c r="W97" s="111"/>
      <c r="X97" s="111"/>
      <c r="Y97" s="111"/>
      <c r="Z97" s="111"/>
      <c r="AA97" s="111"/>
      <c r="AB97" s="111"/>
      <c r="AC97" s="111"/>
      <c r="AD97" s="111"/>
      <c r="AE97" s="111"/>
    </row>
    <row r="98" ht="25.5" spans="9:31">
      <c r="I98" s="60"/>
      <c r="J98" s="60"/>
      <c r="K98" s="122"/>
      <c r="L98" s="107"/>
      <c r="M98" s="133"/>
      <c r="N98" s="133"/>
      <c r="O98" s="133"/>
      <c r="P98" s="133"/>
      <c r="Q98" s="133"/>
      <c r="R98" s="133"/>
      <c r="S98" s="133"/>
      <c r="T98" s="133"/>
      <c r="U98" s="115"/>
      <c r="W98" s="111"/>
      <c r="X98" s="111"/>
      <c r="Y98" s="111"/>
      <c r="Z98" s="111"/>
      <c r="AA98" s="111"/>
      <c r="AB98" s="111"/>
      <c r="AC98" s="111"/>
      <c r="AD98" s="111"/>
      <c r="AE98" s="111"/>
    </row>
    <row r="99" ht="25.5" spans="9:31">
      <c r="I99" s="60"/>
      <c r="J99" s="60"/>
      <c r="K99" s="122"/>
      <c r="L99" s="107"/>
      <c r="M99" s="133"/>
      <c r="N99" s="133"/>
      <c r="O99" s="133"/>
      <c r="P99" s="133"/>
      <c r="Q99" s="133"/>
      <c r="R99" s="133"/>
      <c r="S99" s="133"/>
      <c r="T99" s="133"/>
      <c r="U99" s="115"/>
      <c r="W99" s="111"/>
      <c r="X99" s="111"/>
      <c r="Y99" s="111"/>
      <c r="Z99" s="111"/>
      <c r="AA99" s="111"/>
      <c r="AB99" s="111"/>
      <c r="AC99" s="111"/>
      <c r="AD99" s="111"/>
      <c r="AE99" s="111"/>
    </row>
    <row r="100" ht="25.5" spans="9:31">
      <c r="I100" s="60"/>
      <c r="J100" s="60"/>
      <c r="K100" s="122"/>
      <c r="L100" s="107"/>
      <c r="M100" s="133"/>
      <c r="N100" s="133"/>
      <c r="O100" s="133"/>
      <c r="P100" s="133"/>
      <c r="Q100" s="133"/>
      <c r="R100" s="133"/>
      <c r="S100" s="133"/>
      <c r="T100" s="133"/>
      <c r="U100" s="115"/>
      <c r="W100" s="111"/>
      <c r="X100" s="111"/>
      <c r="Y100" s="111"/>
      <c r="Z100" s="111"/>
      <c r="AA100" s="111"/>
      <c r="AB100" s="111"/>
      <c r="AC100" s="111"/>
      <c r="AD100" s="111"/>
      <c r="AE100" s="111"/>
    </row>
    <row r="101" ht="25.5" spans="9:31">
      <c r="I101" s="60"/>
      <c r="J101" s="60"/>
      <c r="K101" s="122"/>
      <c r="L101" s="107"/>
      <c r="M101" s="133"/>
      <c r="N101" s="133"/>
      <c r="O101" s="133"/>
      <c r="P101" s="133"/>
      <c r="Q101" s="133"/>
      <c r="R101" s="133"/>
      <c r="S101" s="133"/>
      <c r="T101" s="133"/>
      <c r="U101" s="115"/>
      <c r="W101" s="111"/>
      <c r="X101" s="111"/>
      <c r="Y101" s="111"/>
      <c r="Z101" s="111"/>
      <c r="AA101" s="111"/>
      <c r="AB101" s="111"/>
      <c r="AC101" s="111"/>
      <c r="AD101" s="111"/>
      <c r="AE101" s="111"/>
    </row>
    <row r="102" ht="25.5" spans="9:31">
      <c r="I102" s="60"/>
      <c r="J102" s="60"/>
      <c r="K102" s="122"/>
      <c r="L102" s="107"/>
      <c r="M102" s="133"/>
      <c r="N102" s="133"/>
      <c r="O102" s="133"/>
      <c r="P102" s="133"/>
      <c r="Q102" s="133"/>
      <c r="R102" s="133"/>
      <c r="S102" s="133"/>
      <c r="T102" s="133"/>
      <c r="U102" s="115"/>
      <c r="W102" s="111"/>
      <c r="X102" s="111"/>
      <c r="Y102" s="111"/>
      <c r="Z102" s="111"/>
      <c r="AA102" s="111"/>
      <c r="AB102" s="111"/>
      <c r="AC102" s="111"/>
      <c r="AD102" s="111"/>
      <c r="AE102" s="111"/>
    </row>
    <row r="103" ht="25.5" spans="9:31">
      <c r="I103" s="60"/>
      <c r="J103" s="60"/>
      <c r="K103" s="122"/>
      <c r="L103" s="107"/>
      <c r="M103" s="133"/>
      <c r="N103" s="133"/>
      <c r="O103" s="133"/>
      <c r="P103" s="133"/>
      <c r="Q103" s="133"/>
      <c r="R103" s="133"/>
      <c r="S103" s="133"/>
      <c r="T103" s="133"/>
      <c r="U103" s="115"/>
      <c r="W103" s="111"/>
      <c r="X103" s="111"/>
      <c r="Y103" s="111"/>
      <c r="Z103" s="111"/>
      <c r="AA103" s="111"/>
      <c r="AB103" s="111"/>
      <c r="AC103" s="111"/>
      <c r="AD103" s="111"/>
      <c r="AE103" s="111"/>
    </row>
    <row r="104" ht="25.5" spans="9:31">
      <c r="I104" s="60"/>
      <c r="J104" s="60"/>
      <c r="K104" s="122"/>
      <c r="L104" s="107"/>
      <c r="M104" s="133"/>
      <c r="N104" s="133"/>
      <c r="O104" s="133"/>
      <c r="P104" s="133"/>
      <c r="Q104" s="133"/>
      <c r="R104" s="133"/>
      <c r="S104" s="133"/>
      <c r="T104" s="133"/>
      <c r="U104" s="115"/>
      <c r="W104" s="111"/>
      <c r="X104" s="111"/>
      <c r="Y104" s="111"/>
      <c r="Z104" s="111"/>
      <c r="AA104" s="111"/>
      <c r="AB104" s="111"/>
      <c r="AC104" s="111"/>
      <c r="AD104" s="111"/>
      <c r="AE104" s="111"/>
    </row>
    <row r="105" ht="25.5" spans="9:31">
      <c r="I105" s="60"/>
      <c r="J105" s="60"/>
      <c r="K105" s="122"/>
      <c r="L105" s="107"/>
      <c r="M105" s="133"/>
      <c r="N105" s="133"/>
      <c r="O105" s="133"/>
      <c r="P105" s="133"/>
      <c r="Q105" s="133"/>
      <c r="R105" s="133"/>
      <c r="S105" s="133"/>
      <c r="T105" s="133"/>
      <c r="U105" s="115"/>
      <c r="W105" s="111"/>
      <c r="X105" s="111"/>
      <c r="Y105" s="111"/>
      <c r="Z105" s="111"/>
      <c r="AA105" s="111"/>
      <c r="AB105" s="111"/>
      <c r="AC105" s="111"/>
      <c r="AD105" s="111"/>
      <c r="AE105" s="111"/>
    </row>
    <row r="106" ht="25.5" spans="9:31">
      <c r="I106" s="60"/>
      <c r="J106" s="60"/>
      <c r="K106" s="122"/>
      <c r="L106" s="107"/>
      <c r="M106" s="133"/>
      <c r="N106" s="133"/>
      <c r="O106" s="133"/>
      <c r="P106" s="133"/>
      <c r="Q106" s="133"/>
      <c r="R106" s="133"/>
      <c r="S106" s="133"/>
      <c r="T106" s="133"/>
      <c r="U106" s="115"/>
      <c r="W106" s="111"/>
      <c r="X106" s="111"/>
      <c r="Y106" s="111"/>
      <c r="Z106" s="111"/>
      <c r="AA106" s="111"/>
      <c r="AB106" s="111"/>
      <c r="AC106" s="111"/>
      <c r="AD106" s="111"/>
      <c r="AE106" s="111"/>
    </row>
    <row r="107" ht="25.5" spans="9:31">
      <c r="I107" s="60"/>
      <c r="J107" s="60"/>
      <c r="K107" s="122"/>
      <c r="L107" s="107"/>
      <c r="M107" s="133"/>
      <c r="N107" s="133"/>
      <c r="O107" s="133"/>
      <c r="P107" s="133"/>
      <c r="Q107" s="133"/>
      <c r="R107" s="133"/>
      <c r="S107" s="133"/>
      <c r="T107" s="133"/>
      <c r="U107" s="115"/>
      <c r="W107" s="111"/>
      <c r="X107" s="111"/>
      <c r="Y107" s="111"/>
      <c r="Z107" s="111"/>
      <c r="AA107" s="111"/>
      <c r="AB107" s="111"/>
      <c r="AC107" s="111"/>
      <c r="AD107" s="111"/>
      <c r="AE107" s="111"/>
    </row>
    <row r="108" ht="25.5" spans="9:31">
      <c r="I108" s="60"/>
      <c r="J108" s="60"/>
      <c r="K108" s="122"/>
      <c r="L108" s="107"/>
      <c r="M108" s="133"/>
      <c r="N108" s="133"/>
      <c r="O108" s="133"/>
      <c r="P108" s="133"/>
      <c r="Q108" s="133"/>
      <c r="R108" s="133"/>
      <c r="S108" s="133"/>
      <c r="T108" s="133"/>
      <c r="U108" s="115"/>
      <c r="W108" s="111"/>
      <c r="X108" s="111"/>
      <c r="Y108" s="111"/>
      <c r="Z108" s="111"/>
      <c r="AA108" s="111"/>
      <c r="AB108" s="111"/>
      <c r="AC108" s="111"/>
      <c r="AD108" s="111"/>
      <c r="AE108" s="111"/>
    </row>
    <row r="109" ht="25.5" spans="9:31">
      <c r="I109" s="60"/>
      <c r="J109" s="60"/>
      <c r="K109" s="122"/>
      <c r="L109" s="107"/>
      <c r="M109" s="133"/>
      <c r="N109" s="133"/>
      <c r="O109" s="133"/>
      <c r="P109" s="133"/>
      <c r="Q109" s="133"/>
      <c r="R109" s="133"/>
      <c r="S109" s="133"/>
      <c r="T109" s="133"/>
      <c r="U109" s="115"/>
      <c r="W109" s="111"/>
      <c r="X109" s="111"/>
      <c r="Y109" s="111"/>
      <c r="Z109" s="111"/>
      <c r="AA109" s="111"/>
      <c r="AB109" s="111"/>
      <c r="AC109" s="111"/>
      <c r="AD109" s="111"/>
      <c r="AE109" s="111"/>
    </row>
    <row r="110" ht="25.5" spans="9:31">
      <c r="I110" s="60"/>
      <c r="J110" s="60"/>
      <c r="K110" s="122"/>
      <c r="L110" s="107"/>
      <c r="M110" s="133"/>
      <c r="N110" s="133"/>
      <c r="O110" s="133"/>
      <c r="P110" s="133"/>
      <c r="Q110" s="133"/>
      <c r="R110" s="133"/>
      <c r="S110" s="133"/>
      <c r="T110" s="133"/>
      <c r="U110" s="115"/>
      <c r="W110" s="111"/>
      <c r="X110" s="111"/>
      <c r="Y110" s="111"/>
      <c r="Z110" s="111"/>
      <c r="AA110" s="111"/>
      <c r="AB110" s="111"/>
      <c r="AC110" s="111"/>
      <c r="AD110" s="111"/>
      <c r="AE110" s="111"/>
    </row>
    <row r="111" ht="25.5" spans="9:31">
      <c r="I111" s="60"/>
      <c r="J111" s="60"/>
      <c r="K111" s="122"/>
      <c r="L111" s="107"/>
      <c r="M111" s="133"/>
      <c r="N111" s="133"/>
      <c r="O111" s="133"/>
      <c r="P111" s="133"/>
      <c r="Q111" s="133"/>
      <c r="R111" s="133"/>
      <c r="S111" s="133"/>
      <c r="T111" s="133"/>
      <c r="U111" s="115"/>
      <c r="W111" s="111"/>
      <c r="X111" s="111"/>
      <c r="Y111" s="111"/>
      <c r="Z111" s="111"/>
      <c r="AA111" s="111"/>
      <c r="AB111" s="111"/>
      <c r="AC111" s="111"/>
      <c r="AD111" s="111"/>
      <c r="AE111" s="111"/>
    </row>
    <row r="112" ht="25.5" spans="9:31">
      <c r="I112" s="60"/>
      <c r="J112" s="60"/>
      <c r="K112" s="122"/>
      <c r="L112" s="107"/>
      <c r="M112" s="133"/>
      <c r="N112" s="133"/>
      <c r="O112" s="133"/>
      <c r="P112" s="133"/>
      <c r="Q112" s="133"/>
      <c r="R112" s="133"/>
      <c r="S112" s="133"/>
      <c r="T112" s="133"/>
      <c r="U112" s="115"/>
      <c r="W112" s="111"/>
      <c r="X112" s="111"/>
      <c r="Y112" s="111"/>
      <c r="Z112" s="111"/>
      <c r="AA112" s="111"/>
      <c r="AB112" s="111"/>
      <c r="AC112" s="111"/>
      <c r="AD112" s="111"/>
      <c r="AE112" s="111"/>
    </row>
    <row r="113" ht="25.5" spans="2:31">
      <c r="I113" s="60"/>
      <c r="J113" s="60"/>
      <c r="K113" s="122"/>
      <c r="L113" s="107"/>
      <c r="M113" s="133"/>
      <c r="N113" s="133"/>
      <c r="O113" s="133"/>
      <c r="P113" s="133"/>
      <c r="Q113" s="133"/>
      <c r="R113" s="133"/>
      <c r="S113" s="133"/>
      <c r="T113" s="133"/>
      <c r="U113" s="115"/>
      <c r="W113" s="111"/>
      <c r="X113" s="111"/>
      <c r="Y113" s="111"/>
      <c r="Z113" s="111"/>
      <c r="AA113" s="111"/>
      <c r="AB113" s="111"/>
      <c r="AC113" s="111"/>
      <c r="AD113" s="111"/>
      <c r="AE113" s="111"/>
    </row>
    <row r="114" ht="25.5" spans="2:31">
      <c r="B114" s="135" t="s">
        <v>1263</v>
      </c>
      <c r="C114" s="135"/>
      <c r="D114" s="135"/>
      <c r="E114" s="135"/>
      <c r="F114" s="135"/>
      <c r="G114" s="135"/>
      <c r="H114" s="135"/>
      <c r="I114" s="60"/>
      <c r="J114" s="60"/>
      <c r="K114" s="122"/>
      <c r="L114" s="107"/>
      <c r="M114" s="133"/>
      <c r="N114" s="133"/>
      <c r="O114" s="133"/>
      <c r="P114" s="133"/>
      <c r="Q114" s="133"/>
      <c r="R114" s="133"/>
      <c r="S114" s="133"/>
      <c r="T114" s="133"/>
      <c r="U114" s="115"/>
      <c r="W114" s="111"/>
      <c r="X114" s="111"/>
      <c r="Y114" s="111"/>
      <c r="Z114" s="111"/>
      <c r="AA114" s="111"/>
      <c r="AB114" s="111"/>
      <c r="AC114" s="111"/>
      <c r="AD114" s="111"/>
      <c r="AE114" s="111"/>
    </row>
    <row r="115" ht="25.5" spans="2:31">
      <c r="B115" s="135"/>
      <c r="C115" s="135"/>
      <c r="D115" s="135"/>
      <c r="E115" s="135"/>
      <c r="F115" s="135"/>
      <c r="G115" s="135"/>
      <c r="H115" s="135"/>
      <c r="I115" s="60"/>
      <c r="J115" s="60"/>
      <c r="K115" s="122"/>
      <c r="L115" s="107"/>
      <c r="M115" s="133"/>
      <c r="N115" s="133"/>
      <c r="O115" s="133"/>
      <c r="P115" s="133"/>
      <c r="Q115" s="133"/>
      <c r="R115" s="133"/>
      <c r="S115" s="133"/>
      <c r="T115" s="133"/>
      <c r="U115" s="115"/>
      <c r="W115" s="111"/>
      <c r="X115" s="111"/>
      <c r="Y115" s="111"/>
      <c r="Z115" s="111"/>
      <c r="AA115" s="111"/>
      <c r="AB115" s="111"/>
      <c r="AC115" s="111"/>
      <c r="AD115" s="111"/>
      <c r="AE115" s="111"/>
    </row>
    <row r="116" ht="26.25" spans="2:31">
      <c r="B116" s="135"/>
      <c r="C116" s="135"/>
      <c r="D116" s="135"/>
      <c r="E116" s="135"/>
      <c r="F116" s="135"/>
      <c r="G116" s="135"/>
      <c r="H116" s="135"/>
      <c r="I116" s="60"/>
      <c r="J116" s="60"/>
      <c r="K116" s="122"/>
      <c r="L116" s="107"/>
      <c r="M116" s="107"/>
      <c r="N116" s="107"/>
      <c r="O116" s="107"/>
      <c r="P116" s="107"/>
      <c r="Q116" s="107"/>
      <c r="R116" s="107"/>
      <c r="S116" s="107"/>
      <c r="T116" s="107"/>
      <c r="U116" s="115"/>
      <c r="W116" s="111"/>
      <c r="X116" s="111"/>
      <c r="Y116" s="111"/>
      <c r="Z116" s="111"/>
      <c r="AA116" s="111"/>
      <c r="AB116" s="111"/>
      <c r="AC116" s="111"/>
      <c r="AD116" s="111"/>
      <c r="AE116" s="111"/>
    </row>
    <row r="117" ht="25.5" spans="2:31">
      <c r="B117" s="135"/>
      <c r="C117" s="135"/>
      <c r="D117" s="135"/>
      <c r="E117" s="135"/>
      <c r="F117" s="135"/>
      <c r="G117" s="135"/>
      <c r="H117" s="135"/>
      <c r="I117" s="60"/>
      <c r="J117" s="60"/>
      <c r="K117" s="136"/>
      <c r="L117" s="107"/>
      <c r="M117" s="107"/>
      <c r="N117" s="107"/>
      <c r="O117" s="107"/>
      <c r="P117" s="107"/>
      <c r="Q117" s="107"/>
      <c r="R117" s="107"/>
      <c r="S117" s="107"/>
      <c r="T117" s="121"/>
      <c r="U117" s="106"/>
      <c r="W117" s="111"/>
      <c r="X117" s="111"/>
      <c r="Y117" s="111"/>
      <c r="Z117" s="111"/>
      <c r="AA117" s="111"/>
      <c r="AB117" s="111"/>
      <c r="AC117" s="111"/>
      <c r="AD117" s="111"/>
      <c r="AE117" s="111"/>
    </row>
    <row r="118" ht="26.25" spans="2:31">
      <c r="I118" s="60"/>
      <c r="J118" s="60"/>
      <c r="K118" s="136"/>
      <c r="L118" s="137"/>
      <c r="M118" s="137"/>
      <c r="N118" s="137"/>
      <c r="O118" s="137"/>
      <c r="P118" s="137"/>
      <c r="Q118" s="137"/>
      <c r="R118" s="137"/>
      <c r="S118" s="137"/>
      <c r="T118" s="138"/>
      <c r="U118" s="107"/>
      <c r="W118" s="111"/>
      <c r="X118" s="111"/>
      <c r="Y118" s="111"/>
      <c r="Z118" s="111"/>
      <c r="AA118" s="111"/>
      <c r="AB118" s="111"/>
      <c r="AC118" s="111"/>
      <c r="AD118" s="111"/>
      <c r="AE118" s="111"/>
    </row>
    <row r="119" ht="14.75" spans="2:31">
      <c r="I119" s="60"/>
      <c r="J119" s="60"/>
      <c r="K119" s="60"/>
      <c r="L119" s="60"/>
      <c r="M119" s="60"/>
      <c r="N119" s="60"/>
      <c r="O119" s="60"/>
      <c r="P119" s="60"/>
      <c r="T119" s="60"/>
      <c r="U119" s="60"/>
    </row>
    <row r="120" ht="14.75" spans="2:31">
      <c r="I120" s="60"/>
      <c r="J120" s="60"/>
      <c r="K120" s="100"/>
      <c r="L120" s="101"/>
      <c r="M120" s="101"/>
      <c r="N120" s="102"/>
      <c r="O120" s="103"/>
      <c r="P120" s="103"/>
      <c r="Q120" s="103"/>
      <c r="R120" s="103"/>
      <c r="S120" s="103"/>
      <c r="T120" s="103"/>
      <c r="U120" s="103"/>
      <c r="V120" s="103"/>
      <c r="W120" s="103"/>
      <c r="X120" s="101"/>
      <c r="Y120" s="101"/>
      <c r="Z120" s="101"/>
      <c r="AA120" s="101"/>
      <c r="AB120" s="101"/>
      <c r="AC120" s="101"/>
      <c r="AD120" s="139"/>
      <c r="AE120" s="61"/>
    </row>
    <row r="121" ht="30.25" spans="2:31">
      <c r="I121" s="100"/>
      <c r="J121" s="106"/>
      <c r="K121" s="107"/>
      <c r="L121" s="107"/>
      <c r="M121" s="108"/>
      <c r="N121" s="103"/>
      <c r="O121" s="103"/>
      <c r="P121" s="103"/>
      <c r="Q121" s="103"/>
      <c r="R121" s="103"/>
      <c r="S121" s="103"/>
      <c r="T121" s="103"/>
      <c r="U121" s="103"/>
      <c r="V121" s="103"/>
      <c r="W121" s="106"/>
      <c r="X121" s="140" t="str">
        <f>R66</f>
        <v>Detect Thoughts</v>
      </c>
      <c r="Y121" s="140"/>
      <c r="Z121" s="140"/>
      <c r="AA121" s="140"/>
      <c r="AB121" s="140"/>
      <c r="AC121" s="140"/>
      <c r="AD121" s="140"/>
      <c r="AE121" s="141"/>
    </row>
    <row r="122" ht="45.5" spans="2:31">
      <c r="I122" s="112"/>
      <c r="J122" s="113" t="s">
        <v>1258</v>
      </c>
      <c r="K122" s="114"/>
      <c r="L122" s="115"/>
      <c r="M122" s="142"/>
      <c r="N122" s="142"/>
      <c r="O122" s="142"/>
      <c r="P122" s="142"/>
      <c r="Q122" s="142"/>
      <c r="R122" s="142"/>
      <c r="S122" s="142"/>
      <c r="T122" s="142"/>
      <c r="U122" s="142"/>
      <c r="V122" s="142"/>
      <c r="W122" s="142"/>
      <c r="X122" s="142"/>
      <c r="Y122" s="142"/>
      <c r="Z122" s="142"/>
      <c r="AA122" s="142"/>
      <c r="AB122" s="142"/>
      <c r="AC122" s="142"/>
      <c r="AD122" s="142"/>
      <c r="AE122" s="115"/>
    </row>
    <row r="123" spans="2:31">
      <c r="I123" s="112"/>
      <c r="J123" s="117"/>
      <c r="K123" s="118"/>
      <c r="L123" s="115"/>
      <c r="M123" s="143" t="str">
        <f>M67</f>
        <v>侦测思想</v>
      </c>
      <c r="N123" s="143"/>
      <c r="O123" s="143"/>
      <c r="P123" s="143"/>
      <c r="Q123" s="143"/>
      <c r="R123" s="143"/>
      <c r="S123" s="143"/>
      <c r="T123" s="143"/>
      <c r="U123" s="143"/>
      <c r="V123" s="143"/>
      <c r="W123" s="143"/>
      <c r="X123" s="143"/>
      <c r="Y123" s="143"/>
      <c r="Z123" s="143"/>
      <c r="AA123" s="143"/>
      <c r="AB123" s="143"/>
      <c r="AC123" s="143"/>
      <c r="AD123" s="143"/>
      <c r="AE123" s="115"/>
    </row>
    <row r="124" ht="14.75" spans="2:31">
      <c r="I124" s="119"/>
      <c r="J124" s="117"/>
      <c r="K124" s="118"/>
      <c r="L124" s="120"/>
      <c r="M124" s="143"/>
      <c r="N124" s="143"/>
      <c r="O124" s="143"/>
      <c r="P124" s="143"/>
      <c r="Q124" s="143"/>
      <c r="R124" s="143"/>
      <c r="S124" s="143"/>
      <c r="T124" s="143"/>
      <c r="U124" s="143"/>
      <c r="V124" s="143"/>
      <c r="W124" s="143"/>
      <c r="X124" s="143"/>
      <c r="Y124" s="143"/>
      <c r="Z124" s="143"/>
      <c r="AA124" s="143"/>
      <c r="AB124" s="143"/>
      <c r="AC124" s="143"/>
      <c r="AD124" s="143"/>
      <c r="AE124" s="115"/>
    </row>
    <row r="125" spans="2:31">
      <c r="I125" s="119"/>
      <c r="J125" s="115"/>
      <c r="K125" s="121"/>
      <c r="L125" s="120"/>
      <c r="M125" s="143"/>
      <c r="N125" s="143"/>
      <c r="O125" s="143"/>
      <c r="P125" s="143"/>
      <c r="Q125" s="143"/>
      <c r="R125" s="143"/>
      <c r="S125" s="143"/>
      <c r="T125" s="143"/>
      <c r="U125" s="143"/>
      <c r="V125" s="143"/>
      <c r="W125" s="143"/>
      <c r="X125" s="143"/>
      <c r="Y125" s="143"/>
      <c r="Z125" s="143"/>
      <c r="AA125" s="143"/>
      <c r="AB125" s="143"/>
      <c r="AC125" s="143"/>
      <c r="AD125" s="143"/>
      <c r="AE125" s="115"/>
    </row>
    <row r="126" spans="2:31">
      <c r="I126" s="60"/>
      <c r="J126" s="122"/>
      <c r="K126" s="112"/>
      <c r="L126" s="120"/>
      <c r="M126" s="143"/>
      <c r="N126" s="143"/>
      <c r="O126" s="143"/>
      <c r="P126" s="143"/>
      <c r="Q126" s="143"/>
      <c r="R126" s="143"/>
      <c r="S126" s="143"/>
      <c r="T126" s="143"/>
      <c r="U126" s="143"/>
      <c r="V126" s="143"/>
      <c r="W126" s="143"/>
      <c r="X126" s="143"/>
      <c r="Y126" s="143"/>
      <c r="Z126" s="143"/>
      <c r="AA126" s="143"/>
      <c r="AB126" s="143"/>
      <c r="AC126" s="143"/>
      <c r="AD126" s="143"/>
      <c r="AE126" s="115"/>
    </row>
    <row r="127" spans="2:31">
      <c r="I127" s="60"/>
      <c r="J127" s="122"/>
      <c r="K127" s="122"/>
      <c r="L127" s="107"/>
      <c r="M127" s="143"/>
      <c r="N127" s="143"/>
      <c r="O127" s="143"/>
      <c r="P127" s="143"/>
      <c r="Q127" s="143"/>
      <c r="R127" s="143"/>
      <c r="S127" s="143"/>
      <c r="T127" s="143"/>
      <c r="U127" s="143"/>
      <c r="V127" s="143"/>
      <c r="W127" s="143"/>
      <c r="X127" s="143"/>
      <c r="Y127" s="143"/>
      <c r="Z127" s="143"/>
      <c r="AA127" s="143"/>
      <c r="AB127" s="143"/>
      <c r="AC127" s="143"/>
      <c r="AD127" s="143"/>
      <c r="AE127" s="115"/>
    </row>
    <row r="128" spans="2:31">
      <c r="I128" s="60"/>
      <c r="J128" s="122"/>
      <c r="K128" s="122"/>
      <c r="L128" s="107"/>
      <c r="M128" s="143"/>
      <c r="N128" s="143"/>
      <c r="O128" s="143"/>
      <c r="P128" s="143"/>
      <c r="Q128" s="143"/>
      <c r="R128" s="143"/>
      <c r="S128" s="143"/>
      <c r="T128" s="143"/>
      <c r="U128" s="143"/>
      <c r="V128" s="143"/>
      <c r="W128" s="143"/>
      <c r="X128" s="143"/>
      <c r="Y128" s="143"/>
      <c r="Z128" s="143"/>
      <c r="AA128" s="143"/>
      <c r="AB128" s="143"/>
      <c r="AC128" s="143"/>
      <c r="AD128" s="143"/>
      <c r="AE128" s="115"/>
    </row>
    <row r="129" ht="45.5" spans="9:31">
      <c r="I129" s="60"/>
      <c r="J129" s="122"/>
      <c r="K129" s="122"/>
      <c r="L129" s="107"/>
      <c r="M129" s="144" t="str">
        <f>M72</f>
        <v>诗人 术士 法师</v>
      </c>
      <c r="N129" s="144"/>
      <c r="O129" s="144"/>
      <c r="P129" s="144"/>
      <c r="Q129" s="144"/>
      <c r="R129" s="144"/>
      <c r="S129" s="145"/>
      <c r="T129" s="146" t="str">
        <f>P72</f>
        <v>2环/预言</v>
      </c>
      <c r="U129" s="146"/>
      <c r="V129" s="146"/>
      <c r="W129" s="146"/>
      <c r="X129" s="146"/>
      <c r="Y129" s="146"/>
      <c r="Z129" s="142"/>
      <c r="AA129" s="144" t="str">
        <f>S72</f>
        <v>出自：PHB</v>
      </c>
      <c r="AB129" s="144"/>
      <c r="AC129" s="144"/>
      <c r="AD129" s="144"/>
      <c r="AE129" s="115"/>
    </row>
    <row r="130" ht="45.5" spans="9:31">
      <c r="I130" s="60"/>
      <c r="J130" s="122"/>
      <c r="K130" s="122"/>
      <c r="L130" s="107"/>
      <c r="M130" s="147"/>
      <c r="N130" s="147"/>
      <c r="O130" s="147"/>
      <c r="P130" s="147"/>
      <c r="Q130" s="142"/>
      <c r="R130" s="142"/>
      <c r="S130" s="142"/>
      <c r="T130" s="142"/>
      <c r="U130" s="142"/>
      <c r="V130" s="142"/>
      <c r="W130" s="142"/>
      <c r="X130" s="142"/>
      <c r="Y130" s="142"/>
      <c r="Z130" s="142"/>
      <c r="AA130" s="142"/>
      <c r="AB130" s="142"/>
      <c r="AC130" s="142"/>
      <c r="AD130" s="148"/>
      <c r="AE130" s="115"/>
    </row>
    <row r="131" ht="45.5" spans="9:31">
      <c r="I131" s="60"/>
      <c r="J131" s="122"/>
      <c r="K131" s="122"/>
      <c r="L131" s="107"/>
      <c r="M131" s="144" t="str">
        <f>M74</f>
        <v>施法时间：</v>
      </c>
      <c r="N131" s="144"/>
      <c r="O131" s="144"/>
      <c r="P131" s="144"/>
      <c r="Q131" s="149" t="str">
        <f>O74</f>
        <v>1动作</v>
      </c>
      <c r="R131" s="149"/>
      <c r="S131" s="149"/>
      <c r="T131" s="149"/>
      <c r="U131" s="149"/>
      <c r="V131" s="149"/>
      <c r="W131" s="149"/>
      <c r="X131" s="149"/>
      <c r="Y131" s="149"/>
      <c r="Z131" s="149"/>
      <c r="AA131" s="149"/>
      <c r="AB131" s="149"/>
      <c r="AC131" s="149"/>
      <c r="AD131" s="149"/>
      <c r="AE131" s="115"/>
    </row>
    <row r="132" ht="45.5" spans="9:31">
      <c r="I132" s="60"/>
      <c r="J132" s="122"/>
      <c r="K132" s="122"/>
      <c r="L132" s="107"/>
      <c r="M132" s="144" t="str">
        <f>M76</f>
        <v>施法距离：</v>
      </c>
      <c r="N132" s="144"/>
      <c r="O132" s="144"/>
      <c r="P132" s="144"/>
      <c r="Q132" s="149" t="str">
        <f>O76</f>
        <v>自身</v>
      </c>
      <c r="R132" s="149"/>
      <c r="S132" s="149"/>
      <c r="T132" s="149"/>
      <c r="U132" s="149"/>
      <c r="V132" s="149"/>
      <c r="W132" s="149"/>
      <c r="X132" s="149"/>
      <c r="Y132" s="149"/>
      <c r="Z132" s="149"/>
      <c r="AA132" s="149"/>
      <c r="AB132" s="149"/>
      <c r="AC132" s="149"/>
      <c r="AD132" s="149"/>
      <c r="AE132" s="115"/>
    </row>
    <row r="133" ht="300" customHeight="1" spans="9:31">
      <c r="I133" s="60"/>
      <c r="J133" s="122"/>
      <c r="K133" s="122"/>
      <c r="L133" s="107"/>
      <c r="M133" s="144" t="str">
        <f>M78</f>
        <v>法术成分：</v>
      </c>
      <c r="N133" s="144"/>
      <c r="O133" s="144"/>
      <c r="P133" s="144"/>
      <c r="Q133" s="150" t="str">
        <f>O78</f>
        <v>V、S、M（一块铜片）</v>
      </c>
      <c r="R133" s="150"/>
      <c r="S133" s="150"/>
      <c r="T133" s="150"/>
      <c r="U133" s="150"/>
      <c r="V133" s="150"/>
      <c r="W133" s="150"/>
      <c r="X133" s="150"/>
      <c r="Y133" s="150"/>
      <c r="Z133" s="150"/>
      <c r="AA133" s="150"/>
      <c r="AB133" s="150"/>
      <c r="AC133" s="150"/>
      <c r="AD133" s="150"/>
      <c r="AE133" s="115"/>
    </row>
    <row r="134" ht="45.5" spans="9:31">
      <c r="I134" s="60"/>
      <c r="J134" s="122"/>
      <c r="K134" s="122"/>
      <c r="L134" s="107"/>
      <c r="M134" s="144" t="str">
        <f>M80</f>
        <v>持续时间：</v>
      </c>
      <c r="N134" s="144"/>
      <c r="O134" s="144"/>
      <c r="P134" s="144"/>
      <c r="Q134" s="149" t="str">
        <f>O80</f>
        <v>专注，至多1分钟</v>
      </c>
      <c r="R134" s="149"/>
      <c r="S134" s="149"/>
      <c r="T134" s="149"/>
      <c r="U134" s="149"/>
      <c r="V134" s="149"/>
      <c r="W134" s="149"/>
      <c r="X134" s="149"/>
      <c r="Y134" s="149"/>
      <c r="Z134" s="149"/>
      <c r="AA134" s="149"/>
      <c r="AB134" s="149"/>
      <c r="AC134" s="149"/>
      <c r="AD134" s="149"/>
      <c r="AE134" s="115"/>
    </row>
    <row r="135" ht="45.5" spans="9:31">
      <c r="I135" s="60"/>
      <c r="J135" s="122"/>
      <c r="K135" s="122"/>
      <c r="L135" s="107"/>
      <c r="M135" s="144"/>
      <c r="N135" s="144"/>
      <c r="O135" s="144"/>
      <c r="P135" s="144"/>
      <c r="Q135" s="151"/>
      <c r="R135" s="151"/>
      <c r="S135" s="151"/>
      <c r="T135" s="151"/>
      <c r="U135" s="151"/>
      <c r="V135" s="151"/>
      <c r="W135" s="151"/>
      <c r="X135" s="151"/>
      <c r="Y135" s="151"/>
      <c r="Z135" s="151"/>
      <c r="AA135" s="151"/>
      <c r="AB135" s="151"/>
      <c r="AC135" s="151"/>
      <c r="AD135" s="151"/>
      <c r="AE135" s="115"/>
    </row>
    <row r="136" spans="9:31">
      <c r="I136" s="60"/>
      <c r="J136" s="122"/>
      <c r="K136" s="122"/>
      <c r="L136" s="107"/>
      <c r="M136" s="152" t="str">
        <f>M83</f>
        <v>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v>
      </c>
      <c r="N136" s="152"/>
      <c r="O136" s="152"/>
      <c r="P136" s="152"/>
      <c r="Q136" s="152"/>
      <c r="R136" s="152"/>
      <c r="S136" s="152"/>
      <c r="T136" s="152"/>
      <c r="U136" s="152"/>
      <c r="V136" s="152"/>
      <c r="W136" s="152"/>
      <c r="X136" s="152"/>
      <c r="Y136" s="152"/>
      <c r="Z136" s="152"/>
      <c r="AA136" s="152"/>
      <c r="AB136" s="152"/>
      <c r="AC136" s="152"/>
      <c r="AD136" s="152"/>
      <c r="AE136" s="115"/>
    </row>
    <row r="137" spans="9:31">
      <c r="I137" s="60"/>
      <c r="J137" s="122"/>
      <c r="K137" s="122"/>
      <c r="L137" s="107"/>
      <c r="M137" s="152"/>
      <c r="N137" s="152"/>
      <c r="O137" s="152"/>
      <c r="P137" s="152"/>
      <c r="Q137" s="152"/>
      <c r="R137" s="152"/>
      <c r="S137" s="152"/>
      <c r="T137" s="152"/>
      <c r="U137" s="152"/>
      <c r="V137" s="152"/>
      <c r="W137" s="152"/>
      <c r="X137" s="152"/>
      <c r="Y137" s="152"/>
      <c r="Z137" s="152"/>
      <c r="AA137" s="152"/>
      <c r="AB137" s="152"/>
      <c r="AC137" s="152"/>
      <c r="AD137" s="152"/>
      <c r="AE137" s="115"/>
    </row>
    <row r="138" spans="9:31">
      <c r="I138" s="60"/>
      <c r="J138" s="122"/>
      <c r="K138" s="122"/>
      <c r="L138" s="107"/>
      <c r="M138" s="152"/>
      <c r="N138" s="152"/>
      <c r="O138" s="152"/>
      <c r="P138" s="152"/>
      <c r="Q138" s="152"/>
      <c r="R138" s="152"/>
      <c r="S138" s="152"/>
      <c r="T138" s="152"/>
      <c r="U138" s="152"/>
      <c r="V138" s="152"/>
      <c r="W138" s="152"/>
      <c r="X138" s="152"/>
      <c r="Y138" s="152"/>
      <c r="Z138" s="152"/>
      <c r="AA138" s="152"/>
      <c r="AB138" s="152"/>
      <c r="AC138" s="152"/>
      <c r="AD138" s="152"/>
      <c r="AE138" s="115"/>
    </row>
    <row r="139" spans="9:31">
      <c r="I139" s="60"/>
      <c r="J139" s="122"/>
      <c r="K139" s="122"/>
      <c r="L139" s="107"/>
      <c r="M139" s="152"/>
      <c r="N139" s="152"/>
      <c r="O139" s="152"/>
      <c r="P139" s="152"/>
      <c r="Q139" s="152"/>
      <c r="R139" s="152"/>
      <c r="S139" s="152"/>
      <c r="T139" s="152"/>
      <c r="U139" s="152"/>
      <c r="V139" s="152"/>
      <c r="W139" s="152"/>
      <c r="X139" s="152"/>
      <c r="Y139" s="152"/>
      <c r="Z139" s="152"/>
      <c r="AA139" s="152"/>
      <c r="AB139" s="152"/>
      <c r="AC139" s="152"/>
      <c r="AD139" s="152"/>
      <c r="AE139" s="115"/>
    </row>
    <row r="140" spans="9:31">
      <c r="I140" s="60"/>
      <c r="J140" s="122"/>
      <c r="K140" s="122"/>
      <c r="L140" s="107"/>
      <c r="M140" s="152"/>
      <c r="N140" s="152"/>
      <c r="O140" s="152"/>
      <c r="P140" s="152"/>
      <c r="Q140" s="152"/>
      <c r="R140" s="152"/>
      <c r="S140" s="152"/>
      <c r="T140" s="152"/>
      <c r="U140" s="152"/>
      <c r="V140" s="152"/>
      <c r="W140" s="152"/>
      <c r="X140" s="152"/>
      <c r="Y140" s="152"/>
      <c r="Z140" s="152"/>
      <c r="AA140" s="152"/>
      <c r="AB140" s="152"/>
      <c r="AC140" s="152"/>
      <c r="AD140" s="152"/>
      <c r="AE140" s="115"/>
    </row>
    <row r="141" spans="9:31">
      <c r="I141" s="60"/>
      <c r="J141" s="122"/>
      <c r="K141" s="122"/>
      <c r="L141" s="107"/>
      <c r="M141" s="152"/>
      <c r="N141" s="152"/>
      <c r="O141" s="152"/>
      <c r="P141" s="152"/>
      <c r="Q141" s="152"/>
      <c r="R141" s="152"/>
      <c r="S141" s="152"/>
      <c r="T141" s="152"/>
      <c r="U141" s="152"/>
      <c r="V141" s="152"/>
      <c r="W141" s="152"/>
      <c r="X141" s="152"/>
      <c r="Y141" s="152"/>
      <c r="Z141" s="152"/>
      <c r="AA141" s="152"/>
      <c r="AB141" s="152"/>
      <c r="AC141" s="152"/>
      <c r="AD141" s="152"/>
      <c r="AE141" s="115"/>
    </row>
    <row r="142" spans="9:31">
      <c r="I142" s="60"/>
      <c r="J142" s="122"/>
      <c r="K142" s="122"/>
      <c r="L142" s="107"/>
      <c r="M142" s="152"/>
      <c r="N142" s="152"/>
      <c r="O142" s="152"/>
      <c r="P142" s="152"/>
      <c r="Q142" s="152"/>
      <c r="R142" s="152"/>
      <c r="S142" s="152"/>
      <c r="T142" s="152"/>
      <c r="U142" s="152"/>
      <c r="V142" s="152"/>
      <c r="W142" s="152"/>
      <c r="X142" s="152"/>
      <c r="Y142" s="152"/>
      <c r="Z142" s="152"/>
      <c r="AA142" s="152"/>
      <c r="AB142" s="152"/>
      <c r="AC142" s="152"/>
      <c r="AD142" s="152"/>
      <c r="AE142" s="115"/>
    </row>
    <row r="143" spans="9:31">
      <c r="I143" s="60"/>
      <c r="J143" s="122"/>
      <c r="K143" s="122"/>
      <c r="L143" s="107"/>
      <c r="M143" s="152"/>
      <c r="N143" s="152"/>
      <c r="O143" s="152"/>
      <c r="P143" s="152"/>
      <c r="Q143" s="152"/>
      <c r="R143" s="152"/>
      <c r="S143" s="152"/>
      <c r="T143" s="152"/>
      <c r="U143" s="152"/>
      <c r="V143" s="152"/>
      <c r="W143" s="152"/>
      <c r="X143" s="152"/>
      <c r="Y143" s="152"/>
      <c r="Z143" s="152"/>
      <c r="AA143" s="152"/>
      <c r="AB143" s="152"/>
      <c r="AC143" s="152"/>
      <c r="AD143" s="152"/>
      <c r="AE143" s="115"/>
    </row>
    <row r="144" spans="9:31">
      <c r="I144" s="60"/>
      <c r="J144" s="122"/>
      <c r="K144" s="122"/>
      <c r="L144" s="107"/>
      <c r="M144" s="152"/>
      <c r="N144" s="152"/>
      <c r="O144" s="152"/>
      <c r="P144" s="152"/>
      <c r="Q144" s="152"/>
      <c r="R144" s="152"/>
      <c r="S144" s="152"/>
      <c r="T144" s="152"/>
      <c r="U144" s="152"/>
      <c r="V144" s="152"/>
      <c r="W144" s="152"/>
      <c r="X144" s="152"/>
      <c r="Y144" s="152"/>
      <c r="Z144" s="152"/>
      <c r="AA144" s="152"/>
      <c r="AB144" s="152"/>
      <c r="AC144" s="152"/>
      <c r="AD144" s="152"/>
      <c r="AE144" s="115"/>
    </row>
    <row r="145" spans="9:31">
      <c r="I145" s="60"/>
      <c r="J145" s="122"/>
      <c r="K145" s="122"/>
      <c r="L145" s="107"/>
      <c r="M145" s="152"/>
      <c r="N145" s="152"/>
      <c r="O145" s="152"/>
      <c r="P145" s="152"/>
      <c r="Q145" s="152"/>
      <c r="R145" s="152"/>
      <c r="S145" s="152"/>
      <c r="T145" s="152"/>
      <c r="U145" s="152"/>
      <c r="V145" s="152"/>
      <c r="W145" s="152"/>
      <c r="X145" s="152"/>
      <c r="Y145" s="152"/>
      <c r="Z145" s="152"/>
      <c r="AA145" s="152"/>
      <c r="AB145" s="152"/>
      <c r="AC145" s="152"/>
      <c r="AD145" s="152"/>
      <c r="AE145" s="115"/>
    </row>
    <row r="146" spans="9:31">
      <c r="I146" s="60"/>
      <c r="J146" s="122"/>
      <c r="K146" s="122"/>
      <c r="L146" s="107"/>
      <c r="M146" s="152"/>
      <c r="N146" s="152"/>
      <c r="O146" s="152"/>
      <c r="P146" s="152"/>
      <c r="Q146" s="152"/>
      <c r="R146" s="152"/>
      <c r="S146" s="152"/>
      <c r="T146" s="152"/>
      <c r="U146" s="152"/>
      <c r="V146" s="152"/>
      <c r="W146" s="152"/>
      <c r="X146" s="152"/>
      <c r="Y146" s="152"/>
      <c r="Z146" s="152"/>
      <c r="AA146" s="152"/>
      <c r="AB146" s="152"/>
      <c r="AC146" s="152"/>
      <c r="AD146" s="152"/>
      <c r="AE146" s="115"/>
    </row>
    <row r="147" spans="9:31">
      <c r="I147" s="60"/>
      <c r="J147" s="122"/>
      <c r="K147" s="122"/>
      <c r="L147" s="107"/>
      <c r="M147" s="152"/>
      <c r="N147" s="152"/>
      <c r="O147" s="152"/>
      <c r="P147" s="152"/>
      <c r="Q147" s="152"/>
      <c r="R147" s="152"/>
      <c r="S147" s="152"/>
      <c r="T147" s="152"/>
      <c r="U147" s="152"/>
      <c r="V147" s="152"/>
      <c r="W147" s="152"/>
      <c r="X147" s="152"/>
      <c r="Y147" s="152"/>
      <c r="Z147" s="152"/>
      <c r="AA147" s="152"/>
      <c r="AB147" s="152"/>
      <c r="AC147" s="152"/>
      <c r="AD147" s="152"/>
      <c r="AE147" s="115"/>
    </row>
    <row r="148" spans="9:31">
      <c r="I148" s="60"/>
      <c r="J148" s="122"/>
      <c r="K148" s="122"/>
      <c r="L148" s="107"/>
      <c r="M148" s="152"/>
      <c r="N148" s="152"/>
      <c r="O148" s="152"/>
      <c r="P148" s="152"/>
      <c r="Q148" s="152"/>
      <c r="R148" s="152"/>
      <c r="S148" s="152"/>
      <c r="T148" s="152"/>
      <c r="U148" s="152"/>
      <c r="V148" s="152"/>
      <c r="W148" s="152"/>
      <c r="X148" s="152"/>
      <c r="Y148" s="152"/>
      <c r="Z148" s="152"/>
      <c r="AA148" s="152"/>
      <c r="AB148" s="152"/>
      <c r="AC148" s="152"/>
      <c r="AD148" s="152"/>
      <c r="AE148" s="115"/>
    </row>
    <row r="149" spans="9:31">
      <c r="I149" s="60"/>
      <c r="J149" s="122"/>
      <c r="K149" s="122"/>
      <c r="L149" s="107"/>
      <c r="M149" s="152"/>
      <c r="N149" s="152"/>
      <c r="O149" s="152"/>
      <c r="P149" s="152"/>
      <c r="Q149" s="152"/>
      <c r="R149" s="152"/>
      <c r="S149" s="152"/>
      <c r="T149" s="152"/>
      <c r="U149" s="152"/>
      <c r="V149" s="152"/>
      <c r="W149" s="152"/>
      <c r="X149" s="152"/>
      <c r="Y149" s="152"/>
      <c r="Z149" s="152"/>
      <c r="AA149" s="152"/>
      <c r="AB149" s="152"/>
      <c r="AC149" s="152"/>
      <c r="AD149" s="152"/>
      <c r="AE149" s="115"/>
    </row>
    <row r="150" spans="9:31">
      <c r="I150" s="60"/>
      <c r="J150" s="122"/>
      <c r="K150" s="122"/>
      <c r="L150" s="107"/>
      <c r="M150" s="152"/>
      <c r="N150" s="152"/>
      <c r="O150" s="152"/>
      <c r="P150" s="152"/>
      <c r="Q150" s="152"/>
      <c r="R150" s="152"/>
      <c r="S150" s="152"/>
      <c r="T150" s="152"/>
      <c r="U150" s="152"/>
      <c r="V150" s="152"/>
      <c r="W150" s="152"/>
      <c r="X150" s="152"/>
      <c r="Y150" s="152"/>
      <c r="Z150" s="152"/>
      <c r="AA150" s="152"/>
      <c r="AB150" s="152"/>
      <c r="AC150" s="152"/>
      <c r="AD150" s="152"/>
      <c r="AE150" s="115"/>
    </row>
    <row r="151" spans="9:31">
      <c r="I151" s="60"/>
      <c r="J151" s="122"/>
      <c r="K151" s="122"/>
      <c r="L151" s="107"/>
      <c r="M151" s="152"/>
      <c r="N151" s="152"/>
      <c r="O151" s="152"/>
      <c r="P151" s="152"/>
      <c r="Q151" s="152"/>
      <c r="R151" s="152"/>
      <c r="S151" s="152"/>
      <c r="T151" s="152"/>
      <c r="U151" s="152"/>
      <c r="V151" s="152"/>
      <c r="W151" s="152"/>
      <c r="X151" s="152"/>
      <c r="Y151" s="152"/>
      <c r="Z151" s="152"/>
      <c r="AA151" s="152"/>
      <c r="AB151" s="152"/>
      <c r="AC151" s="152"/>
      <c r="AD151" s="152"/>
      <c r="AE151" s="115"/>
    </row>
    <row r="152" spans="9:31">
      <c r="I152" s="60"/>
      <c r="J152" s="122"/>
      <c r="K152" s="122"/>
      <c r="L152" s="107"/>
      <c r="M152" s="152"/>
      <c r="N152" s="152"/>
      <c r="O152" s="152"/>
      <c r="P152" s="152"/>
      <c r="Q152" s="152"/>
      <c r="R152" s="152"/>
      <c r="S152" s="152"/>
      <c r="T152" s="152"/>
      <c r="U152" s="152"/>
      <c r="V152" s="152"/>
      <c r="W152" s="152"/>
      <c r="X152" s="152"/>
      <c r="Y152" s="152"/>
      <c r="Z152" s="152"/>
      <c r="AA152" s="152"/>
      <c r="AB152" s="152"/>
      <c r="AC152" s="152"/>
      <c r="AD152" s="152"/>
      <c r="AE152" s="115"/>
    </row>
    <row r="153" spans="9:31">
      <c r="I153" s="60"/>
      <c r="J153" s="122"/>
      <c r="K153" s="122"/>
      <c r="L153" s="107"/>
      <c r="M153" s="152"/>
      <c r="N153" s="152"/>
      <c r="O153" s="152"/>
      <c r="P153" s="152"/>
      <c r="Q153" s="152"/>
      <c r="R153" s="152"/>
      <c r="S153" s="152"/>
      <c r="T153" s="152"/>
      <c r="U153" s="152"/>
      <c r="V153" s="152"/>
      <c r="W153" s="152"/>
      <c r="X153" s="152"/>
      <c r="Y153" s="152"/>
      <c r="Z153" s="152"/>
      <c r="AA153" s="152"/>
      <c r="AB153" s="152"/>
      <c r="AC153" s="152"/>
      <c r="AD153" s="152"/>
      <c r="AE153" s="115"/>
    </row>
    <row r="154" spans="9:31">
      <c r="I154" s="60"/>
      <c r="J154" s="122"/>
      <c r="K154" s="122"/>
      <c r="L154" s="107"/>
      <c r="M154" s="152"/>
      <c r="N154" s="152"/>
      <c r="O154" s="152"/>
      <c r="P154" s="152"/>
      <c r="Q154" s="152"/>
      <c r="R154" s="152"/>
      <c r="S154" s="152"/>
      <c r="T154" s="152"/>
      <c r="U154" s="152"/>
      <c r="V154" s="152"/>
      <c r="W154" s="152"/>
      <c r="X154" s="152"/>
      <c r="Y154" s="152"/>
      <c r="Z154" s="152"/>
      <c r="AA154" s="152"/>
      <c r="AB154" s="152"/>
      <c r="AC154" s="152"/>
      <c r="AD154" s="152"/>
      <c r="AE154" s="115"/>
    </row>
    <row r="155" spans="9:31">
      <c r="I155" s="60"/>
      <c r="J155" s="122"/>
      <c r="K155" s="122"/>
      <c r="L155" s="107"/>
      <c r="M155" s="152"/>
      <c r="N155" s="152"/>
      <c r="O155" s="152"/>
      <c r="P155" s="152"/>
      <c r="Q155" s="152"/>
      <c r="R155" s="152"/>
      <c r="S155" s="152"/>
      <c r="T155" s="152"/>
      <c r="U155" s="152"/>
      <c r="V155" s="152"/>
      <c r="W155" s="152"/>
      <c r="X155" s="152"/>
      <c r="Y155" s="152"/>
      <c r="Z155" s="152"/>
      <c r="AA155" s="152"/>
      <c r="AB155" s="152"/>
      <c r="AC155" s="152"/>
      <c r="AD155" s="152"/>
      <c r="AE155" s="115"/>
    </row>
    <row r="156" spans="9:31">
      <c r="I156" s="60"/>
      <c r="J156" s="122"/>
      <c r="K156" s="122"/>
      <c r="L156" s="107"/>
      <c r="M156" s="152"/>
      <c r="N156" s="152"/>
      <c r="O156" s="152"/>
      <c r="P156" s="152"/>
      <c r="Q156" s="152"/>
      <c r="R156" s="152"/>
      <c r="S156" s="152"/>
      <c r="T156" s="152"/>
      <c r="U156" s="152"/>
      <c r="V156" s="152"/>
      <c r="W156" s="152"/>
      <c r="X156" s="152"/>
      <c r="Y156" s="152"/>
      <c r="Z156" s="152"/>
      <c r="AA156" s="152"/>
      <c r="AB156" s="152"/>
      <c r="AC156" s="152"/>
      <c r="AD156" s="152"/>
      <c r="AE156" s="115"/>
    </row>
    <row r="157" spans="9:31">
      <c r="I157" s="60"/>
      <c r="J157" s="122"/>
      <c r="K157" s="122"/>
      <c r="L157" s="107"/>
      <c r="M157" s="152"/>
      <c r="N157" s="152"/>
      <c r="O157" s="152"/>
      <c r="P157" s="152"/>
      <c r="Q157" s="152"/>
      <c r="R157" s="152"/>
      <c r="S157" s="152"/>
      <c r="T157" s="152"/>
      <c r="U157" s="152"/>
      <c r="V157" s="152"/>
      <c r="W157" s="152"/>
      <c r="X157" s="152"/>
      <c r="Y157" s="152"/>
      <c r="Z157" s="152"/>
      <c r="AA157" s="152"/>
      <c r="AB157" s="152"/>
      <c r="AC157" s="152"/>
      <c r="AD157" s="152"/>
      <c r="AE157" s="115"/>
    </row>
    <row r="158" spans="9:31">
      <c r="I158" s="60"/>
      <c r="J158" s="122"/>
      <c r="K158" s="122"/>
      <c r="L158" s="107"/>
      <c r="M158" s="152"/>
      <c r="N158" s="152"/>
      <c r="O158" s="152"/>
      <c r="P158" s="152"/>
      <c r="Q158" s="152"/>
      <c r="R158" s="152"/>
      <c r="S158" s="152"/>
      <c r="T158" s="152"/>
      <c r="U158" s="152"/>
      <c r="V158" s="152"/>
      <c r="W158" s="152"/>
      <c r="X158" s="152"/>
      <c r="Y158" s="152"/>
      <c r="Z158" s="152"/>
      <c r="AA158" s="152"/>
      <c r="AB158" s="152"/>
      <c r="AC158" s="152"/>
      <c r="AD158" s="152"/>
      <c r="AE158" s="115"/>
    </row>
    <row r="159" spans="9:31">
      <c r="I159" s="60"/>
      <c r="J159" s="122"/>
      <c r="K159" s="122"/>
      <c r="L159" s="107"/>
      <c r="M159" s="152"/>
      <c r="N159" s="152"/>
      <c r="O159" s="152"/>
      <c r="P159" s="152"/>
      <c r="Q159" s="152"/>
      <c r="R159" s="152"/>
      <c r="S159" s="152"/>
      <c r="T159" s="152"/>
      <c r="U159" s="152"/>
      <c r="V159" s="152"/>
      <c r="W159" s="152"/>
      <c r="X159" s="152"/>
      <c r="Y159" s="152"/>
      <c r="Z159" s="152"/>
      <c r="AA159" s="152"/>
      <c r="AB159" s="152"/>
      <c r="AC159" s="152"/>
      <c r="AD159" s="152"/>
      <c r="AE159" s="115"/>
    </row>
    <row r="160" spans="9:31">
      <c r="I160" s="60"/>
      <c r="J160" s="122"/>
      <c r="K160" s="122"/>
      <c r="L160" s="107"/>
      <c r="M160" s="152"/>
      <c r="N160" s="152"/>
      <c r="O160" s="152"/>
      <c r="P160" s="152"/>
      <c r="Q160" s="152"/>
      <c r="R160" s="152"/>
      <c r="S160" s="152"/>
      <c r="T160" s="152"/>
      <c r="U160" s="152"/>
      <c r="V160" s="152"/>
      <c r="W160" s="152"/>
      <c r="X160" s="152"/>
      <c r="Y160" s="152"/>
      <c r="Z160" s="152"/>
      <c r="AA160" s="152"/>
      <c r="AB160" s="152"/>
      <c r="AC160" s="152"/>
      <c r="AD160" s="152"/>
      <c r="AE160" s="115"/>
    </row>
    <row r="161" spans="9:31">
      <c r="I161" s="60"/>
      <c r="J161" s="122"/>
      <c r="K161" s="122"/>
      <c r="L161" s="107"/>
      <c r="M161" s="152"/>
      <c r="N161" s="152"/>
      <c r="O161" s="152"/>
      <c r="P161" s="152"/>
      <c r="Q161" s="152"/>
      <c r="R161" s="152"/>
      <c r="S161" s="152"/>
      <c r="T161" s="152"/>
      <c r="U161" s="152"/>
      <c r="V161" s="152"/>
      <c r="W161" s="152"/>
      <c r="X161" s="152"/>
      <c r="Y161" s="152"/>
      <c r="Z161" s="152"/>
      <c r="AA161" s="152"/>
      <c r="AB161" s="152"/>
      <c r="AC161" s="152"/>
      <c r="AD161" s="152"/>
      <c r="AE161" s="115"/>
    </row>
    <row r="162" spans="9:31">
      <c r="I162" s="60"/>
      <c r="J162" s="122"/>
      <c r="K162" s="122"/>
      <c r="L162" s="107"/>
      <c r="M162" s="152"/>
      <c r="N162" s="152"/>
      <c r="O162" s="152"/>
      <c r="P162" s="152"/>
      <c r="Q162" s="152"/>
      <c r="R162" s="152"/>
      <c r="S162" s="152"/>
      <c r="T162" s="152"/>
      <c r="U162" s="152"/>
      <c r="V162" s="152"/>
      <c r="W162" s="152"/>
      <c r="X162" s="152"/>
      <c r="Y162" s="152"/>
      <c r="Z162" s="152"/>
      <c r="AA162" s="152"/>
      <c r="AB162" s="152"/>
      <c r="AC162" s="152"/>
      <c r="AD162" s="152"/>
      <c r="AE162" s="115"/>
    </row>
    <row r="163" spans="9:31">
      <c r="I163" s="60"/>
      <c r="J163" s="122"/>
      <c r="K163" s="122"/>
      <c r="L163" s="107"/>
      <c r="M163" s="152"/>
      <c r="N163" s="152"/>
      <c r="O163" s="152"/>
      <c r="P163" s="152"/>
      <c r="Q163" s="152"/>
      <c r="R163" s="152"/>
      <c r="S163" s="152"/>
      <c r="T163" s="152"/>
      <c r="U163" s="152"/>
      <c r="V163" s="152"/>
      <c r="W163" s="152"/>
      <c r="X163" s="152"/>
      <c r="Y163" s="152"/>
      <c r="Z163" s="152"/>
      <c r="AA163" s="152"/>
      <c r="AB163" s="152"/>
      <c r="AC163" s="152"/>
      <c r="AD163" s="152"/>
      <c r="AE163" s="115"/>
    </row>
    <row r="164" spans="9:31">
      <c r="I164" s="60"/>
      <c r="J164" s="122"/>
      <c r="K164" s="122"/>
      <c r="L164" s="107"/>
      <c r="M164" s="152"/>
      <c r="N164" s="152"/>
      <c r="O164" s="152"/>
      <c r="P164" s="152"/>
      <c r="Q164" s="152"/>
      <c r="R164" s="152"/>
      <c r="S164" s="152"/>
      <c r="T164" s="152"/>
      <c r="U164" s="152"/>
      <c r="V164" s="152"/>
      <c r="W164" s="152"/>
      <c r="X164" s="152"/>
      <c r="Y164" s="152"/>
      <c r="Z164" s="152"/>
      <c r="AA164" s="152"/>
      <c r="AB164" s="152"/>
      <c r="AC164" s="152"/>
      <c r="AD164" s="152"/>
      <c r="AE164" s="115"/>
    </row>
    <row r="165" spans="9:31">
      <c r="I165" s="60"/>
      <c r="J165" s="122"/>
      <c r="K165" s="122"/>
      <c r="L165" s="107"/>
      <c r="M165" s="152"/>
      <c r="N165" s="152"/>
      <c r="O165" s="152"/>
      <c r="P165" s="152"/>
      <c r="Q165" s="152"/>
      <c r="R165" s="152"/>
      <c r="S165" s="152"/>
      <c r="T165" s="152"/>
      <c r="U165" s="152"/>
      <c r="V165" s="152"/>
      <c r="W165" s="152"/>
      <c r="X165" s="152"/>
      <c r="Y165" s="152"/>
      <c r="Z165" s="152"/>
      <c r="AA165" s="152"/>
      <c r="AB165" s="152"/>
      <c r="AC165" s="152"/>
      <c r="AD165" s="152"/>
      <c r="AE165" s="115"/>
    </row>
    <row r="166" spans="9:31">
      <c r="I166" s="60"/>
      <c r="J166" s="122"/>
      <c r="K166" s="122"/>
      <c r="L166" s="107"/>
      <c r="M166" s="152"/>
      <c r="N166" s="152"/>
      <c r="O166" s="152"/>
      <c r="P166" s="152"/>
      <c r="Q166" s="152"/>
      <c r="R166" s="152"/>
      <c r="S166" s="152"/>
      <c r="T166" s="152"/>
      <c r="U166" s="152"/>
      <c r="V166" s="152"/>
      <c r="W166" s="152"/>
      <c r="X166" s="152"/>
      <c r="Y166" s="152"/>
      <c r="Z166" s="152"/>
      <c r="AA166" s="152"/>
      <c r="AB166" s="152"/>
      <c r="AC166" s="152"/>
      <c r="AD166" s="152"/>
      <c r="AE166" s="115"/>
    </row>
    <row r="167" spans="9:31">
      <c r="I167" s="60"/>
      <c r="J167" s="122"/>
      <c r="K167" s="122"/>
      <c r="L167" s="107"/>
      <c r="M167" s="152"/>
      <c r="N167" s="152"/>
      <c r="O167" s="152"/>
      <c r="P167" s="152"/>
      <c r="Q167" s="152"/>
      <c r="R167" s="152"/>
      <c r="S167" s="152"/>
      <c r="T167" s="152"/>
      <c r="U167" s="152"/>
      <c r="V167" s="152"/>
      <c r="W167" s="152"/>
      <c r="X167" s="152"/>
      <c r="Y167" s="152"/>
      <c r="Z167" s="152"/>
      <c r="AA167" s="152"/>
      <c r="AB167" s="152"/>
      <c r="AC167" s="152"/>
      <c r="AD167" s="152"/>
      <c r="AE167" s="115"/>
    </row>
    <row r="168" spans="9:31">
      <c r="I168" s="60"/>
      <c r="J168" s="122"/>
      <c r="K168" s="122"/>
      <c r="L168" s="107"/>
      <c r="M168" s="152"/>
      <c r="N168" s="152"/>
      <c r="O168" s="152"/>
      <c r="P168" s="152"/>
      <c r="Q168" s="152"/>
      <c r="R168" s="152"/>
      <c r="S168" s="152"/>
      <c r="T168" s="152"/>
      <c r="U168" s="152"/>
      <c r="V168" s="152"/>
      <c r="W168" s="152"/>
      <c r="X168" s="152"/>
      <c r="Y168" s="152"/>
      <c r="Z168" s="152"/>
      <c r="AA168" s="152"/>
      <c r="AB168" s="152"/>
      <c r="AC168" s="152"/>
      <c r="AD168" s="152"/>
      <c r="AE168" s="115"/>
    </row>
    <row r="169" spans="9:31">
      <c r="I169" s="60"/>
      <c r="J169" s="122"/>
      <c r="K169" s="122"/>
      <c r="L169" s="107"/>
      <c r="M169" s="152"/>
      <c r="N169" s="152"/>
      <c r="O169" s="152"/>
      <c r="P169" s="152"/>
      <c r="Q169" s="152"/>
      <c r="R169" s="152"/>
      <c r="S169" s="152"/>
      <c r="T169" s="152"/>
      <c r="U169" s="152"/>
      <c r="V169" s="152"/>
      <c r="W169" s="152"/>
      <c r="X169" s="152"/>
      <c r="Y169" s="152"/>
      <c r="Z169" s="152"/>
      <c r="AA169" s="152"/>
      <c r="AB169" s="152"/>
      <c r="AC169" s="152"/>
      <c r="AD169" s="152"/>
      <c r="AE169" s="115"/>
    </row>
    <row r="170" spans="9:31">
      <c r="I170" s="60"/>
      <c r="J170" s="122"/>
      <c r="K170" s="122"/>
      <c r="L170" s="107"/>
      <c r="M170" s="152"/>
      <c r="N170" s="152"/>
      <c r="O170" s="152"/>
      <c r="P170" s="152"/>
      <c r="Q170" s="152"/>
      <c r="R170" s="152"/>
      <c r="S170" s="152"/>
      <c r="T170" s="152"/>
      <c r="U170" s="152"/>
      <c r="V170" s="152"/>
      <c r="W170" s="152"/>
      <c r="X170" s="152"/>
      <c r="Y170" s="152"/>
      <c r="Z170" s="152"/>
      <c r="AA170" s="152"/>
      <c r="AB170" s="152"/>
      <c r="AC170" s="152"/>
      <c r="AD170" s="152"/>
      <c r="AE170" s="115"/>
    </row>
    <row r="171" spans="9:31">
      <c r="I171" s="60"/>
      <c r="J171" s="122"/>
      <c r="K171" s="122"/>
      <c r="L171" s="107"/>
      <c r="M171" s="152"/>
      <c r="N171" s="152"/>
      <c r="O171" s="152"/>
      <c r="P171" s="152"/>
      <c r="Q171" s="152"/>
      <c r="R171" s="152"/>
      <c r="S171" s="152"/>
      <c r="T171" s="152"/>
      <c r="U171" s="152"/>
      <c r="V171" s="152"/>
      <c r="W171" s="152"/>
      <c r="X171" s="152"/>
      <c r="Y171" s="152"/>
      <c r="Z171" s="152"/>
      <c r="AA171" s="152"/>
      <c r="AB171" s="152"/>
      <c r="AC171" s="152"/>
      <c r="AD171" s="152"/>
      <c r="AE171" s="115"/>
    </row>
    <row r="172" spans="9:31">
      <c r="I172" s="60"/>
      <c r="J172" s="122"/>
      <c r="K172" s="122"/>
      <c r="L172" s="107"/>
      <c r="M172" s="152"/>
      <c r="N172" s="152"/>
      <c r="O172" s="152"/>
      <c r="P172" s="152"/>
      <c r="Q172" s="152"/>
      <c r="R172" s="152"/>
      <c r="S172" s="152"/>
      <c r="T172" s="152"/>
      <c r="U172" s="152"/>
      <c r="V172" s="152"/>
      <c r="W172" s="152"/>
      <c r="X172" s="152"/>
      <c r="Y172" s="152"/>
      <c r="Z172" s="152"/>
      <c r="AA172" s="152"/>
      <c r="AB172" s="152"/>
      <c r="AC172" s="152"/>
      <c r="AD172" s="152"/>
      <c r="AE172" s="115"/>
    </row>
    <row r="173" spans="9:31">
      <c r="I173" s="60"/>
      <c r="J173" s="122"/>
      <c r="K173" s="122"/>
      <c r="L173" s="107"/>
      <c r="M173" s="152"/>
      <c r="N173" s="152"/>
      <c r="O173" s="152"/>
      <c r="P173" s="152"/>
      <c r="Q173" s="152"/>
      <c r="R173" s="152"/>
      <c r="S173" s="152"/>
      <c r="T173" s="152"/>
      <c r="U173" s="152"/>
      <c r="V173" s="152"/>
      <c r="W173" s="152"/>
      <c r="X173" s="152"/>
      <c r="Y173" s="152"/>
      <c r="Z173" s="152"/>
      <c r="AA173" s="152"/>
      <c r="AB173" s="152"/>
      <c r="AC173" s="152"/>
      <c r="AD173" s="152"/>
      <c r="AE173" s="115"/>
    </row>
    <row r="174" spans="9:31">
      <c r="I174" s="60"/>
      <c r="J174" s="122"/>
      <c r="K174" s="122"/>
      <c r="L174" s="107"/>
      <c r="M174" s="152"/>
      <c r="N174" s="152"/>
      <c r="O174" s="152"/>
      <c r="P174" s="152"/>
      <c r="Q174" s="152"/>
      <c r="R174" s="152"/>
      <c r="S174" s="152"/>
      <c r="T174" s="152"/>
      <c r="U174" s="152"/>
      <c r="V174" s="152"/>
      <c r="W174" s="152"/>
      <c r="X174" s="152"/>
      <c r="Y174" s="152"/>
      <c r="Z174" s="152"/>
      <c r="AA174" s="152"/>
      <c r="AB174" s="152"/>
      <c r="AC174" s="152"/>
      <c r="AD174" s="152"/>
      <c r="AE174" s="115"/>
    </row>
    <row r="175" spans="9:31">
      <c r="I175" s="60"/>
      <c r="J175" s="122"/>
      <c r="K175" s="122"/>
      <c r="L175" s="107"/>
      <c r="M175" s="152"/>
      <c r="N175" s="152"/>
      <c r="O175" s="152"/>
      <c r="P175" s="152"/>
      <c r="Q175" s="152"/>
      <c r="R175" s="152"/>
      <c r="S175" s="152"/>
      <c r="T175" s="152"/>
      <c r="U175" s="152"/>
      <c r="V175" s="152"/>
      <c r="W175" s="152"/>
      <c r="X175" s="152"/>
      <c r="Y175" s="152"/>
      <c r="Z175" s="152"/>
      <c r="AA175" s="152"/>
      <c r="AB175" s="152"/>
      <c r="AC175" s="152"/>
      <c r="AD175" s="152"/>
      <c r="AE175" s="115"/>
    </row>
    <row r="176" spans="9:31">
      <c r="I176" s="60"/>
      <c r="J176" s="122"/>
      <c r="K176" s="122"/>
      <c r="L176" s="107"/>
      <c r="M176" s="152"/>
      <c r="N176" s="152"/>
      <c r="O176" s="152"/>
      <c r="P176" s="152"/>
      <c r="Q176" s="152"/>
      <c r="R176" s="152"/>
      <c r="S176" s="152"/>
      <c r="T176" s="152"/>
      <c r="U176" s="152"/>
      <c r="V176" s="152"/>
      <c r="W176" s="152"/>
      <c r="X176" s="152"/>
      <c r="Y176" s="152"/>
      <c r="Z176" s="152"/>
      <c r="AA176" s="152"/>
      <c r="AB176" s="152"/>
      <c r="AC176" s="152"/>
      <c r="AD176" s="152"/>
      <c r="AE176" s="115"/>
    </row>
    <row r="177" spans="9:31">
      <c r="I177" s="60"/>
      <c r="J177" s="122"/>
      <c r="K177" s="122"/>
      <c r="L177" s="107"/>
      <c r="M177" s="152"/>
      <c r="N177" s="152"/>
      <c r="O177" s="152"/>
      <c r="P177" s="152"/>
      <c r="Q177" s="152"/>
      <c r="R177" s="152"/>
      <c r="S177" s="152"/>
      <c r="T177" s="152"/>
      <c r="U177" s="152"/>
      <c r="V177" s="152"/>
      <c r="W177" s="152"/>
      <c r="X177" s="152"/>
      <c r="Y177" s="152"/>
      <c r="Z177" s="152"/>
      <c r="AA177" s="152"/>
      <c r="AB177" s="152"/>
      <c r="AC177" s="152"/>
      <c r="AD177" s="152"/>
      <c r="AE177" s="115"/>
    </row>
    <row r="178" spans="9:31">
      <c r="I178" s="60"/>
      <c r="J178" s="122"/>
      <c r="K178" s="122"/>
      <c r="L178" s="107"/>
      <c r="M178" s="152"/>
      <c r="N178" s="152"/>
      <c r="O178" s="152"/>
      <c r="P178" s="152"/>
      <c r="Q178" s="152"/>
      <c r="R178" s="152"/>
      <c r="S178" s="152"/>
      <c r="T178" s="152"/>
      <c r="U178" s="152"/>
      <c r="V178" s="152"/>
      <c r="W178" s="152"/>
      <c r="X178" s="152"/>
      <c r="Y178" s="152"/>
      <c r="Z178" s="152"/>
      <c r="AA178" s="152"/>
      <c r="AB178" s="152"/>
      <c r="AC178" s="152"/>
      <c r="AD178" s="152"/>
      <c r="AE178" s="115"/>
    </row>
    <row r="179" spans="9:31">
      <c r="I179" s="60"/>
      <c r="J179" s="122"/>
      <c r="K179" s="122"/>
      <c r="L179" s="107"/>
      <c r="M179" s="152"/>
      <c r="N179" s="152"/>
      <c r="O179" s="152"/>
      <c r="P179" s="152"/>
      <c r="Q179" s="152"/>
      <c r="R179" s="152"/>
      <c r="S179" s="152"/>
      <c r="T179" s="152"/>
      <c r="U179" s="152"/>
      <c r="V179" s="152"/>
      <c r="W179" s="152"/>
      <c r="X179" s="152"/>
      <c r="Y179" s="152"/>
      <c r="Z179" s="152"/>
      <c r="AA179" s="152"/>
      <c r="AB179" s="152"/>
      <c r="AC179" s="152"/>
      <c r="AD179" s="152"/>
      <c r="AE179" s="115"/>
    </row>
    <row r="180" spans="9:31">
      <c r="I180" s="60"/>
      <c r="J180" s="122"/>
      <c r="K180" s="122"/>
      <c r="L180" s="107"/>
      <c r="M180" s="152"/>
      <c r="N180" s="152"/>
      <c r="O180" s="152"/>
      <c r="P180" s="152"/>
      <c r="Q180" s="152"/>
      <c r="R180" s="152"/>
      <c r="S180" s="152"/>
      <c r="T180" s="152"/>
      <c r="U180" s="152"/>
      <c r="V180" s="152"/>
      <c r="W180" s="152"/>
      <c r="X180" s="152"/>
      <c r="Y180" s="152"/>
      <c r="Z180" s="152"/>
      <c r="AA180" s="152"/>
      <c r="AB180" s="152"/>
      <c r="AC180" s="152"/>
      <c r="AD180" s="152"/>
      <c r="AE180" s="115"/>
    </row>
    <row r="181" spans="9:31">
      <c r="I181" s="60"/>
      <c r="J181" s="122"/>
      <c r="K181" s="122"/>
      <c r="L181" s="107"/>
      <c r="M181" s="152"/>
      <c r="N181" s="152"/>
      <c r="O181" s="152"/>
      <c r="P181" s="152"/>
      <c r="Q181" s="152"/>
      <c r="R181" s="152"/>
      <c r="S181" s="152"/>
      <c r="T181" s="152"/>
      <c r="U181" s="152"/>
      <c r="V181" s="152"/>
      <c r="W181" s="152"/>
      <c r="X181" s="152"/>
      <c r="Y181" s="152"/>
      <c r="Z181" s="152"/>
      <c r="AA181" s="152"/>
      <c r="AB181" s="152"/>
      <c r="AC181" s="152"/>
      <c r="AD181" s="152"/>
      <c r="AE181" s="115"/>
    </row>
    <row r="182" spans="9:31">
      <c r="I182" s="60"/>
      <c r="J182" s="122"/>
      <c r="K182" s="122"/>
      <c r="L182" s="107"/>
      <c r="M182" s="152"/>
      <c r="N182" s="152"/>
      <c r="O182" s="152"/>
      <c r="P182" s="152"/>
      <c r="Q182" s="152"/>
      <c r="R182" s="152"/>
      <c r="S182" s="152"/>
      <c r="T182" s="152"/>
      <c r="U182" s="152"/>
      <c r="V182" s="152"/>
      <c r="W182" s="152"/>
      <c r="X182" s="152"/>
      <c r="Y182" s="152"/>
      <c r="Z182" s="152"/>
      <c r="AA182" s="152"/>
      <c r="AB182" s="152"/>
      <c r="AC182" s="152"/>
      <c r="AD182" s="152"/>
      <c r="AE182" s="115"/>
    </row>
    <row r="183" spans="9:31">
      <c r="I183" s="60"/>
      <c r="J183" s="122"/>
      <c r="K183" s="122"/>
      <c r="L183" s="107"/>
      <c r="M183" s="152"/>
      <c r="N183" s="152"/>
      <c r="O183" s="152"/>
      <c r="P183" s="152"/>
      <c r="Q183" s="152"/>
      <c r="R183" s="152"/>
      <c r="S183" s="152"/>
      <c r="T183" s="152"/>
      <c r="U183" s="152"/>
      <c r="V183" s="152"/>
      <c r="W183" s="152"/>
      <c r="X183" s="152"/>
      <c r="Y183" s="152"/>
      <c r="Z183" s="152"/>
      <c r="AA183" s="152"/>
      <c r="AB183" s="152"/>
      <c r="AC183" s="152"/>
      <c r="AD183" s="152"/>
      <c r="AE183" s="115"/>
    </row>
    <row r="184" spans="9:31">
      <c r="I184" s="60"/>
      <c r="J184" s="122"/>
      <c r="K184" s="122"/>
      <c r="L184" s="107"/>
      <c r="M184" s="152"/>
      <c r="N184" s="152"/>
      <c r="O184" s="152"/>
      <c r="P184" s="152"/>
      <c r="Q184" s="152"/>
      <c r="R184" s="152"/>
      <c r="S184" s="152"/>
      <c r="T184" s="152"/>
      <c r="U184" s="152"/>
      <c r="V184" s="152"/>
      <c r="W184" s="152"/>
      <c r="X184" s="152"/>
      <c r="Y184" s="152"/>
      <c r="Z184" s="152"/>
      <c r="AA184" s="152"/>
      <c r="AB184" s="152"/>
      <c r="AC184" s="152"/>
      <c r="AD184" s="152"/>
      <c r="AE184" s="115"/>
    </row>
    <row r="185" spans="9:31">
      <c r="I185" s="60"/>
      <c r="J185" s="122"/>
      <c r="K185" s="122"/>
      <c r="L185" s="107"/>
      <c r="M185" s="152"/>
      <c r="N185" s="152"/>
      <c r="O185" s="152"/>
      <c r="P185" s="152"/>
      <c r="Q185" s="152"/>
      <c r="R185" s="152"/>
      <c r="S185" s="152"/>
      <c r="T185" s="152"/>
      <c r="U185" s="152"/>
      <c r="V185" s="152"/>
      <c r="W185" s="152"/>
      <c r="X185" s="152"/>
      <c r="Y185" s="152"/>
      <c r="Z185" s="152"/>
      <c r="AA185" s="152"/>
      <c r="AB185" s="152"/>
      <c r="AC185" s="152"/>
      <c r="AD185" s="152"/>
      <c r="AE185" s="115"/>
    </row>
    <row r="186" spans="9:31">
      <c r="I186" s="60"/>
      <c r="J186" s="122"/>
      <c r="K186" s="122"/>
      <c r="L186" s="107"/>
      <c r="M186" s="152"/>
      <c r="N186" s="152"/>
      <c r="O186" s="152"/>
      <c r="P186" s="152"/>
      <c r="Q186" s="152"/>
      <c r="R186" s="152"/>
      <c r="S186" s="152"/>
      <c r="T186" s="152"/>
      <c r="U186" s="152"/>
      <c r="V186" s="152"/>
      <c r="W186" s="152"/>
      <c r="X186" s="152"/>
      <c r="Y186" s="152"/>
      <c r="Z186" s="152"/>
      <c r="AA186" s="152"/>
      <c r="AB186" s="152"/>
      <c r="AC186" s="152"/>
      <c r="AD186" s="152"/>
      <c r="AE186" s="115"/>
    </row>
    <row r="187" spans="9:31">
      <c r="I187" s="60"/>
      <c r="J187" s="122"/>
      <c r="K187" s="122"/>
      <c r="L187" s="107"/>
      <c r="M187" s="152"/>
      <c r="N187" s="152"/>
      <c r="O187" s="152"/>
      <c r="P187" s="152"/>
      <c r="Q187" s="152"/>
      <c r="R187" s="152"/>
      <c r="S187" s="152"/>
      <c r="T187" s="152"/>
      <c r="U187" s="152"/>
      <c r="V187" s="152"/>
      <c r="W187" s="152"/>
      <c r="X187" s="152"/>
      <c r="Y187" s="152"/>
      <c r="Z187" s="152"/>
      <c r="AA187" s="152"/>
      <c r="AB187" s="152"/>
      <c r="AC187" s="152"/>
      <c r="AD187" s="152"/>
      <c r="AE187" s="115"/>
    </row>
    <row r="188" spans="9:31">
      <c r="I188" s="60"/>
      <c r="J188" s="122"/>
      <c r="K188" s="122"/>
      <c r="L188" s="107"/>
      <c r="M188" s="152"/>
      <c r="N188" s="152"/>
      <c r="O188" s="152"/>
      <c r="P188" s="152"/>
      <c r="Q188" s="152"/>
      <c r="R188" s="152"/>
      <c r="S188" s="152"/>
      <c r="T188" s="152"/>
      <c r="U188" s="152"/>
      <c r="V188" s="152"/>
      <c r="W188" s="152"/>
      <c r="X188" s="152"/>
      <c r="Y188" s="152"/>
      <c r="Z188" s="152"/>
      <c r="AA188" s="152"/>
      <c r="AB188" s="152"/>
      <c r="AC188" s="152"/>
      <c r="AD188" s="152"/>
      <c r="AE188" s="115"/>
    </row>
    <row r="189" spans="9:31">
      <c r="I189" s="60"/>
      <c r="J189" s="122"/>
      <c r="K189" s="122"/>
      <c r="L189" s="107"/>
      <c r="M189" s="152"/>
      <c r="N189" s="152"/>
      <c r="O189" s="152"/>
      <c r="P189" s="152"/>
      <c r="Q189" s="152"/>
      <c r="R189" s="152"/>
      <c r="S189" s="152"/>
      <c r="T189" s="152"/>
      <c r="U189" s="152"/>
      <c r="V189" s="152"/>
      <c r="W189" s="152"/>
      <c r="X189" s="152"/>
      <c r="Y189" s="152"/>
      <c r="Z189" s="152"/>
      <c r="AA189" s="152"/>
      <c r="AB189" s="152"/>
      <c r="AC189" s="152"/>
      <c r="AD189" s="152"/>
      <c r="AE189" s="115"/>
    </row>
    <row r="190" spans="9:31">
      <c r="I190" s="60"/>
      <c r="J190" s="122"/>
      <c r="K190" s="122"/>
      <c r="L190" s="107"/>
      <c r="M190" s="152"/>
      <c r="N190" s="152"/>
      <c r="O190" s="152"/>
      <c r="P190" s="152"/>
      <c r="Q190" s="152"/>
      <c r="R190" s="152"/>
      <c r="S190" s="152"/>
      <c r="T190" s="152"/>
      <c r="U190" s="152"/>
      <c r="V190" s="152"/>
      <c r="W190" s="152"/>
      <c r="X190" s="152"/>
      <c r="Y190" s="152"/>
      <c r="Z190" s="152"/>
      <c r="AA190" s="152"/>
      <c r="AB190" s="152"/>
      <c r="AC190" s="152"/>
      <c r="AD190" s="152"/>
      <c r="AE190" s="115"/>
    </row>
    <row r="191" spans="9:31">
      <c r="I191" s="60"/>
      <c r="J191" s="122"/>
      <c r="K191" s="122"/>
      <c r="L191" s="107"/>
      <c r="M191" s="152"/>
      <c r="N191" s="152"/>
      <c r="O191" s="152"/>
      <c r="P191" s="152"/>
      <c r="Q191" s="152"/>
      <c r="R191" s="152"/>
      <c r="S191" s="152"/>
      <c r="T191" s="152"/>
      <c r="U191" s="152"/>
      <c r="V191" s="152"/>
      <c r="W191" s="152"/>
      <c r="X191" s="152"/>
      <c r="Y191" s="152"/>
      <c r="Z191" s="152"/>
      <c r="AA191" s="152"/>
      <c r="AB191" s="152"/>
      <c r="AC191" s="152"/>
      <c r="AD191" s="152"/>
      <c r="AE191" s="115"/>
    </row>
    <row r="192" spans="9:31">
      <c r="I192" s="60"/>
      <c r="J192" s="122"/>
      <c r="K192" s="122"/>
      <c r="L192" s="107"/>
      <c r="M192" s="152"/>
      <c r="N192" s="152"/>
      <c r="O192" s="152"/>
      <c r="P192" s="152"/>
      <c r="Q192" s="152"/>
      <c r="R192" s="152"/>
      <c r="S192" s="152"/>
      <c r="T192" s="152"/>
      <c r="U192" s="152"/>
      <c r="V192" s="152"/>
      <c r="W192" s="152"/>
      <c r="X192" s="152"/>
      <c r="Y192" s="152"/>
      <c r="Z192" s="152"/>
      <c r="AA192" s="152"/>
      <c r="AB192" s="152"/>
      <c r="AC192" s="152"/>
      <c r="AD192" s="152"/>
      <c r="AE192" s="115"/>
    </row>
    <row r="193" spans="9:31">
      <c r="I193" s="60"/>
      <c r="J193" s="122"/>
      <c r="K193" s="122"/>
      <c r="L193" s="107"/>
      <c r="M193" s="152"/>
      <c r="N193" s="152"/>
      <c r="O193" s="152"/>
      <c r="P193" s="152"/>
      <c r="Q193" s="152"/>
      <c r="R193" s="152"/>
      <c r="S193" s="152"/>
      <c r="T193" s="152"/>
      <c r="U193" s="152"/>
      <c r="V193" s="152"/>
      <c r="W193" s="152"/>
      <c r="X193" s="152"/>
      <c r="Y193" s="152"/>
      <c r="Z193" s="152"/>
      <c r="AA193" s="152"/>
      <c r="AB193" s="152"/>
      <c r="AC193" s="152"/>
      <c r="AD193" s="152"/>
      <c r="AE193" s="115"/>
    </row>
    <row r="194" spans="9:31">
      <c r="I194" s="60"/>
      <c r="J194" s="122"/>
      <c r="K194" s="122"/>
      <c r="L194" s="107"/>
      <c r="M194" s="152"/>
      <c r="N194" s="152"/>
      <c r="O194" s="152"/>
      <c r="P194" s="152"/>
      <c r="Q194" s="152"/>
      <c r="R194" s="152"/>
      <c r="S194" s="152"/>
      <c r="T194" s="152"/>
      <c r="U194" s="152"/>
      <c r="V194" s="152"/>
      <c r="W194" s="152"/>
      <c r="X194" s="152"/>
      <c r="Y194" s="152"/>
      <c r="Z194" s="152"/>
      <c r="AA194" s="152"/>
      <c r="AB194" s="152"/>
      <c r="AC194" s="152"/>
      <c r="AD194" s="152"/>
      <c r="AE194" s="115"/>
    </row>
    <row r="195" spans="9:31">
      <c r="I195" s="60"/>
      <c r="J195" s="122"/>
      <c r="K195" s="122"/>
      <c r="L195" s="107"/>
      <c r="M195" s="152"/>
      <c r="N195" s="152"/>
      <c r="O195" s="152"/>
      <c r="P195" s="152"/>
      <c r="Q195" s="152"/>
      <c r="R195" s="152"/>
      <c r="S195" s="152"/>
      <c r="T195" s="152"/>
      <c r="U195" s="152"/>
      <c r="V195" s="152"/>
      <c r="W195" s="152"/>
      <c r="X195" s="152"/>
      <c r="Y195" s="152"/>
      <c r="Z195" s="152"/>
      <c r="AA195" s="152"/>
      <c r="AB195" s="152"/>
      <c r="AC195" s="152"/>
      <c r="AD195" s="152"/>
      <c r="AE195" s="115"/>
    </row>
    <row r="196" spans="9:31">
      <c r="I196" s="60"/>
      <c r="J196" s="122"/>
      <c r="K196" s="122"/>
      <c r="L196" s="107"/>
      <c r="M196" s="152"/>
      <c r="N196" s="152"/>
      <c r="O196" s="152"/>
      <c r="P196" s="152"/>
      <c r="Q196" s="152"/>
      <c r="R196" s="152"/>
      <c r="S196" s="152"/>
      <c r="T196" s="152"/>
      <c r="U196" s="152"/>
      <c r="V196" s="152"/>
      <c r="W196" s="152"/>
      <c r="X196" s="152"/>
      <c r="Y196" s="152"/>
      <c r="Z196" s="152"/>
      <c r="AA196" s="152"/>
      <c r="AB196" s="152"/>
      <c r="AC196" s="152"/>
      <c r="AD196" s="152"/>
      <c r="AE196" s="115"/>
    </row>
    <row r="197" spans="9:31">
      <c r="I197" s="60"/>
      <c r="J197" s="122"/>
      <c r="K197" s="122"/>
      <c r="L197" s="107"/>
      <c r="M197" s="152"/>
      <c r="N197" s="152"/>
      <c r="O197" s="152"/>
      <c r="P197" s="152"/>
      <c r="Q197" s="152"/>
      <c r="R197" s="152"/>
      <c r="S197" s="152"/>
      <c r="T197" s="152"/>
      <c r="U197" s="152"/>
      <c r="V197" s="152"/>
      <c r="W197" s="152"/>
      <c r="X197" s="152"/>
      <c r="Y197" s="152"/>
      <c r="Z197" s="152"/>
      <c r="AA197" s="152"/>
      <c r="AB197" s="152"/>
      <c r="AC197" s="152"/>
      <c r="AD197" s="152"/>
      <c r="AE197" s="115"/>
    </row>
    <row r="198" spans="9:31">
      <c r="I198" s="60"/>
      <c r="J198" s="122"/>
      <c r="K198" s="122"/>
      <c r="L198" s="107"/>
      <c r="M198" s="152"/>
      <c r="N198" s="152"/>
      <c r="O198" s="152"/>
      <c r="P198" s="152"/>
      <c r="Q198" s="152"/>
      <c r="R198" s="152"/>
      <c r="S198" s="152"/>
      <c r="T198" s="152"/>
      <c r="U198" s="152"/>
      <c r="V198" s="152"/>
      <c r="W198" s="152"/>
      <c r="X198" s="152"/>
      <c r="Y198" s="152"/>
      <c r="Z198" s="152"/>
      <c r="AA198" s="152"/>
      <c r="AB198" s="152"/>
      <c r="AC198" s="152"/>
      <c r="AD198" s="152"/>
      <c r="AE198" s="115"/>
    </row>
    <row r="199" spans="9:31">
      <c r="I199" s="60"/>
      <c r="J199" s="122"/>
      <c r="K199" s="122"/>
      <c r="L199" s="107"/>
      <c r="M199" s="152"/>
      <c r="N199" s="152"/>
      <c r="O199" s="152"/>
      <c r="P199" s="152"/>
      <c r="Q199" s="152"/>
      <c r="R199" s="152"/>
      <c r="S199" s="152"/>
      <c r="T199" s="152"/>
      <c r="U199" s="152"/>
      <c r="V199" s="152"/>
      <c r="W199" s="152"/>
      <c r="X199" s="152"/>
      <c r="Y199" s="152"/>
      <c r="Z199" s="152"/>
      <c r="AA199" s="152"/>
      <c r="AB199" s="152"/>
      <c r="AC199" s="152"/>
      <c r="AD199" s="152"/>
      <c r="AE199" s="115"/>
    </row>
    <row r="200" spans="9:31">
      <c r="I200" s="60"/>
      <c r="J200" s="122"/>
      <c r="K200" s="122"/>
      <c r="L200" s="107"/>
      <c r="M200" s="152"/>
      <c r="N200" s="152"/>
      <c r="O200" s="152"/>
      <c r="P200" s="152"/>
      <c r="Q200" s="152"/>
      <c r="R200" s="152"/>
      <c r="S200" s="152"/>
      <c r="T200" s="152"/>
      <c r="U200" s="152"/>
      <c r="V200" s="152"/>
      <c r="W200" s="152"/>
      <c r="X200" s="152"/>
      <c r="Y200" s="152"/>
      <c r="Z200" s="152"/>
      <c r="AA200" s="152"/>
      <c r="AB200" s="152"/>
      <c r="AC200" s="152"/>
      <c r="AD200" s="152"/>
      <c r="AE200" s="115"/>
    </row>
    <row r="201" spans="9:31">
      <c r="I201" s="60"/>
      <c r="J201" s="122"/>
      <c r="K201" s="122"/>
      <c r="L201" s="107"/>
      <c r="M201" s="152"/>
      <c r="N201" s="152"/>
      <c r="O201" s="152"/>
      <c r="P201" s="152"/>
      <c r="Q201" s="152"/>
      <c r="R201" s="152"/>
      <c r="S201" s="152"/>
      <c r="T201" s="152"/>
      <c r="U201" s="152"/>
      <c r="V201" s="152"/>
      <c r="W201" s="152"/>
      <c r="X201" s="152"/>
      <c r="Y201" s="152"/>
      <c r="Z201" s="152"/>
      <c r="AA201" s="152"/>
      <c r="AB201" s="152"/>
      <c r="AC201" s="152"/>
      <c r="AD201" s="152"/>
      <c r="AE201" s="115"/>
    </row>
    <row r="202" spans="9:31">
      <c r="I202" s="60"/>
      <c r="J202" s="122"/>
      <c r="K202" s="122"/>
      <c r="L202" s="107"/>
      <c r="M202" s="152"/>
      <c r="N202" s="152"/>
      <c r="O202" s="152"/>
      <c r="P202" s="152"/>
      <c r="Q202" s="152"/>
      <c r="R202" s="152"/>
      <c r="S202" s="152"/>
      <c r="T202" s="152"/>
      <c r="U202" s="152"/>
      <c r="V202" s="152"/>
      <c r="W202" s="152"/>
      <c r="X202" s="152"/>
      <c r="Y202" s="152"/>
      <c r="Z202" s="152"/>
      <c r="AA202" s="152"/>
      <c r="AB202" s="152"/>
      <c r="AC202" s="152"/>
      <c r="AD202" s="152"/>
      <c r="AE202" s="115"/>
    </row>
    <row r="203" spans="9:31">
      <c r="I203" s="60"/>
      <c r="J203" s="122"/>
      <c r="K203" s="122"/>
      <c r="L203" s="107"/>
      <c r="M203" s="152"/>
      <c r="N203" s="152"/>
      <c r="O203" s="152"/>
      <c r="P203" s="152"/>
      <c r="Q203" s="152"/>
      <c r="R203" s="152"/>
      <c r="S203" s="152"/>
      <c r="T203" s="152"/>
      <c r="U203" s="152"/>
      <c r="V203" s="152"/>
      <c r="W203" s="152"/>
      <c r="X203" s="152"/>
      <c r="Y203" s="152"/>
      <c r="Z203" s="152"/>
      <c r="AA203" s="152"/>
      <c r="AB203" s="152"/>
      <c r="AC203" s="152"/>
      <c r="AD203" s="152"/>
      <c r="AE203" s="115"/>
    </row>
    <row r="204" spans="9:31">
      <c r="I204" s="60"/>
      <c r="J204" s="122"/>
      <c r="K204" s="122"/>
      <c r="L204" s="107"/>
      <c r="M204" s="152"/>
      <c r="N204" s="152"/>
      <c r="O204" s="152"/>
      <c r="P204" s="152"/>
      <c r="Q204" s="152"/>
      <c r="R204" s="152"/>
      <c r="S204" s="152"/>
      <c r="T204" s="152"/>
      <c r="U204" s="152"/>
      <c r="V204" s="152"/>
      <c r="W204" s="152"/>
      <c r="X204" s="152"/>
      <c r="Y204" s="152"/>
      <c r="Z204" s="152"/>
      <c r="AA204" s="152"/>
      <c r="AB204" s="152"/>
      <c r="AC204" s="152"/>
      <c r="AD204" s="152"/>
      <c r="AE204" s="115"/>
    </row>
    <row r="205" spans="9:31">
      <c r="I205" s="60"/>
      <c r="J205" s="122"/>
      <c r="K205" s="122"/>
      <c r="L205" s="107"/>
      <c r="M205" s="152"/>
      <c r="N205" s="152"/>
      <c r="O205" s="152"/>
      <c r="P205" s="152"/>
      <c r="Q205" s="152"/>
      <c r="R205" s="152"/>
      <c r="S205" s="152"/>
      <c r="T205" s="152"/>
      <c r="U205" s="152"/>
      <c r="V205" s="152"/>
      <c r="W205" s="152"/>
      <c r="X205" s="152"/>
      <c r="Y205" s="152"/>
      <c r="Z205" s="152"/>
      <c r="AA205" s="152"/>
      <c r="AB205" s="152"/>
      <c r="AC205" s="152"/>
      <c r="AD205" s="152"/>
      <c r="AE205" s="115"/>
    </row>
    <row r="206" spans="9:31">
      <c r="I206" s="60"/>
      <c r="J206" s="122"/>
      <c r="K206" s="122"/>
      <c r="L206" s="107"/>
      <c r="M206" s="152"/>
      <c r="N206" s="152"/>
      <c r="O206" s="152"/>
      <c r="P206" s="152"/>
      <c r="Q206" s="152"/>
      <c r="R206" s="152"/>
      <c r="S206" s="152"/>
      <c r="T206" s="152"/>
      <c r="U206" s="152"/>
      <c r="V206" s="152"/>
      <c r="W206" s="152"/>
      <c r="X206" s="152"/>
      <c r="Y206" s="152"/>
      <c r="Z206" s="152"/>
      <c r="AA206" s="152"/>
      <c r="AB206" s="152"/>
      <c r="AC206" s="152"/>
      <c r="AD206" s="152"/>
      <c r="AE206" s="115"/>
    </row>
    <row r="207" spans="9:31">
      <c r="I207" s="60"/>
      <c r="J207" s="122"/>
      <c r="K207" s="122"/>
      <c r="L207" s="107"/>
      <c r="M207" s="152"/>
      <c r="N207" s="152"/>
      <c r="O207" s="152"/>
      <c r="P207" s="152"/>
      <c r="Q207" s="152"/>
      <c r="R207" s="152"/>
      <c r="S207" s="152"/>
      <c r="T207" s="152"/>
      <c r="U207" s="152"/>
      <c r="V207" s="152"/>
      <c r="W207" s="152"/>
      <c r="X207" s="152"/>
      <c r="Y207" s="152"/>
      <c r="Z207" s="152"/>
      <c r="AA207" s="152"/>
      <c r="AB207" s="152"/>
      <c r="AC207" s="152"/>
      <c r="AD207" s="152"/>
      <c r="AE207" s="115"/>
    </row>
    <row r="208" spans="9:31">
      <c r="I208" s="60"/>
      <c r="J208" s="122"/>
      <c r="K208" s="122"/>
      <c r="L208" s="107"/>
      <c r="M208" s="152"/>
      <c r="N208" s="152"/>
      <c r="O208" s="152"/>
      <c r="P208" s="152"/>
      <c r="Q208" s="152"/>
      <c r="R208" s="152"/>
      <c r="S208" s="152"/>
      <c r="T208" s="152"/>
      <c r="U208" s="152"/>
      <c r="V208" s="152"/>
      <c r="W208" s="152"/>
      <c r="X208" s="152"/>
      <c r="Y208" s="152"/>
      <c r="Z208" s="152"/>
      <c r="AA208" s="152"/>
      <c r="AB208" s="152"/>
      <c r="AC208" s="152"/>
      <c r="AD208" s="152"/>
      <c r="AE208" s="115"/>
    </row>
    <row r="209" spans="9:31">
      <c r="I209" s="60"/>
      <c r="J209" s="122"/>
      <c r="K209" s="122"/>
      <c r="L209" s="107"/>
      <c r="M209" s="152"/>
      <c r="N209" s="152"/>
      <c r="O209" s="152"/>
      <c r="P209" s="152"/>
      <c r="Q209" s="152"/>
      <c r="R209" s="152"/>
      <c r="S209" s="152"/>
      <c r="T209" s="152"/>
      <c r="U209" s="152"/>
      <c r="V209" s="152"/>
      <c r="W209" s="152"/>
      <c r="X209" s="152"/>
      <c r="Y209" s="152"/>
      <c r="Z209" s="152"/>
      <c r="AA209" s="152"/>
      <c r="AB209" s="152"/>
      <c r="AC209" s="152"/>
      <c r="AD209" s="152"/>
      <c r="AE209" s="115"/>
    </row>
    <row r="210" spans="9:31">
      <c r="I210" s="60"/>
      <c r="J210" s="122"/>
      <c r="K210" s="122"/>
      <c r="L210" s="107"/>
      <c r="M210" s="152"/>
      <c r="N210" s="152"/>
      <c r="O210" s="152"/>
      <c r="P210" s="152"/>
      <c r="Q210" s="152"/>
      <c r="R210" s="152"/>
      <c r="S210" s="152"/>
      <c r="T210" s="152"/>
      <c r="U210" s="152"/>
      <c r="V210" s="152"/>
      <c r="W210" s="152"/>
      <c r="X210" s="152"/>
      <c r="Y210" s="152"/>
      <c r="Z210" s="152"/>
      <c r="AA210" s="152"/>
      <c r="AB210" s="152"/>
      <c r="AC210" s="152"/>
      <c r="AD210" s="152"/>
      <c r="AE210" s="115"/>
    </row>
    <row r="211" spans="9:31">
      <c r="I211" s="60"/>
      <c r="J211" s="122"/>
      <c r="K211" s="122"/>
      <c r="L211" s="107"/>
      <c r="M211" s="152"/>
      <c r="N211" s="152"/>
      <c r="O211" s="152"/>
      <c r="P211" s="152"/>
      <c r="Q211" s="152"/>
      <c r="R211" s="152"/>
      <c r="S211" s="152"/>
      <c r="T211" s="152"/>
      <c r="U211" s="152"/>
      <c r="V211" s="152"/>
      <c r="W211" s="152"/>
      <c r="X211" s="152"/>
      <c r="Y211" s="152"/>
      <c r="Z211" s="152"/>
      <c r="AA211" s="152"/>
      <c r="AB211" s="152"/>
      <c r="AC211" s="152"/>
      <c r="AD211" s="152"/>
      <c r="AE211" s="115"/>
    </row>
    <row r="212" spans="9:31">
      <c r="I212" s="60"/>
      <c r="J212" s="122"/>
      <c r="K212" s="122"/>
      <c r="L212" s="107"/>
      <c r="M212" s="152"/>
      <c r="N212" s="152"/>
      <c r="O212" s="152"/>
      <c r="P212" s="152"/>
      <c r="Q212" s="152"/>
      <c r="R212" s="152"/>
      <c r="S212" s="152"/>
      <c r="T212" s="152"/>
      <c r="U212" s="152"/>
      <c r="V212" s="152"/>
      <c r="W212" s="152"/>
      <c r="X212" s="152"/>
      <c r="Y212" s="152"/>
      <c r="Z212" s="152"/>
      <c r="AA212" s="152"/>
      <c r="AB212" s="152"/>
      <c r="AC212" s="152"/>
      <c r="AD212" s="152"/>
      <c r="AE212" s="115"/>
    </row>
    <row r="213" spans="9:31">
      <c r="I213" s="60"/>
      <c r="J213" s="122"/>
      <c r="K213" s="122"/>
      <c r="L213" s="107"/>
      <c r="M213" s="152"/>
      <c r="N213" s="152"/>
      <c r="O213" s="152"/>
      <c r="P213" s="152"/>
      <c r="Q213" s="152"/>
      <c r="R213" s="152"/>
      <c r="S213" s="152"/>
      <c r="T213" s="152"/>
      <c r="U213" s="152"/>
      <c r="V213" s="152"/>
      <c r="W213" s="152"/>
      <c r="X213" s="152"/>
      <c r="Y213" s="152"/>
      <c r="Z213" s="152"/>
      <c r="AA213" s="152"/>
      <c r="AB213" s="152"/>
      <c r="AC213" s="152"/>
      <c r="AD213" s="152"/>
      <c r="AE213" s="115"/>
    </row>
    <row r="214" spans="9:31">
      <c r="I214" s="60"/>
      <c r="J214" s="122"/>
      <c r="K214" s="122"/>
      <c r="L214" s="107"/>
      <c r="M214" s="152"/>
      <c r="N214" s="152"/>
      <c r="O214" s="152"/>
      <c r="P214" s="152"/>
      <c r="Q214" s="152"/>
      <c r="R214" s="152"/>
      <c r="S214" s="152"/>
      <c r="T214" s="152"/>
      <c r="U214" s="152"/>
      <c r="V214" s="152"/>
      <c r="W214" s="152"/>
      <c r="X214" s="152"/>
      <c r="Y214" s="152"/>
      <c r="Z214" s="152"/>
      <c r="AA214" s="152"/>
      <c r="AB214" s="152"/>
      <c r="AC214" s="152"/>
      <c r="AD214" s="152"/>
      <c r="AE214" s="115"/>
    </row>
    <row r="215" spans="9:31">
      <c r="I215" s="60"/>
      <c r="J215" s="122"/>
      <c r="K215" s="122"/>
      <c r="L215" s="107"/>
      <c r="M215" s="152"/>
      <c r="N215" s="152"/>
      <c r="O215" s="152"/>
      <c r="P215" s="152"/>
      <c r="Q215" s="152"/>
      <c r="R215" s="152"/>
      <c r="S215" s="152"/>
      <c r="T215" s="152"/>
      <c r="U215" s="152"/>
      <c r="V215" s="152"/>
      <c r="W215" s="152"/>
      <c r="X215" s="152"/>
      <c r="Y215" s="152"/>
      <c r="Z215" s="152"/>
      <c r="AA215" s="152"/>
      <c r="AB215" s="152"/>
      <c r="AC215" s="152"/>
      <c r="AD215" s="152"/>
      <c r="AE215" s="115"/>
    </row>
    <row r="216" spans="9:31">
      <c r="I216" s="60"/>
      <c r="J216" s="122"/>
      <c r="K216" s="122"/>
      <c r="L216" s="107"/>
      <c r="M216" s="152"/>
      <c r="N216" s="152"/>
      <c r="O216" s="152"/>
      <c r="P216" s="152"/>
      <c r="Q216" s="152"/>
      <c r="R216" s="152"/>
      <c r="S216" s="152"/>
      <c r="T216" s="152"/>
      <c r="U216" s="152"/>
      <c r="V216" s="152"/>
      <c r="W216" s="152"/>
      <c r="X216" s="152"/>
      <c r="Y216" s="152"/>
      <c r="Z216" s="152"/>
      <c r="AA216" s="152"/>
      <c r="AB216" s="152"/>
      <c r="AC216" s="152"/>
      <c r="AD216" s="152"/>
      <c r="AE216" s="115"/>
    </row>
    <row r="217" spans="9:31">
      <c r="I217" s="60"/>
      <c r="J217" s="122"/>
      <c r="K217" s="122"/>
      <c r="L217" s="107"/>
      <c r="M217" s="152"/>
      <c r="N217" s="152"/>
      <c r="O217" s="152"/>
      <c r="P217" s="152"/>
      <c r="Q217" s="152"/>
      <c r="R217" s="152"/>
      <c r="S217" s="152"/>
      <c r="T217" s="152"/>
      <c r="U217" s="152"/>
      <c r="V217" s="152"/>
      <c r="W217" s="152"/>
      <c r="X217" s="152"/>
      <c r="Y217" s="152"/>
      <c r="Z217" s="152"/>
      <c r="AA217" s="152"/>
      <c r="AB217" s="152"/>
      <c r="AC217" s="152"/>
      <c r="AD217" s="152"/>
      <c r="AE217" s="115"/>
    </row>
    <row r="218" spans="9:31">
      <c r="I218" s="60"/>
      <c r="J218" s="122"/>
      <c r="K218" s="122"/>
      <c r="L218" s="107"/>
      <c r="M218" s="152"/>
      <c r="N218" s="152"/>
      <c r="O218" s="152"/>
      <c r="P218" s="152"/>
      <c r="Q218" s="152"/>
      <c r="R218" s="152"/>
      <c r="S218" s="152"/>
      <c r="T218" s="152"/>
      <c r="U218" s="152"/>
      <c r="V218" s="152"/>
      <c r="W218" s="152"/>
      <c r="X218" s="152"/>
      <c r="Y218" s="152"/>
      <c r="Z218" s="152"/>
      <c r="AA218" s="152"/>
      <c r="AB218" s="152"/>
      <c r="AC218" s="152"/>
      <c r="AD218" s="152"/>
      <c r="AE218" s="115"/>
    </row>
    <row r="219" spans="9:31">
      <c r="I219" s="60"/>
      <c r="J219" s="122"/>
      <c r="K219" s="122"/>
      <c r="L219" s="107"/>
      <c r="M219" s="152"/>
      <c r="N219" s="152"/>
      <c r="O219" s="152"/>
      <c r="P219" s="152"/>
      <c r="Q219" s="152"/>
      <c r="R219" s="152"/>
      <c r="S219" s="152"/>
      <c r="T219" s="152"/>
      <c r="U219" s="152"/>
      <c r="V219" s="152"/>
      <c r="W219" s="152"/>
      <c r="X219" s="152"/>
      <c r="Y219" s="152"/>
      <c r="Z219" s="152"/>
      <c r="AA219" s="152"/>
      <c r="AB219" s="152"/>
      <c r="AC219" s="152"/>
      <c r="AD219" s="152"/>
      <c r="AE219" s="115"/>
    </row>
    <row r="220" spans="9:31">
      <c r="I220" s="60"/>
      <c r="J220" s="122"/>
      <c r="K220" s="122"/>
      <c r="L220" s="107"/>
      <c r="M220" s="152"/>
      <c r="N220" s="152"/>
      <c r="O220" s="152"/>
      <c r="P220" s="152"/>
      <c r="Q220" s="152"/>
      <c r="R220" s="152"/>
      <c r="S220" s="152"/>
      <c r="T220" s="152"/>
      <c r="U220" s="152"/>
      <c r="V220" s="152"/>
      <c r="W220" s="152"/>
      <c r="X220" s="152"/>
      <c r="Y220" s="152"/>
      <c r="Z220" s="152"/>
      <c r="AA220" s="152"/>
      <c r="AB220" s="152"/>
      <c r="AC220" s="152"/>
      <c r="AD220" s="152"/>
      <c r="AE220" s="115"/>
    </row>
    <row r="221" spans="9:31">
      <c r="I221" s="60"/>
      <c r="J221" s="122"/>
      <c r="K221" s="122"/>
      <c r="L221" s="107"/>
      <c r="M221" s="152"/>
      <c r="N221" s="152"/>
      <c r="O221" s="152"/>
      <c r="P221" s="152"/>
      <c r="Q221" s="152"/>
      <c r="R221" s="152"/>
      <c r="S221" s="152"/>
      <c r="T221" s="152"/>
      <c r="U221" s="152"/>
      <c r="V221" s="152"/>
      <c r="W221" s="152"/>
      <c r="X221" s="152"/>
      <c r="Y221" s="152"/>
      <c r="Z221" s="152"/>
      <c r="AA221" s="152"/>
      <c r="AB221" s="152"/>
      <c r="AC221" s="152"/>
      <c r="AD221" s="152"/>
      <c r="AE221" s="115"/>
    </row>
    <row r="222" spans="9:31">
      <c r="I222" s="60"/>
      <c r="J222" s="122"/>
      <c r="K222" s="122"/>
      <c r="L222" s="107"/>
      <c r="M222" s="152"/>
      <c r="N222" s="152"/>
      <c r="O222" s="152"/>
      <c r="P222" s="152"/>
      <c r="Q222" s="152"/>
      <c r="R222" s="152"/>
      <c r="S222" s="152"/>
      <c r="T222" s="152"/>
      <c r="U222" s="152"/>
      <c r="V222" s="152"/>
      <c r="W222" s="152"/>
      <c r="X222" s="152"/>
      <c r="Y222" s="152"/>
      <c r="Z222" s="152"/>
      <c r="AA222" s="152"/>
      <c r="AB222" s="152"/>
      <c r="AC222" s="152"/>
      <c r="AD222" s="152"/>
      <c r="AE222" s="115"/>
    </row>
    <row r="223" spans="9:31">
      <c r="I223" s="60"/>
      <c r="J223" s="122"/>
      <c r="K223" s="122"/>
      <c r="L223" s="107"/>
      <c r="M223" s="152"/>
      <c r="N223" s="152"/>
      <c r="O223" s="152"/>
      <c r="P223" s="152"/>
      <c r="Q223" s="152"/>
      <c r="R223" s="152"/>
      <c r="S223" s="152"/>
      <c r="T223" s="152"/>
      <c r="U223" s="152"/>
      <c r="V223" s="152"/>
      <c r="W223" s="152"/>
      <c r="X223" s="152"/>
      <c r="Y223" s="152"/>
      <c r="Z223" s="152"/>
      <c r="AA223" s="152"/>
      <c r="AB223" s="152"/>
      <c r="AC223" s="152"/>
      <c r="AD223" s="152"/>
      <c r="AE223" s="115"/>
    </row>
    <row r="224" spans="9:31">
      <c r="I224" s="60"/>
      <c r="J224" s="122"/>
      <c r="K224" s="122"/>
      <c r="L224" s="107"/>
      <c r="M224" s="152"/>
      <c r="N224" s="152"/>
      <c r="O224" s="152"/>
      <c r="P224" s="152"/>
      <c r="Q224" s="152"/>
      <c r="R224" s="152"/>
      <c r="S224" s="152"/>
      <c r="T224" s="152"/>
      <c r="U224" s="152"/>
      <c r="V224" s="152"/>
      <c r="W224" s="152"/>
      <c r="X224" s="152"/>
      <c r="Y224" s="152"/>
      <c r="Z224" s="152"/>
      <c r="AA224" s="152"/>
      <c r="AB224" s="152"/>
      <c r="AC224" s="152"/>
      <c r="AD224" s="152"/>
      <c r="AE224" s="115"/>
    </row>
    <row r="225" spans="9:31">
      <c r="I225" s="60"/>
      <c r="J225" s="122"/>
      <c r="K225" s="122"/>
      <c r="L225" s="107"/>
      <c r="M225" s="152"/>
      <c r="N225" s="152"/>
      <c r="O225" s="152"/>
      <c r="P225" s="152"/>
      <c r="Q225" s="152"/>
      <c r="R225" s="152"/>
      <c r="S225" s="152"/>
      <c r="T225" s="152"/>
      <c r="U225" s="152"/>
      <c r="V225" s="152"/>
      <c r="W225" s="152"/>
      <c r="X225" s="152"/>
      <c r="Y225" s="152"/>
      <c r="Z225" s="152"/>
      <c r="AA225" s="152"/>
      <c r="AB225" s="152"/>
      <c r="AC225" s="152"/>
      <c r="AD225" s="152"/>
      <c r="AE225" s="115"/>
    </row>
    <row r="226" spans="9:31">
      <c r="I226" s="60"/>
      <c r="J226" s="122"/>
      <c r="K226" s="122"/>
      <c r="L226" s="107"/>
      <c r="M226" s="152"/>
      <c r="N226" s="152"/>
      <c r="O226" s="152"/>
      <c r="P226" s="152"/>
      <c r="Q226" s="152"/>
      <c r="R226" s="152"/>
      <c r="S226" s="152"/>
      <c r="T226" s="152"/>
      <c r="U226" s="152"/>
      <c r="V226" s="152"/>
      <c r="W226" s="152"/>
      <c r="X226" s="152"/>
      <c r="Y226" s="152"/>
      <c r="Z226" s="152"/>
      <c r="AA226" s="152"/>
      <c r="AB226" s="152"/>
      <c r="AC226" s="152"/>
      <c r="AD226" s="152"/>
      <c r="AE226" s="115"/>
    </row>
    <row r="227" spans="9:31">
      <c r="I227" s="60"/>
      <c r="J227" s="122"/>
      <c r="K227" s="122"/>
      <c r="L227" s="107"/>
      <c r="M227" s="152"/>
      <c r="N227" s="152"/>
      <c r="O227" s="152"/>
      <c r="P227" s="152"/>
      <c r="Q227" s="152"/>
      <c r="R227" s="152"/>
      <c r="S227" s="152"/>
      <c r="T227" s="152"/>
      <c r="U227" s="152"/>
      <c r="V227" s="152"/>
      <c r="W227" s="152"/>
      <c r="X227" s="152"/>
      <c r="Y227" s="152"/>
      <c r="Z227" s="152"/>
      <c r="AA227" s="152"/>
      <c r="AB227" s="152"/>
      <c r="AC227" s="152"/>
      <c r="AD227" s="152"/>
      <c r="AE227" s="115"/>
    </row>
    <row r="228" spans="9:31">
      <c r="I228" s="60"/>
      <c r="J228" s="122"/>
      <c r="K228" s="122"/>
      <c r="L228" s="107"/>
      <c r="M228" s="152"/>
      <c r="N228" s="152"/>
      <c r="O228" s="152"/>
      <c r="P228" s="152"/>
      <c r="Q228" s="152"/>
      <c r="R228" s="152"/>
      <c r="S228" s="152"/>
      <c r="T228" s="152"/>
      <c r="U228" s="152"/>
      <c r="V228" s="152"/>
      <c r="W228" s="152"/>
      <c r="X228" s="152"/>
      <c r="Y228" s="152"/>
      <c r="Z228" s="152"/>
      <c r="AA228" s="152"/>
      <c r="AB228" s="152"/>
      <c r="AC228" s="152"/>
      <c r="AD228" s="152"/>
      <c r="AE228" s="115"/>
    </row>
    <row r="229" spans="9:31">
      <c r="I229" s="60"/>
      <c r="J229" s="122"/>
      <c r="K229" s="122"/>
      <c r="L229" s="107"/>
      <c r="M229" s="152"/>
      <c r="N229" s="152"/>
      <c r="O229" s="152"/>
      <c r="P229" s="152"/>
      <c r="Q229" s="152"/>
      <c r="R229" s="152"/>
      <c r="S229" s="152"/>
      <c r="T229" s="152"/>
      <c r="U229" s="152"/>
      <c r="V229" s="152"/>
      <c r="W229" s="152"/>
      <c r="X229" s="152"/>
      <c r="Y229" s="152"/>
      <c r="Z229" s="152"/>
      <c r="AA229" s="152"/>
      <c r="AB229" s="152"/>
      <c r="AC229" s="152"/>
      <c r="AD229" s="152"/>
      <c r="AE229" s="115"/>
    </row>
    <row r="230" spans="9:31">
      <c r="I230" s="60"/>
      <c r="J230" s="134"/>
      <c r="K230" s="122"/>
      <c r="L230" s="107"/>
      <c r="M230" s="152"/>
      <c r="N230" s="152"/>
      <c r="O230" s="152"/>
      <c r="P230" s="152"/>
      <c r="Q230" s="152"/>
      <c r="R230" s="152"/>
      <c r="S230" s="152"/>
      <c r="T230" s="152"/>
      <c r="U230" s="152"/>
      <c r="V230" s="152"/>
      <c r="W230" s="152"/>
      <c r="X230" s="152"/>
      <c r="Y230" s="152"/>
      <c r="Z230" s="152"/>
      <c r="AA230" s="152"/>
      <c r="AB230" s="152"/>
      <c r="AC230" s="152"/>
      <c r="AD230" s="152"/>
      <c r="AE230" s="115"/>
    </row>
    <row r="231" spans="9:31">
      <c r="I231" s="60"/>
      <c r="J231" s="60"/>
      <c r="K231" s="122"/>
      <c r="L231" s="107"/>
      <c r="M231" s="152"/>
      <c r="N231" s="152"/>
      <c r="O231" s="152"/>
      <c r="P231" s="152"/>
      <c r="Q231" s="152"/>
      <c r="R231" s="152"/>
      <c r="S231" s="152"/>
      <c r="T231" s="152"/>
      <c r="U231" s="152"/>
      <c r="V231" s="152"/>
      <c r="W231" s="152"/>
      <c r="X231" s="152"/>
      <c r="Y231" s="152"/>
      <c r="Z231" s="152"/>
      <c r="AA231" s="152"/>
      <c r="AB231" s="152"/>
      <c r="AC231" s="152"/>
      <c r="AD231" s="152"/>
      <c r="AE231" s="115"/>
    </row>
    <row r="232" spans="9:31">
      <c r="I232" s="60"/>
      <c r="J232" s="60"/>
      <c r="K232" s="122"/>
      <c r="L232" s="107"/>
      <c r="M232" s="152"/>
      <c r="N232" s="152"/>
      <c r="O232" s="152"/>
      <c r="P232" s="152"/>
      <c r="Q232" s="152"/>
      <c r="R232" s="152"/>
      <c r="S232" s="152"/>
      <c r="T232" s="152"/>
      <c r="U232" s="152"/>
      <c r="V232" s="152"/>
      <c r="W232" s="152"/>
      <c r="X232" s="152"/>
      <c r="Y232" s="152"/>
      <c r="Z232" s="152"/>
      <c r="AA232" s="152"/>
      <c r="AB232" s="152"/>
      <c r="AC232" s="152"/>
      <c r="AD232" s="152"/>
      <c r="AE232" s="115"/>
    </row>
    <row r="233" spans="9:31">
      <c r="I233" s="60"/>
      <c r="J233" s="60"/>
      <c r="K233" s="122"/>
      <c r="L233" s="107"/>
      <c r="M233" s="152"/>
      <c r="N233" s="152"/>
      <c r="O233" s="152"/>
      <c r="P233" s="152"/>
      <c r="Q233" s="152"/>
      <c r="R233" s="152"/>
      <c r="S233" s="152"/>
      <c r="T233" s="152"/>
      <c r="U233" s="152"/>
      <c r="V233" s="152"/>
      <c r="W233" s="152"/>
      <c r="X233" s="152"/>
      <c r="Y233" s="152"/>
      <c r="Z233" s="152"/>
      <c r="AA233" s="152"/>
      <c r="AB233" s="152"/>
      <c r="AC233" s="152"/>
      <c r="AD233" s="152"/>
      <c r="AE233" s="115"/>
    </row>
    <row r="234" spans="9:31">
      <c r="I234" s="60"/>
      <c r="J234" s="60"/>
      <c r="K234" s="122"/>
      <c r="L234" s="107"/>
      <c r="M234" s="152"/>
      <c r="N234" s="152"/>
      <c r="O234" s="152"/>
      <c r="P234" s="152"/>
      <c r="Q234" s="152"/>
      <c r="R234" s="152"/>
      <c r="S234" s="152"/>
      <c r="T234" s="152"/>
      <c r="U234" s="152"/>
      <c r="V234" s="152"/>
      <c r="W234" s="152"/>
      <c r="X234" s="152"/>
      <c r="Y234" s="152"/>
      <c r="Z234" s="152"/>
      <c r="AA234" s="152"/>
      <c r="AB234" s="152"/>
      <c r="AC234" s="152"/>
      <c r="AD234" s="152"/>
      <c r="AE234" s="115"/>
    </row>
    <row r="235" spans="9:31">
      <c r="I235" s="60"/>
      <c r="J235" s="60"/>
      <c r="K235" s="122"/>
      <c r="L235" s="107"/>
      <c r="M235" s="152"/>
      <c r="N235" s="152"/>
      <c r="O235" s="152"/>
      <c r="P235" s="152"/>
      <c r="Q235" s="152"/>
      <c r="R235" s="152"/>
      <c r="S235" s="152"/>
      <c r="T235" s="152"/>
      <c r="U235" s="152"/>
      <c r="V235" s="152"/>
      <c r="W235" s="152"/>
      <c r="X235" s="152"/>
      <c r="Y235" s="152"/>
      <c r="Z235" s="152"/>
      <c r="AA235" s="152"/>
      <c r="AB235" s="152"/>
      <c r="AC235" s="152"/>
      <c r="AD235" s="152"/>
      <c r="AE235" s="115"/>
    </row>
    <row r="236" spans="9:31">
      <c r="I236" s="60"/>
      <c r="J236" s="60"/>
      <c r="K236" s="122"/>
      <c r="L236" s="107"/>
      <c r="M236" s="152"/>
      <c r="N236" s="152"/>
      <c r="O236" s="152"/>
      <c r="P236" s="152"/>
      <c r="Q236" s="152"/>
      <c r="R236" s="152"/>
      <c r="S236" s="152"/>
      <c r="T236" s="152"/>
      <c r="U236" s="152"/>
      <c r="V236" s="152"/>
      <c r="W236" s="152"/>
      <c r="X236" s="152"/>
      <c r="Y236" s="152"/>
      <c r="Z236" s="152"/>
      <c r="AA236" s="152"/>
      <c r="AB236" s="152"/>
      <c r="AC236" s="152"/>
      <c r="AD236" s="152"/>
      <c r="AE236" s="115"/>
    </row>
    <row r="237" spans="9:31">
      <c r="I237" s="60"/>
      <c r="J237" s="60"/>
      <c r="K237" s="122"/>
      <c r="L237" s="107"/>
      <c r="M237" s="152"/>
      <c r="N237" s="152"/>
      <c r="O237" s="152"/>
      <c r="P237" s="152"/>
      <c r="Q237" s="152"/>
      <c r="R237" s="152"/>
      <c r="S237" s="152"/>
      <c r="T237" s="152"/>
      <c r="U237" s="152"/>
      <c r="V237" s="152"/>
      <c r="W237" s="152"/>
      <c r="X237" s="152"/>
      <c r="Y237" s="152"/>
      <c r="Z237" s="152"/>
      <c r="AA237" s="152"/>
      <c r="AB237" s="152"/>
      <c r="AC237" s="152"/>
      <c r="AD237" s="152"/>
      <c r="AE237" s="115"/>
    </row>
    <row r="238" spans="9:31">
      <c r="I238" s="60"/>
      <c r="J238" s="60"/>
      <c r="K238" s="122"/>
      <c r="L238" s="107"/>
      <c r="M238" s="152"/>
      <c r="N238" s="152"/>
      <c r="O238" s="152"/>
      <c r="P238" s="152"/>
      <c r="Q238" s="152"/>
      <c r="R238" s="152"/>
      <c r="S238" s="152"/>
      <c r="T238" s="152"/>
      <c r="U238" s="152"/>
      <c r="V238" s="152"/>
      <c r="W238" s="152"/>
      <c r="X238" s="152"/>
      <c r="Y238" s="152"/>
      <c r="Z238" s="152"/>
      <c r="AA238" s="152"/>
      <c r="AB238" s="152"/>
      <c r="AC238" s="152"/>
      <c r="AD238" s="152"/>
      <c r="AE238" s="115"/>
    </row>
    <row r="239" spans="9:31">
      <c r="I239" s="60"/>
      <c r="J239" s="60"/>
      <c r="K239" s="122"/>
      <c r="L239" s="107"/>
      <c r="M239" s="152"/>
      <c r="N239" s="152"/>
      <c r="O239" s="152"/>
      <c r="P239" s="152"/>
      <c r="Q239" s="152"/>
      <c r="R239" s="152"/>
      <c r="S239" s="152"/>
      <c r="T239" s="152"/>
      <c r="U239" s="152"/>
      <c r="V239" s="152"/>
      <c r="W239" s="152"/>
      <c r="X239" s="152"/>
      <c r="Y239" s="152"/>
      <c r="Z239" s="152"/>
      <c r="AA239" s="152"/>
      <c r="AB239" s="152"/>
      <c r="AC239" s="152"/>
      <c r="AD239" s="152"/>
      <c r="AE239" s="115"/>
    </row>
    <row r="240" spans="9:31">
      <c r="I240" s="60"/>
      <c r="J240" s="60"/>
      <c r="K240" s="122"/>
      <c r="L240" s="107"/>
      <c r="M240" s="152"/>
      <c r="N240" s="152"/>
      <c r="O240" s="152"/>
      <c r="P240" s="152"/>
      <c r="Q240" s="152"/>
      <c r="R240" s="152"/>
      <c r="S240" s="152"/>
      <c r="T240" s="152"/>
      <c r="U240" s="152"/>
      <c r="V240" s="152"/>
      <c r="W240" s="152"/>
      <c r="X240" s="152"/>
      <c r="Y240" s="152"/>
      <c r="Z240" s="152"/>
      <c r="AA240" s="152"/>
      <c r="AB240" s="152"/>
      <c r="AC240" s="152"/>
      <c r="AD240" s="152"/>
      <c r="AE240" s="115"/>
    </row>
    <row r="241" spans="9:31">
      <c r="I241" s="60"/>
      <c r="J241" s="60"/>
      <c r="K241" s="122"/>
      <c r="L241" s="107"/>
      <c r="M241" s="152"/>
      <c r="N241" s="152"/>
      <c r="O241" s="152"/>
      <c r="P241" s="152"/>
      <c r="Q241" s="152"/>
      <c r="R241" s="152"/>
      <c r="S241" s="152"/>
      <c r="T241" s="152"/>
      <c r="U241" s="152"/>
      <c r="V241" s="152"/>
      <c r="W241" s="152"/>
      <c r="X241" s="152"/>
      <c r="Y241" s="152"/>
      <c r="Z241" s="152"/>
      <c r="AA241" s="152"/>
      <c r="AB241" s="152"/>
      <c r="AC241" s="152"/>
      <c r="AD241" s="152"/>
      <c r="AE241" s="115"/>
    </row>
    <row r="242" spans="9:31">
      <c r="I242" s="60"/>
      <c r="J242" s="60"/>
      <c r="K242" s="122"/>
      <c r="L242" s="107"/>
      <c r="M242" s="152"/>
      <c r="N242" s="152"/>
      <c r="O242" s="152"/>
      <c r="P242" s="152"/>
      <c r="Q242" s="152"/>
      <c r="R242" s="152"/>
      <c r="S242" s="152"/>
      <c r="T242" s="152"/>
      <c r="U242" s="152"/>
      <c r="V242" s="152"/>
      <c r="W242" s="152"/>
      <c r="X242" s="152"/>
      <c r="Y242" s="152"/>
      <c r="Z242" s="152"/>
      <c r="AA242" s="152"/>
      <c r="AB242" s="152"/>
      <c r="AC242" s="152"/>
      <c r="AD242" s="152"/>
      <c r="AE242" s="115"/>
    </row>
    <row r="243" spans="9:31">
      <c r="I243" s="60"/>
      <c r="J243" s="60"/>
      <c r="K243" s="122"/>
      <c r="L243" s="107"/>
      <c r="M243" s="152"/>
      <c r="N243" s="152"/>
      <c r="O243" s="152"/>
      <c r="P243" s="152"/>
      <c r="Q243" s="152"/>
      <c r="R243" s="152"/>
      <c r="S243" s="152"/>
      <c r="T243" s="152"/>
      <c r="U243" s="152"/>
      <c r="V243" s="152"/>
      <c r="W243" s="152"/>
      <c r="X243" s="152"/>
      <c r="Y243" s="152"/>
      <c r="Z243" s="152"/>
      <c r="AA243" s="152"/>
      <c r="AB243" s="152"/>
      <c r="AC243" s="152"/>
      <c r="AD243" s="152"/>
      <c r="AE243" s="115"/>
    </row>
    <row r="244" spans="9:31">
      <c r="I244" s="60"/>
      <c r="J244" s="60"/>
      <c r="K244" s="122"/>
      <c r="L244" s="107"/>
      <c r="M244" s="152"/>
      <c r="N244" s="152"/>
      <c r="O244" s="152"/>
      <c r="P244" s="152"/>
      <c r="Q244" s="152"/>
      <c r="R244" s="152"/>
      <c r="S244" s="152"/>
      <c r="T244" s="152"/>
      <c r="U244" s="152"/>
      <c r="V244" s="152"/>
      <c r="W244" s="152"/>
      <c r="X244" s="152"/>
      <c r="Y244" s="152"/>
      <c r="Z244" s="152"/>
      <c r="AA244" s="152"/>
      <c r="AB244" s="152"/>
      <c r="AC244" s="152"/>
      <c r="AD244" s="152"/>
      <c r="AE244" s="115"/>
    </row>
    <row r="245" spans="9:31">
      <c r="I245" s="60"/>
      <c r="J245" s="60"/>
      <c r="K245" s="122"/>
      <c r="L245" s="107"/>
      <c r="M245" s="152"/>
      <c r="N245" s="152"/>
      <c r="O245" s="152"/>
      <c r="P245" s="152"/>
      <c r="Q245" s="152"/>
      <c r="R245" s="152"/>
      <c r="S245" s="152"/>
      <c r="T245" s="152"/>
      <c r="U245" s="152"/>
      <c r="V245" s="152"/>
      <c r="W245" s="152"/>
      <c r="X245" s="152"/>
      <c r="Y245" s="152"/>
      <c r="Z245" s="152"/>
      <c r="AA245" s="152"/>
      <c r="AB245" s="152"/>
      <c r="AC245" s="152"/>
      <c r="AD245" s="152"/>
      <c r="AE245" s="115"/>
    </row>
    <row r="246" spans="9:31">
      <c r="I246" s="60"/>
      <c r="J246" s="60"/>
      <c r="K246" s="122"/>
      <c r="L246" s="107"/>
      <c r="M246" s="152"/>
      <c r="N246" s="152"/>
      <c r="O246" s="152"/>
      <c r="P246" s="152"/>
      <c r="Q246" s="152"/>
      <c r="R246" s="152"/>
      <c r="S246" s="152"/>
      <c r="T246" s="152"/>
      <c r="U246" s="152"/>
      <c r="V246" s="152"/>
      <c r="W246" s="152"/>
      <c r="X246" s="152"/>
      <c r="Y246" s="152"/>
      <c r="Z246" s="152"/>
      <c r="AA246" s="152"/>
      <c r="AB246" s="152"/>
      <c r="AC246" s="152"/>
      <c r="AD246" s="152"/>
      <c r="AE246" s="115"/>
    </row>
    <row r="247" spans="9:31">
      <c r="I247" s="60"/>
      <c r="J247" s="60"/>
      <c r="K247" s="122"/>
      <c r="L247" s="107"/>
      <c r="M247" s="152"/>
      <c r="N247" s="152"/>
      <c r="O247" s="152"/>
      <c r="P247" s="152"/>
      <c r="Q247" s="152"/>
      <c r="R247" s="152"/>
      <c r="S247" s="152"/>
      <c r="T247" s="152"/>
      <c r="U247" s="152"/>
      <c r="V247" s="152"/>
      <c r="W247" s="152"/>
      <c r="X247" s="152"/>
      <c r="Y247" s="152"/>
      <c r="Z247" s="152"/>
      <c r="AA247" s="152"/>
      <c r="AB247" s="152"/>
      <c r="AC247" s="152"/>
      <c r="AD247" s="152"/>
      <c r="AE247" s="115"/>
    </row>
    <row r="248" spans="9:31">
      <c r="I248" s="60"/>
      <c r="J248" s="60"/>
      <c r="K248" s="122"/>
      <c r="L248" s="107"/>
      <c r="M248" s="152"/>
      <c r="N248" s="152"/>
      <c r="O248" s="152"/>
      <c r="P248" s="152"/>
      <c r="Q248" s="152"/>
      <c r="R248" s="152"/>
      <c r="S248" s="152"/>
      <c r="T248" s="152"/>
      <c r="U248" s="152"/>
      <c r="V248" s="152"/>
      <c r="W248" s="152"/>
      <c r="X248" s="152"/>
      <c r="Y248" s="152"/>
      <c r="Z248" s="152"/>
      <c r="AA248" s="152"/>
      <c r="AB248" s="152"/>
      <c r="AC248" s="152"/>
      <c r="AD248" s="152"/>
      <c r="AE248" s="115"/>
    </row>
    <row r="249" spans="9:31">
      <c r="I249" s="60"/>
      <c r="J249" s="60"/>
      <c r="K249" s="122"/>
      <c r="L249" s="107"/>
      <c r="M249" s="152"/>
      <c r="N249" s="152"/>
      <c r="O249" s="152"/>
      <c r="P249" s="152"/>
      <c r="Q249" s="152"/>
      <c r="R249" s="152"/>
      <c r="S249" s="152"/>
      <c r="T249" s="152"/>
      <c r="U249" s="152"/>
      <c r="V249" s="152"/>
      <c r="W249" s="152"/>
      <c r="X249" s="152"/>
      <c r="Y249" s="152"/>
      <c r="Z249" s="152"/>
      <c r="AA249" s="152"/>
      <c r="AB249" s="152"/>
      <c r="AC249" s="152"/>
      <c r="AD249" s="152"/>
      <c r="AE249" s="115"/>
    </row>
    <row r="250" spans="9:31">
      <c r="I250" s="60"/>
      <c r="J250" s="60"/>
      <c r="K250" s="122"/>
      <c r="L250" s="107"/>
      <c r="M250" s="152"/>
      <c r="N250" s="152"/>
      <c r="O250" s="152"/>
      <c r="P250" s="152"/>
      <c r="Q250" s="152"/>
      <c r="R250" s="152"/>
      <c r="S250" s="152"/>
      <c r="T250" s="152"/>
      <c r="U250" s="152"/>
      <c r="V250" s="152"/>
      <c r="W250" s="152"/>
      <c r="X250" s="152"/>
      <c r="Y250" s="152"/>
      <c r="Z250" s="152"/>
      <c r="AA250" s="152"/>
      <c r="AB250" s="152"/>
      <c r="AC250" s="152"/>
      <c r="AD250" s="152"/>
      <c r="AE250" s="115"/>
    </row>
    <row r="251" spans="9:31">
      <c r="I251" s="60"/>
      <c r="J251" s="60"/>
      <c r="K251" s="122"/>
      <c r="L251" s="107"/>
      <c r="M251" s="152"/>
      <c r="N251" s="152"/>
      <c r="O251" s="152"/>
      <c r="P251" s="152"/>
      <c r="Q251" s="152"/>
      <c r="R251" s="152"/>
      <c r="S251" s="152"/>
      <c r="T251" s="152"/>
      <c r="U251" s="152"/>
      <c r="V251" s="152"/>
      <c r="W251" s="152"/>
      <c r="X251" s="152"/>
      <c r="Y251" s="152"/>
      <c r="Z251" s="152"/>
      <c r="AA251" s="152"/>
      <c r="AB251" s="152"/>
      <c r="AC251" s="152"/>
      <c r="AD251" s="152"/>
      <c r="AE251" s="115"/>
    </row>
    <row r="252" spans="9:31">
      <c r="I252" s="60"/>
      <c r="J252" s="60"/>
      <c r="K252" s="122"/>
      <c r="L252" s="107"/>
      <c r="M252" s="152"/>
      <c r="N252" s="152"/>
      <c r="O252" s="152"/>
      <c r="P252" s="152"/>
      <c r="Q252" s="152"/>
      <c r="R252" s="152"/>
      <c r="S252" s="152"/>
      <c r="T252" s="152"/>
      <c r="U252" s="152"/>
      <c r="V252" s="152"/>
      <c r="W252" s="152"/>
      <c r="X252" s="152"/>
      <c r="Y252" s="152"/>
      <c r="Z252" s="152"/>
      <c r="AA252" s="152"/>
      <c r="AB252" s="152"/>
      <c r="AC252" s="152"/>
      <c r="AD252" s="152"/>
      <c r="AE252" s="115"/>
    </row>
    <row r="253" spans="9:31">
      <c r="I253" s="60"/>
      <c r="J253" s="60"/>
      <c r="K253" s="122"/>
      <c r="L253" s="107"/>
      <c r="M253" s="152"/>
      <c r="N253" s="152"/>
      <c r="O253" s="152"/>
      <c r="P253" s="152"/>
      <c r="Q253" s="152"/>
      <c r="R253" s="152"/>
      <c r="S253" s="152"/>
      <c r="T253" s="152"/>
      <c r="U253" s="152"/>
      <c r="V253" s="152"/>
      <c r="W253" s="152"/>
      <c r="X253" s="152"/>
      <c r="Y253" s="152"/>
      <c r="Z253" s="152"/>
      <c r="AA253" s="152"/>
      <c r="AB253" s="152"/>
      <c r="AC253" s="152"/>
      <c r="AD253" s="152"/>
      <c r="AE253" s="115"/>
    </row>
    <row r="254" spans="9:31">
      <c r="I254" s="60"/>
      <c r="J254" s="60"/>
      <c r="K254" s="122"/>
      <c r="L254" s="107"/>
      <c r="M254" s="152"/>
      <c r="N254" s="152"/>
      <c r="O254" s="152"/>
      <c r="P254" s="152"/>
      <c r="Q254" s="152"/>
      <c r="R254" s="152"/>
      <c r="S254" s="152"/>
      <c r="T254" s="152"/>
      <c r="U254" s="152"/>
      <c r="V254" s="152"/>
      <c r="W254" s="152"/>
      <c r="X254" s="152"/>
      <c r="Y254" s="152"/>
      <c r="Z254" s="152"/>
      <c r="AA254" s="152"/>
      <c r="AB254" s="152"/>
      <c r="AC254" s="152"/>
      <c r="AD254" s="152"/>
      <c r="AE254" s="115"/>
    </row>
    <row r="255" spans="9:31">
      <c r="I255" s="60"/>
      <c r="J255" s="60"/>
      <c r="K255" s="122"/>
      <c r="L255" s="107"/>
      <c r="M255" s="152"/>
      <c r="N255" s="152"/>
      <c r="O255" s="152"/>
      <c r="P255" s="152"/>
      <c r="Q255" s="152"/>
      <c r="R255" s="152"/>
      <c r="S255" s="152"/>
      <c r="T255" s="152"/>
      <c r="U255" s="152"/>
      <c r="V255" s="152"/>
      <c r="W255" s="152"/>
      <c r="X255" s="152"/>
      <c r="Y255" s="152"/>
      <c r="Z255" s="152"/>
      <c r="AA255" s="152"/>
      <c r="AB255" s="152"/>
      <c r="AC255" s="152"/>
      <c r="AD255" s="152"/>
      <c r="AE255" s="115"/>
    </row>
    <row r="256" spans="9:31">
      <c r="I256" s="60"/>
      <c r="J256" s="60"/>
      <c r="K256" s="122"/>
      <c r="L256" s="107"/>
      <c r="M256" s="152"/>
      <c r="N256" s="152"/>
      <c r="O256" s="152"/>
      <c r="P256" s="152"/>
      <c r="Q256" s="152"/>
      <c r="R256" s="152"/>
      <c r="S256" s="152"/>
      <c r="T256" s="152"/>
      <c r="U256" s="152"/>
      <c r="V256" s="152"/>
      <c r="W256" s="152"/>
      <c r="X256" s="152"/>
      <c r="Y256" s="152"/>
      <c r="Z256" s="152"/>
      <c r="AA256" s="152"/>
      <c r="AB256" s="152"/>
      <c r="AC256" s="152"/>
      <c r="AD256" s="152"/>
      <c r="AE256" s="115"/>
    </row>
    <row r="257" spans="9:31">
      <c r="I257" s="60"/>
      <c r="J257" s="60"/>
      <c r="K257" s="122"/>
      <c r="L257" s="107"/>
      <c r="M257" s="152"/>
      <c r="N257" s="152"/>
      <c r="O257" s="152"/>
      <c r="P257" s="152"/>
      <c r="Q257" s="152"/>
      <c r="R257" s="152"/>
      <c r="S257" s="152"/>
      <c r="T257" s="152"/>
      <c r="U257" s="152"/>
      <c r="V257" s="152"/>
      <c r="W257" s="152"/>
      <c r="X257" s="152"/>
      <c r="Y257" s="152"/>
      <c r="Z257" s="152"/>
      <c r="AA257" s="152"/>
      <c r="AB257" s="152"/>
      <c r="AC257" s="152"/>
      <c r="AD257" s="152"/>
      <c r="AE257" s="115"/>
    </row>
    <row r="258" spans="9:31">
      <c r="I258" s="60"/>
      <c r="J258" s="60"/>
      <c r="K258" s="122"/>
      <c r="L258" s="107"/>
      <c r="M258" s="152"/>
      <c r="N258" s="152"/>
      <c r="O258" s="152"/>
      <c r="P258" s="152"/>
      <c r="Q258" s="152"/>
      <c r="R258" s="152"/>
      <c r="S258" s="152"/>
      <c r="T258" s="152"/>
      <c r="U258" s="152"/>
      <c r="V258" s="152"/>
      <c r="W258" s="152"/>
      <c r="X258" s="152"/>
      <c r="Y258" s="152"/>
      <c r="Z258" s="152"/>
      <c r="AA258" s="152"/>
      <c r="AB258" s="152"/>
      <c r="AC258" s="152"/>
      <c r="AD258" s="152"/>
      <c r="AE258" s="115"/>
    </row>
    <row r="259" spans="9:31">
      <c r="I259" s="60"/>
      <c r="J259" s="60"/>
      <c r="K259" s="122"/>
      <c r="L259" s="107"/>
      <c r="M259" s="152"/>
      <c r="N259" s="152"/>
      <c r="O259" s="152"/>
      <c r="P259" s="152"/>
      <c r="Q259" s="152"/>
      <c r="R259" s="152"/>
      <c r="S259" s="152"/>
      <c r="T259" s="152"/>
      <c r="U259" s="152"/>
      <c r="V259" s="152"/>
      <c r="W259" s="152"/>
      <c r="X259" s="152"/>
      <c r="Y259" s="152"/>
      <c r="Z259" s="152"/>
      <c r="AA259" s="152"/>
      <c r="AB259" s="152"/>
      <c r="AC259" s="152"/>
      <c r="AD259" s="152"/>
      <c r="AE259" s="115"/>
    </row>
    <row r="260" ht="14.75" spans="9:31">
      <c r="I260" s="60"/>
      <c r="J260" s="60"/>
      <c r="K260" s="122"/>
      <c r="L260" s="107"/>
      <c r="M260" s="107"/>
      <c r="N260" s="107"/>
      <c r="O260" s="107"/>
      <c r="P260" s="107"/>
      <c r="Q260" s="107"/>
      <c r="R260" s="107"/>
      <c r="S260" s="107"/>
      <c r="T260" s="107"/>
      <c r="U260" s="107"/>
      <c r="V260" s="107"/>
      <c r="W260" s="107"/>
      <c r="X260" s="107"/>
      <c r="Y260" s="107"/>
      <c r="Z260" s="107"/>
      <c r="AA260" s="107"/>
      <c r="AB260" s="107"/>
      <c r="AC260" s="107"/>
      <c r="AD260" s="107"/>
      <c r="AE260" s="115"/>
    </row>
    <row r="261" spans="9:31">
      <c r="I261" s="60"/>
      <c r="J261" s="60"/>
      <c r="K261" s="136"/>
      <c r="L261" s="107"/>
      <c r="M261" s="107"/>
      <c r="N261" s="107"/>
      <c r="O261" s="107"/>
      <c r="P261" s="107"/>
      <c r="Q261" s="107"/>
      <c r="R261" s="107"/>
      <c r="S261" s="107"/>
      <c r="T261" s="107"/>
      <c r="U261" s="107"/>
      <c r="V261" s="107"/>
      <c r="W261" s="107"/>
      <c r="X261" s="107"/>
      <c r="Y261" s="107"/>
      <c r="Z261" s="107"/>
      <c r="AA261" s="107"/>
      <c r="AB261" s="107"/>
      <c r="AC261" s="107"/>
      <c r="AD261" s="121"/>
      <c r="AE261" s="106"/>
    </row>
    <row r="262" ht="14.75" spans="9:31">
      <c r="I262" s="60"/>
      <c r="J262" s="60"/>
      <c r="K262" s="136"/>
      <c r="L262" s="137"/>
      <c r="M262" s="137"/>
      <c r="N262" s="137"/>
      <c r="O262" s="137"/>
      <c r="P262" s="137"/>
      <c r="Q262" s="137"/>
      <c r="R262" s="137"/>
      <c r="S262" s="137"/>
      <c r="T262" s="137"/>
      <c r="U262" s="137"/>
      <c r="V262" s="137"/>
      <c r="W262" s="137"/>
      <c r="X262" s="137"/>
      <c r="Y262" s="137"/>
      <c r="Z262" s="137"/>
      <c r="AA262" s="137"/>
      <c r="AB262" s="137"/>
      <c r="AC262" s="137"/>
      <c r="AD262" s="138"/>
      <c r="AE262" s="107"/>
    </row>
    <row r="315" hidden="1"/>
    <row r="316" hidden="1" spans="4:4">
      <c r="D316" s="153"/>
    </row>
    <row r="317" hidden="1" spans="4:4">
      <c r="D317" s="153" t="s">
        <v>1264</v>
      </c>
    </row>
    <row r="318" hidden="1" spans="4:4">
      <c r="D318" s="153" t="s">
        <v>1265</v>
      </c>
    </row>
    <row r="319" hidden="1" spans="4:4">
      <c r="D319" s="153" t="s">
        <v>1266</v>
      </c>
    </row>
    <row r="320" hidden="1" spans="4:4">
      <c r="D320" s="153" t="s">
        <v>1267</v>
      </c>
    </row>
    <row r="321" hidden="1" spans="4:4">
      <c r="D321" s="153" t="s">
        <v>1268</v>
      </c>
    </row>
    <row r="322" hidden="1" spans="4:4">
      <c r="D322" s="153" t="s">
        <v>1269</v>
      </c>
    </row>
    <row r="323" hidden="1" spans="4:4">
      <c r="D323" s="153" t="s">
        <v>1270</v>
      </c>
    </row>
    <row r="324" hidden="1" spans="4:4">
      <c r="D324" s="153" t="s">
        <v>1271</v>
      </c>
    </row>
    <row r="325" hidden="1" spans="4:4">
      <c r="D325" s="153" t="s">
        <v>1272</v>
      </c>
    </row>
    <row r="326" hidden="1" spans="4:4">
      <c r="D326" s="153" t="s">
        <v>1273</v>
      </c>
    </row>
    <row r="327" hidden="1" spans="4:4">
      <c r="D327" s="153" t="s">
        <v>1274</v>
      </c>
    </row>
    <row r="328" hidden="1" spans="4:4">
      <c r="D328" s="153" t="s">
        <v>1275</v>
      </c>
    </row>
    <row r="329" hidden="1" spans="4:4">
      <c r="D329" s="153" t="s">
        <v>1276</v>
      </c>
    </row>
    <row r="330" hidden="1" spans="4:4">
      <c r="D330" s="153" t="s">
        <v>1277</v>
      </c>
    </row>
    <row r="331" hidden="1" spans="4:4">
      <c r="D331" s="153" t="s">
        <v>1278</v>
      </c>
    </row>
    <row r="332" hidden="1" spans="4:4">
      <c r="D332" s="153" t="s">
        <v>1279</v>
      </c>
    </row>
    <row r="333" hidden="1" spans="4:4">
      <c r="D333" s="153" t="s">
        <v>1280</v>
      </c>
    </row>
    <row r="334" hidden="1" spans="4:4">
      <c r="D334" s="153" t="s">
        <v>1281</v>
      </c>
    </row>
    <row r="335" hidden="1" spans="4:4">
      <c r="D335" s="153" t="s">
        <v>1282</v>
      </c>
    </row>
    <row r="336" hidden="1" spans="4:4">
      <c r="D336" s="153" t="s">
        <v>1283</v>
      </c>
    </row>
    <row r="337" hidden="1" spans="4:4">
      <c r="D337" s="153" t="s">
        <v>1284</v>
      </c>
    </row>
    <row r="338" hidden="1" spans="4:4">
      <c r="D338" s="153" t="s">
        <v>1285</v>
      </c>
    </row>
    <row r="339" hidden="1" spans="4:4">
      <c r="D339" s="153" t="s">
        <v>1286</v>
      </c>
    </row>
    <row r="340" hidden="1" spans="4:4">
      <c r="D340" s="153" t="s">
        <v>1287</v>
      </c>
    </row>
    <row r="341" hidden="1" spans="4:4">
      <c r="D341" s="153" t="s">
        <v>1288</v>
      </c>
    </row>
    <row r="342" hidden="1" spans="4:4">
      <c r="D342" s="153" t="s">
        <v>1289</v>
      </c>
    </row>
    <row r="343" hidden="1" spans="4:4">
      <c r="D343" s="153" t="s">
        <v>1290</v>
      </c>
    </row>
    <row r="344" hidden="1" spans="4:4">
      <c r="D344" s="153" t="s">
        <v>1291</v>
      </c>
    </row>
    <row r="345" hidden="1" spans="4:4">
      <c r="D345" s="153" t="s">
        <v>1292</v>
      </c>
    </row>
    <row r="346" hidden="1" spans="4:4">
      <c r="D346" s="153" t="s">
        <v>1293</v>
      </c>
    </row>
    <row r="347" hidden="1" spans="4:4">
      <c r="D347" s="153" t="s">
        <v>1294</v>
      </c>
    </row>
    <row r="348" hidden="1" spans="4:4">
      <c r="D348" s="153" t="s">
        <v>1295</v>
      </c>
    </row>
    <row r="349" hidden="1" spans="4:4">
      <c r="D349" s="153" t="s">
        <v>1296</v>
      </c>
    </row>
    <row r="350" hidden="1" spans="4:4">
      <c r="D350" s="153" t="s">
        <v>1297</v>
      </c>
    </row>
    <row r="351" hidden="1" spans="4:4">
      <c r="D351" s="153" t="s">
        <v>1298</v>
      </c>
    </row>
    <row r="352" hidden="1" spans="4:4">
      <c r="D352" s="153" t="s">
        <v>1299</v>
      </c>
    </row>
    <row r="353" hidden="1" spans="4:4">
      <c r="D353" s="153" t="s">
        <v>1300</v>
      </c>
    </row>
    <row r="354" hidden="1" spans="4:4">
      <c r="D354" s="153" t="s">
        <v>1301</v>
      </c>
    </row>
    <row r="355" hidden="1" spans="4:4">
      <c r="D355" s="153" t="s">
        <v>1302</v>
      </c>
    </row>
    <row r="356" hidden="1" spans="4:4">
      <c r="D356" s="153" t="s">
        <v>1303</v>
      </c>
    </row>
    <row r="357" hidden="1" spans="4:4">
      <c r="D357" s="153" t="s">
        <v>1304</v>
      </c>
    </row>
    <row r="358" hidden="1" spans="4:4">
      <c r="D358" s="153" t="s">
        <v>1305</v>
      </c>
    </row>
    <row r="359" hidden="1" spans="4:4">
      <c r="D359" s="153" t="s">
        <v>1306</v>
      </c>
    </row>
    <row r="360" hidden="1" spans="4:4">
      <c r="D360" s="153" t="s">
        <v>1307</v>
      </c>
    </row>
    <row r="361" hidden="1" spans="4:4">
      <c r="D361" s="153" t="s">
        <v>1308</v>
      </c>
    </row>
    <row r="362" hidden="1" spans="4:4">
      <c r="D362" s="153" t="s">
        <v>1309</v>
      </c>
    </row>
    <row r="363" hidden="1" spans="4:4">
      <c r="D363" s="153" t="s">
        <v>1310</v>
      </c>
    </row>
    <row r="364" hidden="1" spans="4:4">
      <c r="D364" s="153" t="s">
        <v>1311</v>
      </c>
    </row>
    <row r="365" hidden="1" spans="4:4">
      <c r="D365" s="153" t="s">
        <v>1312</v>
      </c>
    </row>
    <row r="366" hidden="1" spans="4:4">
      <c r="D366" s="153" t="s">
        <v>1313</v>
      </c>
    </row>
    <row r="367" hidden="1" spans="4:4">
      <c r="D367" s="153" t="s">
        <v>1314</v>
      </c>
    </row>
    <row r="368" hidden="1" spans="4:4">
      <c r="D368" s="153" t="s">
        <v>1315</v>
      </c>
    </row>
    <row r="369" hidden="1" spans="4:4">
      <c r="D369" s="153" t="s">
        <v>1316</v>
      </c>
    </row>
    <row r="370" hidden="1" spans="4:4">
      <c r="D370" s="153" t="s">
        <v>1317</v>
      </c>
    </row>
    <row r="371" hidden="1" spans="4:4">
      <c r="D371" s="153" t="s">
        <v>1318</v>
      </c>
    </row>
    <row r="372" hidden="1" spans="4:4">
      <c r="D372" s="153" t="s">
        <v>1319</v>
      </c>
    </row>
    <row r="373" hidden="1" spans="4:4">
      <c r="D373" s="153" t="s">
        <v>1320</v>
      </c>
    </row>
    <row r="374" hidden="1" spans="4:4">
      <c r="D374" s="153" t="s">
        <v>1321</v>
      </c>
    </row>
    <row r="375" hidden="1" spans="4:4">
      <c r="D375" s="153" t="s">
        <v>1322</v>
      </c>
    </row>
    <row r="376" hidden="1" spans="4:4">
      <c r="D376" s="153" t="s">
        <v>1323</v>
      </c>
    </row>
    <row r="377" hidden="1" spans="4:4">
      <c r="D377" s="153" t="s">
        <v>1324</v>
      </c>
    </row>
    <row r="378" hidden="1" spans="4:4">
      <c r="D378" s="153" t="s">
        <v>1325</v>
      </c>
    </row>
    <row r="379" hidden="1" spans="4:4">
      <c r="D379" s="153" t="s">
        <v>1326</v>
      </c>
    </row>
    <row r="380" hidden="1" spans="4:4">
      <c r="D380" s="153" t="s">
        <v>1327</v>
      </c>
    </row>
    <row r="381" hidden="1" spans="4:4">
      <c r="D381" s="153" t="s">
        <v>1328</v>
      </c>
    </row>
    <row r="382" hidden="1" spans="4:4">
      <c r="D382" s="153" t="s">
        <v>1329</v>
      </c>
    </row>
    <row r="383" hidden="1" spans="4:4">
      <c r="D383" s="153" t="s">
        <v>1330</v>
      </c>
    </row>
    <row r="384" hidden="1" spans="4:4">
      <c r="D384" s="153" t="s">
        <v>1331</v>
      </c>
    </row>
    <row r="385" hidden="1" spans="4:4">
      <c r="D385" s="153" t="s">
        <v>1332</v>
      </c>
    </row>
    <row r="386" hidden="1" spans="4:4">
      <c r="D386" s="153" t="s">
        <v>1333</v>
      </c>
    </row>
    <row r="387" hidden="1" spans="4:4">
      <c r="D387" s="153" t="s">
        <v>1334</v>
      </c>
    </row>
    <row r="388" hidden="1" spans="4:4">
      <c r="D388" s="153" t="s">
        <v>1335</v>
      </c>
    </row>
    <row r="389" hidden="1" spans="4:4">
      <c r="D389" s="153" t="s">
        <v>1336</v>
      </c>
    </row>
    <row r="390" hidden="1" spans="4:4">
      <c r="D390" s="153" t="s">
        <v>1337</v>
      </c>
    </row>
    <row r="391" hidden="1" spans="4:4">
      <c r="D391" s="153" t="s">
        <v>1338</v>
      </c>
    </row>
    <row r="392" hidden="1" spans="4:4">
      <c r="D392" s="153" t="s">
        <v>1339</v>
      </c>
    </row>
    <row r="393" hidden="1" spans="4:4">
      <c r="D393" s="153" t="s">
        <v>1340</v>
      </c>
    </row>
    <row r="394" hidden="1" spans="4:4">
      <c r="D394" s="153" t="s">
        <v>1341</v>
      </c>
    </row>
    <row r="395" hidden="1" spans="4:4">
      <c r="D395" s="153" t="s">
        <v>1342</v>
      </c>
    </row>
    <row r="396" hidden="1" spans="4:4">
      <c r="D396" s="153" t="s">
        <v>1343</v>
      </c>
    </row>
    <row r="397" hidden="1" spans="4:4">
      <c r="D397" s="153" t="s">
        <v>1344</v>
      </c>
    </row>
    <row r="398" hidden="1" spans="4:4">
      <c r="D398" s="153" t="s">
        <v>1345</v>
      </c>
    </row>
    <row r="399" hidden="1" spans="4:4">
      <c r="D399" s="153" t="s">
        <v>1346</v>
      </c>
    </row>
    <row r="400" hidden="1" spans="4:4">
      <c r="D400" s="153" t="s">
        <v>1347</v>
      </c>
    </row>
    <row r="401" hidden="1" spans="4:4">
      <c r="D401" s="153" t="s">
        <v>1348</v>
      </c>
    </row>
    <row r="402" hidden="1" spans="4:4">
      <c r="D402" s="153" t="s">
        <v>1349</v>
      </c>
    </row>
    <row r="403" hidden="1" spans="4:4">
      <c r="D403" s="153" t="s">
        <v>1350</v>
      </c>
    </row>
    <row r="404" hidden="1" spans="4:4">
      <c r="D404" s="153" t="s">
        <v>1351</v>
      </c>
    </row>
    <row r="405" hidden="1" spans="4:4">
      <c r="D405" s="153" t="s">
        <v>1352</v>
      </c>
    </row>
    <row r="406" hidden="1" spans="4:4">
      <c r="D406" s="153" t="s">
        <v>1353</v>
      </c>
    </row>
    <row r="407" hidden="1" spans="4:4">
      <c r="D407" s="153" t="s">
        <v>1354</v>
      </c>
    </row>
    <row r="408" hidden="1" spans="4:4">
      <c r="D408" s="153" t="s">
        <v>1355</v>
      </c>
    </row>
    <row r="409" hidden="1" spans="4:4">
      <c r="D409" s="153" t="s">
        <v>1356</v>
      </c>
    </row>
    <row r="410" hidden="1" spans="4:4">
      <c r="D410" s="153" t="s">
        <v>1357</v>
      </c>
    </row>
    <row r="411" hidden="1" spans="4:4">
      <c r="D411" s="153" t="s">
        <v>1358</v>
      </c>
    </row>
    <row r="412" hidden="1" spans="4:4">
      <c r="D412" s="153" t="s">
        <v>1359</v>
      </c>
    </row>
    <row r="413" hidden="1" spans="4:4">
      <c r="D413" s="153" t="s">
        <v>1360</v>
      </c>
    </row>
    <row r="414" hidden="1" spans="4:4">
      <c r="D414" s="153" t="s">
        <v>1361</v>
      </c>
    </row>
    <row r="415" hidden="1" spans="4:4">
      <c r="D415" s="153" t="s">
        <v>1362</v>
      </c>
    </row>
    <row r="416" hidden="1" spans="4:4">
      <c r="D416" s="153" t="s">
        <v>1363</v>
      </c>
    </row>
    <row r="417" hidden="1" spans="4:4">
      <c r="D417" s="153" t="s">
        <v>1364</v>
      </c>
    </row>
    <row r="418" hidden="1" spans="4:4">
      <c r="D418" s="153" t="s">
        <v>1365</v>
      </c>
    </row>
    <row r="419" hidden="1" spans="4:4">
      <c r="D419" s="153" t="s">
        <v>1366</v>
      </c>
    </row>
    <row r="420" hidden="1" spans="4:4">
      <c r="D420" s="153" t="s">
        <v>1367</v>
      </c>
    </row>
    <row r="421" hidden="1" spans="4:4">
      <c r="D421" s="153" t="s">
        <v>1368</v>
      </c>
    </row>
    <row r="422" hidden="1" spans="4:4">
      <c r="D422" s="153" t="s">
        <v>1369</v>
      </c>
    </row>
    <row r="423" hidden="1" spans="4:4">
      <c r="D423" s="153" t="s">
        <v>1370</v>
      </c>
    </row>
    <row r="424" hidden="1" spans="4:4">
      <c r="D424" s="153" t="s">
        <v>1371</v>
      </c>
    </row>
    <row r="425" hidden="1" spans="4:4">
      <c r="D425" s="153" t="s">
        <v>1372</v>
      </c>
    </row>
    <row r="426" hidden="1" spans="4:4">
      <c r="D426" s="153" t="s">
        <v>1373</v>
      </c>
    </row>
    <row r="427" hidden="1" spans="4:4">
      <c r="D427" s="153" t="s">
        <v>1374</v>
      </c>
    </row>
    <row r="428" hidden="1" spans="4:4">
      <c r="D428" s="153" t="s">
        <v>1375</v>
      </c>
    </row>
    <row r="429" hidden="1" spans="4:4">
      <c r="D429" s="153" t="s">
        <v>1376</v>
      </c>
    </row>
    <row r="430" hidden="1" spans="4:4">
      <c r="D430" s="153" t="s">
        <v>1377</v>
      </c>
    </row>
    <row r="431" hidden="1" spans="4:4">
      <c r="D431" s="153" t="s">
        <v>1378</v>
      </c>
    </row>
    <row r="432" hidden="1" spans="4:4">
      <c r="D432" s="153" t="s">
        <v>1379</v>
      </c>
    </row>
    <row r="433" hidden="1" spans="4:4">
      <c r="D433" s="153" t="s">
        <v>1380</v>
      </c>
    </row>
    <row r="434" hidden="1" spans="4:4">
      <c r="D434" s="153" t="s">
        <v>1381</v>
      </c>
    </row>
    <row r="435" hidden="1" spans="4:4">
      <c r="D435" s="153" t="s">
        <v>1382</v>
      </c>
    </row>
    <row r="436" hidden="1" spans="4:4">
      <c r="D436" s="153" t="s">
        <v>1383</v>
      </c>
    </row>
    <row r="437" hidden="1" spans="4:4">
      <c r="D437" s="153" t="s">
        <v>1384</v>
      </c>
    </row>
    <row r="438" hidden="1" spans="4:4">
      <c r="D438" s="153" t="s">
        <v>1385</v>
      </c>
    </row>
    <row r="439" hidden="1" spans="4:4">
      <c r="D439" s="153" t="s">
        <v>1386</v>
      </c>
    </row>
    <row r="440" hidden="1" spans="4:4">
      <c r="D440" s="153" t="s">
        <v>1387</v>
      </c>
    </row>
    <row r="441" hidden="1" spans="4:4">
      <c r="D441" s="153" t="s">
        <v>1388</v>
      </c>
    </row>
    <row r="442" hidden="1" spans="4:4">
      <c r="D442" s="153" t="s">
        <v>1389</v>
      </c>
    </row>
    <row r="443" hidden="1" spans="4:4">
      <c r="D443" s="153" t="s">
        <v>1390</v>
      </c>
    </row>
    <row r="444" hidden="1" spans="4:4">
      <c r="D444" s="153" t="s">
        <v>1391</v>
      </c>
    </row>
    <row r="445" hidden="1" spans="4:4">
      <c r="D445" s="153" t="s">
        <v>1392</v>
      </c>
    </row>
    <row r="446" hidden="1" spans="4:4">
      <c r="D446" s="153" t="s">
        <v>1393</v>
      </c>
    </row>
    <row r="447" hidden="1" spans="4:4">
      <c r="D447" s="153" t="s">
        <v>1394</v>
      </c>
    </row>
    <row r="448" hidden="1" spans="4:4">
      <c r="D448" s="153" t="s">
        <v>1395</v>
      </c>
    </row>
    <row r="449" hidden="1" spans="4:4">
      <c r="D449" s="153" t="s">
        <v>1396</v>
      </c>
    </row>
    <row r="450" hidden="1" spans="4:4">
      <c r="D450" s="153" t="s">
        <v>1397</v>
      </c>
    </row>
    <row r="451" hidden="1" spans="4:4">
      <c r="D451" s="153" t="s">
        <v>1398</v>
      </c>
    </row>
    <row r="452" hidden="1" spans="4:4">
      <c r="D452" s="153" t="s">
        <v>1399</v>
      </c>
    </row>
    <row r="453" hidden="1" spans="4:4">
      <c r="D453" s="153" t="s">
        <v>1400</v>
      </c>
    </row>
    <row r="454" hidden="1" spans="4:4">
      <c r="D454" s="153" t="s">
        <v>1401</v>
      </c>
    </row>
    <row r="455" hidden="1" spans="4:4">
      <c r="D455" s="153" t="s">
        <v>1402</v>
      </c>
    </row>
    <row r="456" hidden="1" spans="4:4">
      <c r="D456" s="153" t="s">
        <v>1403</v>
      </c>
    </row>
    <row r="457" hidden="1" spans="4:4">
      <c r="D457" s="153" t="s">
        <v>1404</v>
      </c>
    </row>
    <row r="458" hidden="1" spans="4:4">
      <c r="D458" s="153" t="s">
        <v>1405</v>
      </c>
    </row>
    <row r="459" hidden="1" spans="4:4">
      <c r="D459" s="153" t="s">
        <v>1406</v>
      </c>
    </row>
    <row r="460" hidden="1" spans="4:4">
      <c r="D460" s="153" t="s">
        <v>1407</v>
      </c>
    </row>
    <row r="461" hidden="1" spans="4:4">
      <c r="D461" s="153" t="s">
        <v>1408</v>
      </c>
    </row>
    <row r="462" hidden="1" spans="4:4">
      <c r="D462" s="153" t="s">
        <v>1409</v>
      </c>
    </row>
    <row r="463" hidden="1" spans="4:4">
      <c r="D463" s="153" t="s">
        <v>1410</v>
      </c>
    </row>
    <row r="464" hidden="1" spans="4:4">
      <c r="D464" s="153" t="s">
        <v>1411</v>
      </c>
    </row>
    <row r="465" hidden="1" spans="4:4">
      <c r="D465" s="153" t="s">
        <v>1412</v>
      </c>
    </row>
    <row r="466" hidden="1" spans="4:4">
      <c r="D466" s="153" t="s">
        <v>1413</v>
      </c>
    </row>
    <row r="467" hidden="1" spans="4:4">
      <c r="D467" s="153" t="s">
        <v>1414</v>
      </c>
    </row>
    <row r="468" hidden="1" spans="4:4">
      <c r="D468" s="153" t="s">
        <v>1415</v>
      </c>
    </row>
    <row r="469" hidden="1" spans="4:4">
      <c r="D469" s="153" t="s">
        <v>1416</v>
      </c>
    </row>
    <row r="470" hidden="1" spans="4:4">
      <c r="D470" s="153" t="s">
        <v>1417</v>
      </c>
    </row>
    <row r="471" hidden="1" spans="4:4">
      <c r="D471" s="153" t="s">
        <v>1418</v>
      </c>
    </row>
    <row r="472" hidden="1" spans="4:4">
      <c r="D472" s="153" t="s">
        <v>1419</v>
      </c>
    </row>
    <row r="473" hidden="1" spans="4:4">
      <c r="D473" s="153" t="s">
        <v>1420</v>
      </c>
    </row>
    <row r="474" hidden="1" spans="4:4">
      <c r="D474" s="153" t="s">
        <v>1421</v>
      </c>
    </row>
    <row r="475" hidden="1" spans="4:4">
      <c r="D475" s="153" t="s">
        <v>1422</v>
      </c>
    </row>
    <row r="476" hidden="1" spans="4:4">
      <c r="D476" s="153" t="s">
        <v>1423</v>
      </c>
    </row>
    <row r="477" hidden="1" spans="4:4">
      <c r="D477" s="153" t="s">
        <v>1424</v>
      </c>
    </row>
    <row r="478" hidden="1" spans="4:4">
      <c r="D478" s="153" t="s">
        <v>1425</v>
      </c>
    </row>
    <row r="479" hidden="1" spans="4:4">
      <c r="D479" s="153" t="s">
        <v>1426</v>
      </c>
    </row>
    <row r="480" hidden="1" spans="4:4">
      <c r="D480" s="153" t="s">
        <v>1427</v>
      </c>
    </row>
    <row r="481" hidden="1" spans="4:4">
      <c r="D481" s="153" t="s">
        <v>1428</v>
      </c>
    </row>
    <row r="482" hidden="1" spans="4:4">
      <c r="D482" s="153" t="s">
        <v>1429</v>
      </c>
    </row>
    <row r="483" hidden="1" spans="4:4">
      <c r="D483" s="153" t="s">
        <v>1430</v>
      </c>
    </row>
    <row r="484" hidden="1" spans="4:4">
      <c r="D484" s="153" t="s">
        <v>1431</v>
      </c>
    </row>
    <row r="485" hidden="1" spans="4:4">
      <c r="D485" s="153" t="s">
        <v>1432</v>
      </c>
    </row>
    <row r="486" hidden="1" spans="4:4">
      <c r="D486" s="153" t="s">
        <v>1433</v>
      </c>
    </row>
    <row r="487" hidden="1" spans="4:4">
      <c r="D487" s="153" t="s">
        <v>1434</v>
      </c>
    </row>
    <row r="488" hidden="1" spans="4:4">
      <c r="D488" s="153" t="s">
        <v>1435</v>
      </c>
    </row>
    <row r="489" hidden="1" spans="4:4">
      <c r="D489" s="153" t="s">
        <v>1436</v>
      </c>
    </row>
    <row r="490" hidden="1" spans="4:4">
      <c r="D490" s="153" t="s">
        <v>1437</v>
      </c>
    </row>
    <row r="491" hidden="1" spans="4:4">
      <c r="D491" s="153" t="s">
        <v>1438</v>
      </c>
    </row>
    <row r="492" hidden="1" spans="4:4">
      <c r="D492" s="153" t="s">
        <v>1439</v>
      </c>
    </row>
    <row r="493" hidden="1" spans="4:4">
      <c r="D493" s="153" t="s">
        <v>1440</v>
      </c>
    </row>
    <row r="494" hidden="1" spans="4:4">
      <c r="D494" s="153" t="s">
        <v>1441</v>
      </c>
    </row>
    <row r="495" hidden="1" spans="4:4">
      <c r="D495" s="153" t="s">
        <v>1442</v>
      </c>
    </row>
    <row r="496" hidden="1" spans="4:4">
      <c r="D496" s="153" t="s">
        <v>1443</v>
      </c>
    </row>
    <row r="497" hidden="1" spans="4:4">
      <c r="D497" s="153" t="s">
        <v>1444</v>
      </c>
    </row>
    <row r="498" hidden="1" spans="4:4">
      <c r="D498" s="153" t="s">
        <v>1445</v>
      </c>
    </row>
    <row r="499" hidden="1" spans="4:4">
      <c r="D499" s="153" t="s">
        <v>1446</v>
      </c>
    </row>
    <row r="500" hidden="1" spans="4:4">
      <c r="D500" s="153" t="s">
        <v>1447</v>
      </c>
    </row>
    <row r="501" hidden="1" spans="4:4">
      <c r="D501" s="153" t="s">
        <v>1448</v>
      </c>
    </row>
    <row r="502" hidden="1" spans="4:4">
      <c r="D502" s="153" t="s">
        <v>1449</v>
      </c>
    </row>
    <row r="503" hidden="1" spans="4:4">
      <c r="D503" s="153" t="s">
        <v>1450</v>
      </c>
    </row>
    <row r="504" hidden="1" spans="4:4">
      <c r="D504" s="153" t="s">
        <v>1451</v>
      </c>
    </row>
    <row r="505" hidden="1" spans="4:4">
      <c r="D505" s="153" t="s">
        <v>1452</v>
      </c>
    </row>
    <row r="506" hidden="1" spans="4:4">
      <c r="D506" s="153" t="s">
        <v>1453</v>
      </c>
    </row>
    <row r="507" hidden="1" spans="4:4">
      <c r="D507" s="153" t="s">
        <v>1454</v>
      </c>
    </row>
    <row r="508" hidden="1" spans="4:4">
      <c r="D508" s="153" t="s">
        <v>1455</v>
      </c>
    </row>
    <row r="509" hidden="1" spans="4:4">
      <c r="D509" s="153" t="s">
        <v>1456</v>
      </c>
    </row>
    <row r="510" hidden="1" spans="4:4">
      <c r="D510" s="153" t="s">
        <v>1457</v>
      </c>
    </row>
    <row r="511" hidden="1" spans="4:4">
      <c r="D511" s="153" t="s">
        <v>1458</v>
      </c>
    </row>
    <row r="512" hidden="1" spans="4:4">
      <c r="D512" s="153" t="s">
        <v>1459</v>
      </c>
    </row>
    <row r="513" hidden="1" spans="4:4">
      <c r="D513" s="153" t="s">
        <v>1460</v>
      </c>
    </row>
    <row r="514" hidden="1" spans="4:4">
      <c r="D514" s="153" t="s">
        <v>1461</v>
      </c>
    </row>
    <row r="515" hidden="1" spans="4:4">
      <c r="D515" s="153" t="s">
        <v>1462</v>
      </c>
    </row>
    <row r="516" hidden="1" spans="4:4">
      <c r="D516" s="153" t="s">
        <v>1463</v>
      </c>
    </row>
    <row r="517" hidden="1" spans="4:4">
      <c r="D517" s="153" t="s">
        <v>1464</v>
      </c>
    </row>
    <row r="518" hidden="1" spans="4:4">
      <c r="D518" s="153" t="s">
        <v>1253</v>
      </c>
    </row>
    <row r="519" hidden="1" spans="4:4">
      <c r="D519" s="153" t="s">
        <v>1465</v>
      </c>
    </row>
    <row r="520" hidden="1" spans="4:4">
      <c r="D520" s="153" t="s">
        <v>1466</v>
      </c>
    </row>
    <row r="521" hidden="1" spans="4:4">
      <c r="D521" s="153" t="s">
        <v>1467</v>
      </c>
    </row>
    <row r="522" hidden="1" spans="4:4">
      <c r="D522" s="153" t="s">
        <v>1468</v>
      </c>
    </row>
    <row r="523" hidden="1" spans="4:4">
      <c r="D523" s="153" t="s">
        <v>1469</v>
      </c>
    </row>
    <row r="524" hidden="1" spans="4:4">
      <c r="D524" s="153" t="s">
        <v>1470</v>
      </c>
    </row>
    <row r="525" hidden="1" spans="4:4">
      <c r="D525" s="153" t="s">
        <v>1471</v>
      </c>
    </row>
    <row r="526" hidden="1" spans="4:4">
      <c r="D526" s="153" t="s">
        <v>1472</v>
      </c>
    </row>
    <row r="527" hidden="1" spans="4:4">
      <c r="D527" s="153" t="s">
        <v>1473</v>
      </c>
    </row>
    <row r="528" hidden="1" spans="4:4">
      <c r="D528" s="153" t="s">
        <v>1474</v>
      </c>
    </row>
    <row r="529" hidden="1" spans="4:4">
      <c r="D529" s="153" t="s">
        <v>1475</v>
      </c>
    </row>
    <row r="530" hidden="1" spans="4:4">
      <c r="D530" s="153" t="s">
        <v>1476</v>
      </c>
    </row>
    <row r="531" hidden="1" spans="4:4">
      <c r="D531" s="153" t="s">
        <v>1477</v>
      </c>
    </row>
    <row r="532" hidden="1" spans="4:4">
      <c r="D532" s="153" t="s">
        <v>1478</v>
      </c>
    </row>
    <row r="533" hidden="1" spans="4:4">
      <c r="D533" s="153" t="s">
        <v>1479</v>
      </c>
    </row>
    <row r="534" hidden="1" spans="4:4">
      <c r="D534" s="153" t="s">
        <v>1480</v>
      </c>
    </row>
    <row r="535" hidden="1" spans="4:4">
      <c r="D535" s="153" t="s">
        <v>1481</v>
      </c>
    </row>
    <row r="536" hidden="1" spans="4:4">
      <c r="D536" s="153" t="s">
        <v>1482</v>
      </c>
    </row>
    <row r="537" hidden="1" spans="4:4">
      <c r="D537" s="153" t="s">
        <v>1483</v>
      </c>
    </row>
    <row r="538" hidden="1" spans="4:4">
      <c r="D538" s="153" t="s">
        <v>1484</v>
      </c>
    </row>
    <row r="539" hidden="1" spans="4:4">
      <c r="D539" s="153" t="s">
        <v>1485</v>
      </c>
    </row>
    <row r="540" hidden="1" spans="4:4">
      <c r="D540" s="153" t="s">
        <v>1486</v>
      </c>
    </row>
    <row r="541" hidden="1" spans="4:4">
      <c r="D541" s="153" t="s">
        <v>1487</v>
      </c>
    </row>
    <row r="542" hidden="1" spans="4:4">
      <c r="D542" s="153" t="s">
        <v>1488</v>
      </c>
    </row>
    <row r="543" hidden="1" spans="4:4">
      <c r="D543" s="153" t="s">
        <v>1489</v>
      </c>
    </row>
    <row r="544" hidden="1" spans="4:4">
      <c r="D544" s="153" t="s">
        <v>1490</v>
      </c>
    </row>
    <row r="545" hidden="1" spans="4:4">
      <c r="D545" s="153" t="s">
        <v>1491</v>
      </c>
    </row>
    <row r="546" hidden="1" spans="4:4">
      <c r="D546" s="153" t="s">
        <v>1492</v>
      </c>
    </row>
    <row r="547" hidden="1" spans="4:4">
      <c r="D547" s="153" t="s">
        <v>1493</v>
      </c>
    </row>
    <row r="548" hidden="1" spans="4:4">
      <c r="D548" s="153" t="s">
        <v>1494</v>
      </c>
    </row>
    <row r="549" hidden="1" spans="4:4">
      <c r="D549" s="153" t="s">
        <v>1495</v>
      </c>
    </row>
    <row r="550" hidden="1" spans="4:4">
      <c r="D550" s="153" t="s">
        <v>1496</v>
      </c>
    </row>
    <row r="551" hidden="1" spans="4:4">
      <c r="D551" s="153" t="s">
        <v>1497</v>
      </c>
    </row>
    <row r="552" hidden="1" spans="4:4">
      <c r="D552" s="153" t="s">
        <v>1498</v>
      </c>
    </row>
    <row r="553" hidden="1" spans="4:4">
      <c r="D553" s="153" t="s">
        <v>1499</v>
      </c>
    </row>
    <row r="554" hidden="1" spans="4:4">
      <c r="D554" s="153" t="s">
        <v>1500</v>
      </c>
    </row>
    <row r="555" hidden="1" spans="4:4">
      <c r="D555" s="153" t="s">
        <v>1501</v>
      </c>
    </row>
    <row r="556" hidden="1" spans="4:4">
      <c r="D556" s="153" t="s">
        <v>1502</v>
      </c>
    </row>
    <row r="557" hidden="1" spans="4:4">
      <c r="D557" s="153" t="s">
        <v>1503</v>
      </c>
    </row>
    <row r="558" hidden="1" spans="4:4">
      <c r="D558" s="153" t="s">
        <v>1504</v>
      </c>
    </row>
    <row r="559" hidden="1" spans="4:4">
      <c r="D559" s="153" t="s">
        <v>1505</v>
      </c>
    </row>
    <row r="560" hidden="1" spans="4:4">
      <c r="D560" s="153" t="s">
        <v>1506</v>
      </c>
    </row>
    <row r="561" hidden="1" spans="4:4">
      <c r="D561" s="153" t="s">
        <v>1507</v>
      </c>
    </row>
    <row r="562" hidden="1" spans="4:4">
      <c r="D562" s="153" t="s">
        <v>1508</v>
      </c>
    </row>
    <row r="563" hidden="1" spans="4:4">
      <c r="D563" s="153" t="s">
        <v>1509</v>
      </c>
    </row>
    <row r="564" hidden="1" spans="4:4">
      <c r="D564" s="153" t="s">
        <v>1510</v>
      </c>
    </row>
    <row r="565" hidden="1" spans="4:4">
      <c r="D565" s="153" t="s">
        <v>1511</v>
      </c>
    </row>
    <row r="566" hidden="1" spans="4:4">
      <c r="D566" s="153" t="s">
        <v>1512</v>
      </c>
    </row>
    <row r="567" hidden="1" spans="4:4">
      <c r="D567" s="153" t="s">
        <v>1513</v>
      </c>
    </row>
    <row r="568" hidden="1" spans="4:4">
      <c r="D568" s="153" t="s">
        <v>1514</v>
      </c>
    </row>
    <row r="569" hidden="1" spans="4:4">
      <c r="D569" s="153" t="s">
        <v>1515</v>
      </c>
    </row>
    <row r="570" hidden="1" spans="4:4">
      <c r="D570" s="153" t="s">
        <v>1516</v>
      </c>
    </row>
    <row r="571" hidden="1" spans="4:4">
      <c r="D571" s="153" t="s">
        <v>1517</v>
      </c>
    </row>
    <row r="572" hidden="1" spans="4:4">
      <c r="D572" s="153" t="s">
        <v>1518</v>
      </c>
    </row>
    <row r="573" hidden="1" spans="4:4">
      <c r="D573" s="153" t="s">
        <v>1519</v>
      </c>
    </row>
    <row r="574" hidden="1" spans="4:4">
      <c r="D574" s="153" t="s">
        <v>1520</v>
      </c>
    </row>
    <row r="575" hidden="1" spans="4:4">
      <c r="D575" s="153" t="s">
        <v>1521</v>
      </c>
    </row>
    <row r="576" hidden="1" spans="4:4">
      <c r="D576" s="153" t="s">
        <v>1522</v>
      </c>
    </row>
    <row r="577" hidden="1" spans="4:4">
      <c r="D577" s="153" t="s">
        <v>1523</v>
      </c>
    </row>
    <row r="578" hidden="1" spans="4:4">
      <c r="D578" s="153" t="s">
        <v>1524</v>
      </c>
    </row>
    <row r="579" hidden="1" spans="4:4">
      <c r="D579" s="153" t="s">
        <v>1525</v>
      </c>
    </row>
    <row r="580" hidden="1" spans="4:4">
      <c r="D580" s="153" t="s">
        <v>1526</v>
      </c>
    </row>
    <row r="581" hidden="1" spans="4:4">
      <c r="D581" s="153" t="s">
        <v>1527</v>
      </c>
    </row>
    <row r="582" hidden="1" spans="4:4">
      <c r="D582" s="153" t="s">
        <v>1528</v>
      </c>
    </row>
    <row r="583" hidden="1" spans="4:4">
      <c r="D583" s="153" t="s">
        <v>1529</v>
      </c>
    </row>
    <row r="584" hidden="1" spans="4:4">
      <c r="D584" s="153" t="s">
        <v>1530</v>
      </c>
    </row>
    <row r="585" hidden="1" spans="4:4">
      <c r="D585" s="153" t="s">
        <v>1531</v>
      </c>
    </row>
    <row r="586" hidden="1" spans="4:4">
      <c r="D586" s="153" t="s">
        <v>1532</v>
      </c>
    </row>
    <row r="587" hidden="1" spans="4:4">
      <c r="D587" s="153" t="s">
        <v>1533</v>
      </c>
    </row>
    <row r="588" hidden="1" spans="4:4">
      <c r="D588" s="153" t="s">
        <v>1534</v>
      </c>
    </row>
    <row r="589" hidden="1" spans="4:4">
      <c r="D589" s="153" t="s">
        <v>1535</v>
      </c>
    </row>
    <row r="590" hidden="1" spans="4:4">
      <c r="D590" s="153" t="s">
        <v>1536</v>
      </c>
    </row>
    <row r="591" hidden="1" spans="4:4">
      <c r="D591" s="153" t="s">
        <v>1537</v>
      </c>
    </row>
    <row r="592" hidden="1" spans="4:4">
      <c r="D592" s="153" t="s">
        <v>1538</v>
      </c>
    </row>
    <row r="593" hidden="1" spans="4:4">
      <c r="D593" s="153" t="s">
        <v>1539</v>
      </c>
    </row>
    <row r="594" hidden="1" spans="4:4">
      <c r="D594" s="153" t="s">
        <v>1540</v>
      </c>
    </row>
    <row r="595" hidden="1" spans="4:4">
      <c r="D595" s="153" t="s">
        <v>1541</v>
      </c>
    </row>
    <row r="596" hidden="1" spans="4:4">
      <c r="D596" s="153" t="s">
        <v>1542</v>
      </c>
    </row>
    <row r="597" hidden="1" spans="4:4">
      <c r="D597" s="153" t="s">
        <v>1543</v>
      </c>
    </row>
    <row r="598" hidden="1" spans="4:4">
      <c r="D598" s="153" t="s">
        <v>1544</v>
      </c>
    </row>
    <row r="599" hidden="1" spans="4:4">
      <c r="D599" s="153" t="s">
        <v>1545</v>
      </c>
    </row>
    <row r="600" hidden="1" spans="4:4">
      <c r="D600" s="153" t="s">
        <v>1546</v>
      </c>
    </row>
    <row r="601" hidden="1" spans="4:4">
      <c r="D601" s="153" t="s">
        <v>1547</v>
      </c>
    </row>
    <row r="602" hidden="1" spans="4:4">
      <c r="D602" s="153" t="s">
        <v>1548</v>
      </c>
    </row>
    <row r="603" hidden="1" spans="4:4">
      <c r="D603" s="153" t="s">
        <v>1549</v>
      </c>
    </row>
    <row r="604" hidden="1" spans="4:4">
      <c r="D604" s="153" t="s">
        <v>1550</v>
      </c>
    </row>
    <row r="605" hidden="1" spans="4:4">
      <c r="D605" s="153" t="s">
        <v>1551</v>
      </c>
    </row>
    <row r="606" hidden="1" spans="4:4">
      <c r="D606" s="153" t="s">
        <v>1552</v>
      </c>
    </row>
    <row r="607" hidden="1" spans="4:4">
      <c r="D607" s="153" t="s">
        <v>1553</v>
      </c>
    </row>
    <row r="608" hidden="1" spans="4:4">
      <c r="D608" s="153" t="s">
        <v>1554</v>
      </c>
    </row>
    <row r="609" hidden="1" spans="4:4">
      <c r="D609" s="153" t="s">
        <v>1555</v>
      </c>
    </row>
    <row r="610" hidden="1" spans="4:4">
      <c r="D610" s="153" t="s">
        <v>1556</v>
      </c>
    </row>
    <row r="611" hidden="1" spans="4:4">
      <c r="D611" s="153" t="s">
        <v>1557</v>
      </c>
    </row>
    <row r="612" hidden="1" spans="4:4">
      <c r="D612" s="153" t="s">
        <v>1558</v>
      </c>
    </row>
    <row r="613" hidden="1" spans="4:4">
      <c r="D613" s="153" t="s">
        <v>1559</v>
      </c>
    </row>
    <row r="614" hidden="1" spans="4:4">
      <c r="D614" s="153" t="s">
        <v>1560</v>
      </c>
    </row>
    <row r="615" hidden="1" spans="4:4">
      <c r="D615" s="153" t="s">
        <v>1561</v>
      </c>
    </row>
    <row r="616" hidden="1" spans="4:4">
      <c r="D616" s="153" t="s">
        <v>1562</v>
      </c>
    </row>
    <row r="617" hidden="1" spans="4:4">
      <c r="D617" s="153" t="s">
        <v>1563</v>
      </c>
    </row>
    <row r="618" hidden="1" spans="4:4">
      <c r="D618" s="153" t="s">
        <v>1564</v>
      </c>
    </row>
    <row r="619" hidden="1" spans="4:4">
      <c r="D619" s="153" t="s">
        <v>1565</v>
      </c>
    </row>
    <row r="620" hidden="1" spans="4:4">
      <c r="D620" s="153" t="s">
        <v>1566</v>
      </c>
    </row>
    <row r="621" hidden="1" spans="4:4">
      <c r="D621" s="153" t="s">
        <v>1567</v>
      </c>
    </row>
    <row r="622" hidden="1" spans="4:4">
      <c r="D622" s="153" t="s">
        <v>1568</v>
      </c>
    </row>
    <row r="623" hidden="1" spans="4:4">
      <c r="D623" s="153" t="s">
        <v>1569</v>
      </c>
    </row>
    <row r="624" hidden="1" spans="4:4">
      <c r="D624" s="153" t="s">
        <v>1570</v>
      </c>
    </row>
    <row r="625" hidden="1" spans="4:4">
      <c r="D625" s="153" t="s">
        <v>1571</v>
      </c>
    </row>
    <row r="626" hidden="1" spans="4:4">
      <c r="D626" s="153" t="s">
        <v>1572</v>
      </c>
    </row>
    <row r="627" hidden="1" spans="4:4">
      <c r="D627" s="153" t="s">
        <v>1573</v>
      </c>
    </row>
    <row r="628" hidden="1" spans="4:4">
      <c r="D628" s="153" t="s">
        <v>1574</v>
      </c>
    </row>
    <row r="629" hidden="1" spans="4:4">
      <c r="D629" s="153" t="s">
        <v>1575</v>
      </c>
    </row>
    <row r="630" hidden="1" spans="4:4">
      <c r="D630" s="153" t="s">
        <v>1576</v>
      </c>
    </row>
    <row r="631" hidden="1" spans="4:4">
      <c r="D631" s="153" t="s">
        <v>1577</v>
      </c>
    </row>
    <row r="632" hidden="1" spans="4:4">
      <c r="D632" s="153" t="s">
        <v>1578</v>
      </c>
    </row>
    <row r="633" hidden="1" spans="4:4">
      <c r="D633" s="153" t="s">
        <v>1579</v>
      </c>
    </row>
    <row r="634" hidden="1" spans="4:4">
      <c r="D634" s="153" t="s">
        <v>1580</v>
      </c>
    </row>
    <row r="635" hidden="1" spans="4:4">
      <c r="D635" s="153" t="s">
        <v>1581</v>
      </c>
    </row>
    <row r="636" hidden="1" spans="4:4">
      <c r="D636" s="153" t="s">
        <v>1582</v>
      </c>
    </row>
    <row r="637" hidden="1" spans="4:4">
      <c r="D637" s="153" t="s">
        <v>1583</v>
      </c>
    </row>
    <row r="638" hidden="1" spans="4:4">
      <c r="D638" s="153" t="s">
        <v>1584</v>
      </c>
    </row>
    <row r="639" hidden="1" spans="4:4">
      <c r="D639" s="153" t="s">
        <v>1585</v>
      </c>
    </row>
    <row r="640" hidden="1" spans="4:4">
      <c r="D640" s="153" t="s">
        <v>1586</v>
      </c>
    </row>
    <row r="641" hidden="1" spans="4:4">
      <c r="D641" s="153" t="s">
        <v>1587</v>
      </c>
    </row>
    <row r="642" hidden="1" spans="4:4">
      <c r="D642" s="153" t="s">
        <v>1588</v>
      </c>
    </row>
    <row r="643" hidden="1" spans="4:4">
      <c r="D643" s="153" t="s">
        <v>1589</v>
      </c>
    </row>
    <row r="644" hidden="1" spans="4:4">
      <c r="D644" s="153" t="s">
        <v>1590</v>
      </c>
    </row>
    <row r="645" hidden="1" spans="4:4">
      <c r="D645" s="153" t="s">
        <v>1591</v>
      </c>
    </row>
    <row r="646" hidden="1" spans="4:4">
      <c r="D646" s="153" t="s">
        <v>1592</v>
      </c>
    </row>
    <row r="647" hidden="1" spans="4:4">
      <c r="D647" s="153" t="s">
        <v>1593</v>
      </c>
    </row>
    <row r="648" hidden="1" spans="4:4">
      <c r="D648" s="153" t="s">
        <v>1594</v>
      </c>
    </row>
    <row r="649" hidden="1" spans="4:4">
      <c r="D649" s="153" t="s">
        <v>1595</v>
      </c>
    </row>
    <row r="650" hidden="1" spans="4:4">
      <c r="D650" s="153" t="s">
        <v>1596</v>
      </c>
    </row>
    <row r="651" hidden="1" spans="4:4">
      <c r="D651" s="153" t="s">
        <v>1597</v>
      </c>
    </row>
    <row r="652" hidden="1" spans="4:4">
      <c r="D652" s="153" t="s">
        <v>1598</v>
      </c>
    </row>
    <row r="653" hidden="1" spans="4:4">
      <c r="D653" s="153" t="s">
        <v>1599</v>
      </c>
    </row>
    <row r="654" hidden="1" spans="4:4">
      <c r="D654" s="153" t="s">
        <v>1600</v>
      </c>
    </row>
    <row r="655" hidden="1" spans="4:4">
      <c r="D655" s="153" t="s">
        <v>1601</v>
      </c>
    </row>
    <row r="656" hidden="1" spans="4:4">
      <c r="D656" s="153" t="s">
        <v>1602</v>
      </c>
    </row>
    <row r="657" hidden="1" spans="4:4">
      <c r="D657" s="153" t="s">
        <v>1603</v>
      </c>
    </row>
    <row r="658" hidden="1" spans="4:4">
      <c r="D658" s="153" t="s">
        <v>1604</v>
      </c>
    </row>
    <row r="659" hidden="1" spans="4:4">
      <c r="D659" s="153" t="s">
        <v>1605</v>
      </c>
    </row>
    <row r="660" hidden="1" spans="4:4">
      <c r="D660" s="153" t="s">
        <v>1606</v>
      </c>
    </row>
    <row r="661" hidden="1" spans="4:4">
      <c r="D661" s="153" t="s">
        <v>1607</v>
      </c>
    </row>
    <row r="662" hidden="1" spans="4:4">
      <c r="D662" s="153" t="s">
        <v>1608</v>
      </c>
    </row>
    <row r="663" hidden="1" spans="4:4">
      <c r="D663" s="153" t="s">
        <v>1609</v>
      </c>
    </row>
    <row r="664" hidden="1" spans="4:4">
      <c r="D664" s="153" t="s">
        <v>1610</v>
      </c>
    </row>
    <row r="665" hidden="1" spans="4:4">
      <c r="D665" s="153" t="s">
        <v>1611</v>
      </c>
    </row>
    <row r="666" hidden="1" spans="4:4">
      <c r="D666" s="153" t="s">
        <v>1612</v>
      </c>
    </row>
    <row r="667" hidden="1" spans="4:4">
      <c r="D667" s="153" t="s">
        <v>1613</v>
      </c>
    </row>
    <row r="668" hidden="1" spans="4:4">
      <c r="D668" s="153" t="s">
        <v>1614</v>
      </c>
    </row>
    <row r="669" hidden="1" spans="4:4">
      <c r="D669" s="153" t="s">
        <v>1615</v>
      </c>
    </row>
    <row r="670" hidden="1" spans="4:4">
      <c r="D670" s="153" t="s">
        <v>1616</v>
      </c>
    </row>
    <row r="671" hidden="1" spans="4:4">
      <c r="D671" s="153" t="s">
        <v>1617</v>
      </c>
    </row>
    <row r="672" hidden="1" spans="4:4">
      <c r="D672" s="153" t="s">
        <v>1618</v>
      </c>
    </row>
    <row r="673" hidden="1" spans="4:4">
      <c r="D673" s="153" t="s">
        <v>1619</v>
      </c>
    </row>
    <row r="674" hidden="1" spans="4:4">
      <c r="D674" s="153" t="s">
        <v>1620</v>
      </c>
    </row>
    <row r="675" hidden="1" spans="4:4">
      <c r="D675" s="153" t="s">
        <v>1621</v>
      </c>
    </row>
    <row r="676" hidden="1" spans="4:4">
      <c r="D676" s="153" t="s">
        <v>1622</v>
      </c>
    </row>
    <row r="677" hidden="1" spans="4:4">
      <c r="D677" s="153" t="s">
        <v>1623</v>
      </c>
    </row>
    <row r="678" hidden="1" spans="4:4">
      <c r="D678" s="153" t="s">
        <v>1624</v>
      </c>
    </row>
    <row r="679" hidden="1" spans="4:4">
      <c r="D679" s="153" t="s">
        <v>1625</v>
      </c>
    </row>
    <row r="680" hidden="1" spans="4:4">
      <c r="D680" s="153" t="s">
        <v>1626</v>
      </c>
    </row>
    <row r="681" hidden="1" spans="4:4">
      <c r="D681" s="153" t="s">
        <v>1627</v>
      </c>
    </row>
    <row r="682" hidden="1" spans="4:4">
      <c r="D682" s="153" t="s">
        <v>1628</v>
      </c>
    </row>
    <row r="683" hidden="1" spans="4:4">
      <c r="D683" s="153" t="s">
        <v>1629</v>
      </c>
    </row>
    <row r="684" hidden="1" spans="4:4">
      <c r="D684" s="153" t="s">
        <v>1630</v>
      </c>
    </row>
    <row r="685" hidden="1" spans="4:4">
      <c r="D685" s="153" t="s">
        <v>1631</v>
      </c>
    </row>
    <row r="686" hidden="1" spans="4:4">
      <c r="D686" s="153" t="s">
        <v>1632</v>
      </c>
    </row>
    <row r="687" hidden="1" spans="4:4">
      <c r="D687" s="153" t="s">
        <v>1633</v>
      </c>
    </row>
    <row r="688" hidden="1" spans="4:4">
      <c r="D688" s="153" t="s">
        <v>1634</v>
      </c>
    </row>
    <row r="689" hidden="1" spans="4:4">
      <c r="D689" s="153" t="s">
        <v>1635</v>
      </c>
    </row>
    <row r="690" hidden="1" spans="4:4">
      <c r="D690" s="153" t="s">
        <v>1636</v>
      </c>
    </row>
    <row r="691" hidden="1" spans="4:4">
      <c r="D691" s="153" t="s">
        <v>1637</v>
      </c>
    </row>
    <row r="692" hidden="1" spans="4:4">
      <c r="D692" s="153" t="s">
        <v>1638</v>
      </c>
    </row>
    <row r="693" hidden="1" spans="4:4">
      <c r="D693" s="13" t="s">
        <v>1639</v>
      </c>
    </row>
    <row r="694" hidden="1" spans="4:4">
      <c r="D694" s="153" t="s">
        <v>1640</v>
      </c>
    </row>
    <row r="695" hidden="1" spans="4:4">
      <c r="D695" s="153" t="s">
        <v>1641</v>
      </c>
    </row>
    <row r="696" hidden="1" spans="4:4">
      <c r="D696" s="153" t="s">
        <v>1642</v>
      </c>
    </row>
    <row r="697" hidden="1" spans="4:4">
      <c r="D697" s="153" t="s">
        <v>1643</v>
      </c>
    </row>
    <row r="698" hidden="1" spans="4:4">
      <c r="D698" s="153" t="s">
        <v>1644</v>
      </c>
    </row>
    <row r="699" hidden="1" spans="4:4">
      <c r="D699" s="153" t="s">
        <v>1645</v>
      </c>
    </row>
    <row r="700" hidden="1" spans="4:4">
      <c r="D700" s="153" t="s">
        <v>1646</v>
      </c>
    </row>
    <row r="701" hidden="1" spans="4:4">
      <c r="D701" s="153" t="s">
        <v>1647</v>
      </c>
    </row>
    <row r="702" hidden="1" spans="4:4">
      <c r="D702" s="153" t="s">
        <v>1648</v>
      </c>
    </row>
    <row r="703" hidden="1" spans="4:4">
      <c r="D703" s="153" t="s">
        <v>1649</v>
      </c>
    </row>
    <row r="704" hidden="1" spans="4:4">
      <c r="D704" s="153" t="s">
        <v>1650</v>
      </c>
    </row>
    <row r="705" hidden="1" spans="4:4">
      <c r="D705" s="153" t="s">
        <v>1651</v>
      </c>
    </row>
    <row r="706" hidden="1" spans="4:4">
      <c r="D706" s="153" t="s">
        <v>1652</v>
      </c>
    </row>
    <row r="707" hidden="1" spans="4:4">
      <c r="D707" s="153" t="s">
        <v>1653</v>
      </c>
    </row>
    <row r="708" hidden="1" spans="4:4">
      <c r="D708" s="153" t="s">
        <v>1654</v>
      </c>
    </row>
    <row r="709" hidden="1" spans="4:4">
      <c r="D709" s="153" t="s">
        <v>1655</v>
      </c>
    </row>
    <row r="710" hidden="1" spans="4:4">
      <c r="D710" s="153" t="s">
        <v>1656</v>
      </c>
    </row>
    <row r="711" hidden="1" spans="4:4">
      <c r="D711" s="153" t="s">
        <v>1657</v>
      </c>
    </row>
    <row r="712" hidden="1" spans="4:4">
      <c r="D712" s="153" t="s">
        <v>1658</v>
      </c>
    </row>
    <row r="713" hidden="1" spans="4:4">
      <c r="D713" s="153" t="s">
        <v>1659</v>
      </c>
    </row>
    <row r="714" hidden="1" spans="4:4">
      <c r="D714" s="153" t="s">
        <v>1660</v>
      </c>
    </row>
    <row r="715" hidden="1" spans="4:4">
      <c r="D715" s="153" t="s">
        <v>1661</v>
      </c>
    </row>
    <row r="716" hidden="1" spans="4:4">
      <c r="D716" s="153" t="s">
        <v>1662</v>
      </c>
    </row>
    <row r="717" hidden="1" spans="4:4">
      <c r="D717" s="153" t="s">
        <v>1663</v>
      </c>
    </row>
    <row r="718" hidden="1" spans="4:4">
      <c r="D718" s="153" t="s">
        <v>1664</v>
      </c>
    </row>
    <row r="719" hidden="1" spans="4:4">
      <c r="D719" s="153" t="s">
        <v>1665</v>
      </c>
    </row>
    <row r="720" hidden="1" spans="4:4">
      <c r="D720" s="153" t="s">
        <v>1666</v>
      </c>
    </row>
    <row r="721" hidden="1" spans="4:4">
      <c r="D721" s="153" t="s">
        <v>1667</v>
      </c>
    </row>
    <row r="722" hidden="1" spans="4:4">
      <c r="D722" s="153" t="s">
        <v>1668</v>
      </c>
    </row>
    <row r="723" hidden="1" spans="4:4">
      <c r="D723" s="153" t="s">
        <v>1669</v>
      </c>
    </row>
    <row r="724" hidden="1" spans="4:4">
      <c r="D724" s="153" t="s">
        <v>1670</v>
      </c>
    </row>
    <row r="725" hidden="1" spans="4:4">
      <c r="D725" s="153" t="s">
        <v>1671</v>
      </c>
    </row>
    <row r="726" hidden="1" spans="4:4">
      <c r="D726" s="153" t="s">
        <v>1672</v>
      </c>
    </row>
    <row r="727" hidden="1" spans="4:4">
      <c r="D727" s="153" t="s">
        <v>1673</v>
      </c>
    </row>
    <row r="728" hidden="1" spans="4:4">
      <c r="D728" s="153" t="s">
        <v>1674</v>
      </c>
    </row>
    <row r="729" hidden="1" spans="4:4">
      <c r="D729" s="153" t="s">
        <v>643</v>
      </c>
    </row>
    <row r="730" hidden="1" spans="4:4">
      <c r="D730" s="153" t="s">
        <v>1675</v>
      </c>
    </row>
    <row r="731" hidden="1" spans="4:4">
      <c r="D731" s="153" t="s">
        <v>1676</v>
      </c>
    </row>
    <row r="732" hidden="1" spans="4:4">
      <c r="D732" s="153" t="s">
        <v>1677</v>
      </c>
    </row>
    <row r="733" hidden="1" spans="4:4">
      <c r="D733" s="153" t="s">
        <v>1678</v>
      </c>
    </row>
    <row r="734" hidden="1" spans="4:4">
      <c r="D734" s="153" t="s">
        <v>1679</v>
      </c>
    </row>
    <row r="735" hidden="1" spans="4:4">
      <c r="D735" s="153" t="s">
        <v>1680</v>
      </c>
    </row>
    <row r="736" hidden="1" spans="4:4">
      <c r="D736" s="153" t="s">
        <v>1681</v>
      </c>
    </row>
    <row r="737" hidden="1" spans="4:4">
      <c r="D737" s="153" t="s">
        <v>1682</v>
      </c>
    </row>
    <row r="738" hidden="1" spans="4:4">
      <c r="D738" s="153" t="s">
        <v>1683</v>
      </c>
    </row>
    <row r="739" hidden="1" spans="4:4">
      <c r="D739" s="153" t="s">
        <v>1684</v>
      </c>
    </row>
    <row r="740" hidden="1" spans="4:4">
      <c r="D740" s="153" t="s">
        <v>1685</v>
      </c>
    </row>
    <row r="741" hidden="1" spans="4:4">
      <c r="D741" s="153" t="s">
        <v>1686</v>
      </c>
    </row>
    <row r="742" hidden="1" spans="4:4">
      <c r="D742" s="153" t="s">
        <v>1687</v>
      </c>
    </row>
    <row r="743" hidden="1" spans="4:4">
      <c r="D743" s="153" t="s">
        <v>1688</v>
      </c>
    </row>
    <row r="744" hidden="1" spans="4:4">
      <c r="D744" s="153" t="s">
        <v>1689</v>
      </c>
    </row>
    <row r="745" hidden="1" spans="4:4">
      <c r="D745" s="153" t="s">
        <v>1690</v>
      </c>
    </row>
    <row r="746" hidden="1" spans="4:4">
      <c r="D746" s="153" t="s">
        <v>1691</v>
      </c>
    </row>
    <row r="747" hidden="1" spans="4:4">
      <c r="D747" s="153" t="s">
        <v>1692</v>
      </c>
    </row>
    <row r="748" hidden="1" spans="4:4">
      <c r="D748" s="153" t="s">
        <v>1693</v>
      </c>
    </row>
    <row r="749" hidden="1" spans="4:4">
      <c r="D749" s="153" t="s">
        <v>1694</v>
      </c>
    </row>
    <row r="750" hidden="1" spans="4:4">
      <c r="D750" s="153" t="s">
        <v>1695</v>
      </c>
    </row>
    <row r="751" hidden="1" spans="4:4">
      <c r="D751" s="153" t="s">
        <v>1696</v>
      </c>
    </row>
    <row r="752" hidden="1" spans="4:4">
      <c r="D752" s="153" t="s">
        <v>1697</v>
      </c>
    </row>
    <row r="753" hidden="1" spans="4:4">
      <c r="D753" s="153" t="s">
        <v>1698</v>
      </c>
    </row>
    <row r="754" hidden="1" spans="4:4">
      <c r="D754" s="153" t="s">
        <v>1699</v>
      </c>
    </row>
    <row r="755" hidden="1" spans="4:4">
      <c r="D755" s="153" t="s">
        <v>1700</v>
      </c>
    </row>
    <row r="756" hidden="1" spans="4:4">
      <c r="D756" s="153" t="s">
        <v>1701</v>
      </c>
    </row>
    <row r="757" hidden="1" spans="4:4">
      <c r="D757" s="153" t="s">
        <v>1702</v>
      </c>
    </row>
    <row r="758" hidden="1" spans="4:4">
      <c r="D758" s="153" t="s">
        <v>1703</v>
      </c>
    </row>
    <row r="759" hidden="1" spans="4:4">
      <c r="D759" s="153" t="s">
        <v>1704</v>
      </c>
    </row>
    <row r="760" hidden="1" spans="4:4">
      <c r="D760" s="153" t="s">
        <v>1705</v>
      </c>
    </row>
    <row r="761" hidden="1" spans="4:4">
      <c r="D761" s="153" t="s">
        <v>1706</v>
      </c>
    </row>
    <row r="762" hidden="1" spans="4:4">
      <c r="D762" s="153" t="s">
        <v>1707</v>
      </c>
    </row>
    <row r="763" hidden="1" spans="4:4">
      <c r="D763" s="153" t="s">
        <v>1708</v>
      </c>
    </row>
    <row r="764" hidden="1" spans="4:4">
      <c r="D764" s="153" t="s">
        <v>1709</v>
      </c>
    </row>
    <row r="765" hidden="1" spans="4:4">
      <c r="D765" s="153" t="s">
        <v>1710</v>
      </c>
    </row>
    <row r="766" hidden="1" spans="4:4">
      <c r="D766" s="153" t="s">
        <v>1711</v>
      </c>
    </row>
    <row r="767" hidden="1" spans="4:4">
      <c r="D767" s="153" t="s">
        <v>1712</v>
      </c>
    </row>
    <row r="768" hidden="1" spans="4:4">
      <c r="D768" s="153" t="s">
        <v>1713</v>
      </c>
    </row>
    <row r="769" hidden="1" spans="4:4">
      <c r="D769" s="153" t="s">
        <v>1714</v>
      </c>
    </row>
    <row r="770" hidden="1" spans="4:4">
      <c r="D770" s="153" t="s">
        <v>1715</v>
      </c>
    </row>
    <row r="771" hidden="1" spans="4:4">
      <c r="D771" s="153" t="s">
        <v>1716</v>
      </c>
    </row>
    <row r="772" hidden="1" spans="4:4">
      <c r="D772" s="153" t="s">
        <v>1717</v>
      </c>
    </row>
    <row r="773" hidden="1" spans="4:4">
      <c r="D773" s="153" t="s">
        <v>1718</v>
      </c>
    </row>
    <row r="774" hidden="1" spans="4:4">
      <c r="D774" s="153" t="s">
        <v>1719</v>
      </c>
    </row>
    <row r="775" hidden="1" spans="4:4">
      <c r="D775" s="153" t="s">
        <v>1720</v>
      </c>
    </row>
    <row r="776" hidden="1" spans="4:4">
      <c r="D776" s="153" t="s">
        <v>1721</v>
      </c>
    </row>
    <row r="777" hidden="1" spans="4:4">
      <c r="D777" s="153" t="s">
        <v>1722</v>
      </c>
    </row>
    <row r="778" hidden="1" spans="4:4">
      <c r="D778" s="153" t="s">
        <v>1723</v>
      </c>
    </row>
    <row r="779" hidden="1" spans="4:4">
      <c r="D779" s="153" t="s">
        <v>1724</v>
      </c>
    </row>
    <row r="780" hidden="1" spans="4:4">
      <c r="D780" s="153" t="s">
        <v>1285</v>
      </c>
    </row>
    <row r="781" hidden="1" spans="4:4">
      <c r="D781" s="153" t="s">
        <v>1725</v>
      </c>
    </row>
    <row r="782" hidden="1" spans="4:4">
      <c r="D782" s="153" t="s">
        <v>1726</v>
      </c>
    </row>
    <row r="783" hidden="1" spans="4:4">
      <c r="D783" s="153" t="s">
        <v>1727</v>
      </c>
    </row>
    <row r="784" hidden="1" spans="4:4">
      <c r="D784" s="153" t="s">
        <v>1728</v>
      </c>
    </row>
    <row r="785" hidden="1" spans="4:4">
      <c r="D785" s="153" t="s">
        <v>1729</v>
      </c>
    </row>
    <row r="786" hidden="1" spans="4:4">
      <c r="D786" s="153" t="s">
        <v>1730</v>
      </c>
    </row>
    <row r="787" hidden="1" spans="4:4">
      <c r="D787" s="153" t="s">
        <v>1731</v>
      </c>
    </row>
    <row r="788" hidden="1" spans="4:4">
      <c r="D788" s="153" t="s">
        <v>1732</v>
      </c>
    </row>
    <row r="789" hidden="1" spans="4:4">
      <c r="D789" s="153" t="s">
        <v>1733</v>
      </c>
    </row>
    <row r="790" hidden="1" spans="4:4">
      <c r="D790" s="153" t="s">
        <v>1734</v>
      </c>
    </row>
    <row r="791" hidden="1" spans="4:4">
      <c r="D791" s="153" t="s">
        <v>1735</v>
      </c>
    </row>
    <row r="792" hidden="1" spans="4:4">
      <c r="D792" s="153" t="s">
        <v>1333</v>
      </c>
    </row>
    <row r="793" hidden="1" spans="4:4">
      <c r="D793" s="153" t="s">
        <v>1736</v>
      </c>
    </row>
    <row r="794" hidden="1" spans="4:4">
      <c r="D794" s="153" t="s">
        <v>1737</v>
      </c>
    </row>
    <row r="795" hidden="1" spans="4:4">
      <c r="D795" s="153" t="s">
        <v>1738</v>
      </c>
    </row>
    <row r="796" hidden="1" spans="4:4">
      <c r="D796" s="153" t="s">
        <v>1739</v>
      </c>
    </row>
    <row r="797" hidden="1" spans="4:4">
      <c r="D797" s="153" t="s">
        <v>1740</v>
      </c>
    </row>
    <row r="798" hidden="1" spans="4:4">
      <c r="D798" s="153" t="s">
        <v>1741</v>
      </c>
    </row>
    <row r="799" hidden="1" spans="4:4">
      <c r="D799" s="153" t="s">
        <v>1742</v>
      </c>
    </row>
    <row r="800" hidden="1" spans="4:4">
      <c r="D800" s="153" t="s">
        <v>1743</v>
      </c>
    </row>
    <row r="801" hidden="1" spans="4:4">
      <c r="D801" s="153" t="s">
        <v>1744</v>
      </c>
    </row>
    <row r="802" hidden="1" spans="4:4">
      <c r="D802" s="153" t="s">
        <v>1745</v>
      </c>
    </row>
    <row r="803" hidden="1" spans="4:4">
      <c r="D803" s="153" t="s">
        <v>1746</v>
      </c>
    </row>
    <row r="804" hidden="1" spans="4:4">
      <c r="D804" s="153" t="s">
        <v>1747</v>
      </c>
    </row>
    <row r="805" hidden="1" spans="4:4">
      <c r="D805" s="153" t="s">
        <v>1748</v>
      </c>
    </row>
    <row r="806" hidden="1" spans="4:4">
      <c r="D806" s="153" t="s">
        <v>1749</v>
      </c>
    </row>
    <row r="807" hidden="1" spans="4:4">
      <c r="D807" s="153" t="s">
        <v>1750</v>
      </c>
    </row>
    <row r="808" hidden="1" spans="4:4">
      <c r="D808" s="153" t="s">
        <v>1751</v>
      </c>
    </row>
    <row r="809" hidden="1" spans="4:4">
      <c r="D809" s="153" t="s">
        <v>1752</v>
      </c>
    </row>
    <row r="810" hidden="1" spans="4:4">
      <c r="D810" s="153" t="s">
        <v>1753</v>
      </c>
    </row>
    <row r="811" hidden="1" spans="4:4">
      <c r="D811" s="153" t="s">
        <v>1754</v>
      </c>
    </row>
    <row r="812" hidden="1" spans="4:4">
      <c r="D812" s="153" t="s">
        <v>1755</v>
      </c>
    </row>
    <row r="813" hidden="1" spans="4:4">
      <c r="D813" s="153" t="s">
        <v>1756</v>
      </c>
    </row>
    <row r="814" hidden="1" spans="4:4">
      <c r="D814" s="153" t="s">
        <v>1309</v>
      </c>
    </row>
    <row r="815" hidden="1" spans="4:4">
      <c r="D815" s="153" t="s">
        <v>1757</v>
      </c>
    </row>
    <row r="816" hidden="1" spans="4:4">
      <c r="D816" s="153" t="s">
        <v>1758</v>
      </c>
    </row>
    <row r="817" hidden="1" spans="4:4">
      <c r="D817" s="153" t="s">
        <v>1759</v>
      </c>
    </row>
    <row r="818" hidden="1" spans="4:4">
      <c r="D818" s="153" t="s">
        <v>1760</v>
      </c>
    </row>
    <row r="819" hidden="1" spans="4:4">
      <c r="D819" s="153" t="s">
        <v>1324</v>
      </c>
    </row>
    <row r="820" hidden="1"/>
  </sheetData>
  <mergeCells count="169">
    <mergeCell ref="M7:P7"/>
    <mergeCell ref="Q7:T7"/>
    <mergeCell ref="M8:P8"/>
    <mergeCell ref="Q8:T8"/>
    <mergeCell ref="M9:P9"/>
    <mergeCell ref="Q9:T9"/>
    <mergeCell ref="M10:P10"/>
    <mergeCell ref="Q10:T10"/>
    <mergeCell ref="M11:P11"/>
    <mergeCell ref="Q11:T11"/>
    <mergeCell ref="M12:P12"/>
    <mergeCell ref="Q12:T12"/>
    <mergeCell ref="M13:P13"/>
    <mergeCell ref="Q13:T13"/>
    <mergeCell ref="M14:P14"/>
    <mergeCell ref="Q14:T14"/>
    <mergeCell ref="M15:P15"/>
    <mergeCell ref="Q15:T15"/>
    <mergeCell ref="M16:P16"/>
    <mergeCell ref="Q16:T16"/>
    <mergeCell ref="M17:P17"/>
    <mergeCell ref="Q17:T17"/>
    <mergeCell ref="M18:P18"/>
    <mergeCell ref="Q18:T18"/>
    <mergeCell ref="M19:P19"/>
    <mergeCell ref="Q19:T19"/>
    <mergeCell ref="M20:P20"/>
    <mergeCell ref="Q20:T20"/>
    <mergeCell ref="M21:P21"/>
    <mergeCell ref="Q21:T21"/>
    <mergeCell ref="M22:P22"/>
    <mergeCell ref="Q22:T22"/>
    <mergeCell ref="M23:P23"/>
    <mergeCell ref="Q23:T23"/>
    <mergeCell ref="M24:P24"/>
    <mergeCell ref="Q24:T24"/>
    <mergeCell ref="M25:P25"/>
    <mergeCell ref="Q25:T25"/>
    <mergeCell ref="M26:P26"/>
    <mergeCell ref="Q26:T26"/>
    <mergeCell ref="M27:P27"/>
    <mergeCell ref="Q27:T27"/>
    <mergeCell ref="M28:P28"/>
    <mergeCell ref="Q28:T28"/>
    <mergeCell ref="M29:P29"/>
    <mergeCell ref="Q29:T29"/>
    <mergeCell ref="M30:P30"/>
    <mergeCell ref="Q30:T30"/>
    <mergeCell ref="M31:P31"/>
    <mergeCell ref="Q31:T31"/>
    <mergeCell ref="M32:P32"/>
    <mergeCell ref="Q32:T32"/>
    <mergeCell ref="M33:P33"/>
    <mergeCell ref="Q33:T33"/>
    <mergeCell ref="M34:P34"/>
    <mergeCell ref="Q34:T34"/>
    <mergeCell ref="B35:G35"/>
    <mergeCell ref="M35:P35"/>
    <mergeCell ref="Q35:T35"/>
    <mergeCell ref="M36:P36"/>
    <mergeCell ref="Q36:T36"/>
    <mergeCell ref="M37:P37"/>
    <mergeCell ref="Q37:T37"/>
    <mergeCell ref="M38:P38"/>
    <mergeCell ref="Q38:T38"/>
    <mergeCell ref="M39:P39"/>
    <mergeCell ref="Q39:T39"/>
    <mergeCell ref="M40:P40"/>
    <mergeCell ref="Q40:T40"/>
    <mergeCell ref="M41:P41"/>
    <mergeCell ref="Q41:T41"/>
    <mergeCell ref="M42:P42"/>
    <mergeCell ref="Q42:T42"/>
    <mergeCell ref="M43:P43"/>
    <mergeCell ref="Q43:T43"/>
    <mergeCell ref="M44:P44"/>
    <mergeCell ref="Q44:T44"/>
    <mergeCell ref="M45:P45"/>
    <mergeCell ref="Q45:T45"/>
    <mergeCell ref="M46:P46"/>
    <mergeCell ref="Q46:T46"/>
    <mergeCell ref="M47:P47"/>
    <mergeCell ref="Q47:T47"/>
    <mergeCell ref="M48:P48"/>
    <mergeCell ref="Q48:T48"/>
    <mergeCell ref="M49:P49"/>
    <mergeCell ref="Q49:T49"/>
    <mergeCell ref="M50:P50"/>
    <mergeCell ref="Q50:T50"/>
    <mergeCell ref="M51:P51"/>
    <mergeCell ref="Q51:T51"/>
    <mergeCell ref="M52:P52"/>
    <mergeCell ref="Q52:T52"/>
    <mergeCell ref="M53:P53"/>
    <mergeCell ref="Q53:T53"/>
    <mergeCell ref="M54:P54"/>
    <mergeCell ref="Q54:T54"/>
    <mergeCell ref="M55:P55"/>
    <mergeCell ref="Q55:T55"/>
    <mergeCell ref="M56:P56"/>
    <mergeCell ref="Q56:T56"/>
    <mergeCell ref="M57:P57"/>
    <mergeCell ref="Q57:T57"/>
    <mergeCell ref="M58:P58"/>
    <mergeCell ref="Q58:T58"/>
    <mergeCell ref="M59:P59"/>
    <mergeCell ref="Q59:T59"/>
    <mergeCell ref="M60:P60"/>
    <mergeCell ref="Q60:T60"/>
    <mergeCell ref="M61:P61"/>
    <mergeCell ref="Q61:T61"/>
    <mergeCell ref="M62:P62"/>
    <mergeCell ref="Q62:T62"/>
    <mergeCell ref="R66:T66"/>
    <mergeCell ref="X121:AE121"/>
    <mergeCell ref="M129:R129"/>
    <mergeCell ref="T129:Y129"/>
    <mergeCell ref="AA129:AD129"/>
    <mergeCell ref="M131:P131"/>
    <mergeCell ref="Q131:AD131"/>
    <mergeCell ref="M132:P132"/>
    <mergeCell ref="Q132:AD132"/>
    <mergeCell ref="M133:P133"/>
    <mergeCell ref="Q133:AD133"/>
    <mergeCell ref="M134:P134"/>
    <mergeCell ref="Q134:AD134"/>
    <mergeCell ref="E8:E9"/>
    <mergeCell ref="E10:E11"/>
    <mergeCell ref="E12:E13"/>
    <mergeCell ref="E14:E15"/>
    <mergeCell ref="I69:I70"/>
    <mergeCell ref="I124:I125"/>
    <mergeCell ref="K117:K118"/>
    <mergeCell ref="K261:K262"/>
    <mergeCell ref="L69:L71"/>
    <mergeCell ref="L124:L126"/>
    <mergeCell ref="X1:AC2"/>
    <mergeCell ref="A2:H6"/>
    <mergeCell ref="L2:M3"/>
    <mergeCell ref="N2:O3"/>
    <mergeCell ref="X3:AC23"/>
    <mergeCell ref="L4:M5"/>
    <mergeCell ref="N4:O5"/>
    <mergeCell ref="C8:D9"/>
    <mergeCell ref="C10:D11"/>
    <mergeCell ref="C12:D13"/>
    <mergeCell ref="C14:D15"/>
    <mergeCell ref="C19:G33"/>
    <mergeCell ref="B41:G42"/>
    <mergeCell ref="B46:G49"/>
    <mergeCell ref="B50:G53"/>
    <mergeCell ref="J67:K69"/>
    <mergeCell ref="M67:T71"/>
    <mergeCell ref="M72:O73"/>
    <mergeCell ref="P72:R73"/>
    <mergeCell ref="S72:T73"/>
    <mergeCell ref="M74:N75"/>
    <mergeCell ref="O74:T75"/>
    <mergeCell ref="M76:N77"/>
    <mergeCell ref="O76:T77"/>
    <mergeCell ref="M78:N79"/>
    <mergeCell ref="O78:T79"/>
    <mergeCell ref="M80:N81"/>
    <mergeCell ref="O80:T81"/>
    <mergeCell ref="M83:T115"/>
    <mergeCell ref="B114:H117"/>
    <mergeCell ref="J122:K124"/>
    <mergeCell ref="M123:AD128"/>
    <mergeCell ref="M136:AD259"/>
  </mergeCells>
  <dataValidations count="3">
    <dataValidation type="list" allowBlank="1" showInputMessage="1" showErrorMessage="1" sqref="L4">
      <formula1>"法师,牧师,术士,德鲁伊,邪术师,诗人,游侠,圣武士"</formula1>
    </dataValidation>
    <dataValidation type="list" allowBlank="1" showInputMessage="1" showErrorMessage="1" sqref="N4">
      <formula1>"戏法,1环,2环,3环,4环,5环,6环,7环,8环,9环"</formula1>
    </dataValidation>
    <dataValidation type="list" allowBlank="1" showInputMessage="1" showErrorMessage="1" sqref="E8:E15">
      <formula1>"启用,禁用"</formula1>
    </dataValidation>
  </dataValidation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0"/>
  <sheetViews>
    <sheetView workbookViewId="0">
      <selection activeCell="F3" sqref="F3:M3"/>
    </sheetView>
  </sheetViews>
  <sheetFormatPr defaultColWidth="9" defaultRowHeight="14.5"/>
  <cols>
    <col min="1" max="52" width="2.35454545454545" style="41" customWidth="1"/>
    <col min="53" max="16384" width="9" style="41"/>
  </cols>
  <sheetData>
    <row r="1" ht="17" customHeight="1" spans="1:48">
      <c r="A1" s="42" t="s">
        <v>1761</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3" t="s">
        <v>1762</v>
      </c>
      <c r="AQ1" s="43"/>
      <c r="AR1" s="43"/>
      <c r="AS1" s="43"/>
      <c r="AT1" s="44"/>
      <c r="AU1" s="44"/>
    </row>
    <row r="2" ht="17" customHeight="1" spans="1:48">
      <c r="A2" s="45"/>
      <c r="B2" s="45"/>
      <c r="C2" s="45"/>
      <c r="D2" s="45"/>
      <c r="E2" s="46" t="s">
        <v>15</v>
      </c>
      <c r="F2" s="46" t="s">
        <v>142</v>
      </c>
      <c r="G2" s="46"/>
      <c r="H2" s="46"/>
      <c r="I2" s="46"/>
      <c r="J2" s="46"/>
      <c r="K2" s="46"/>
      <c r="L2" s="46"/>
      <c r="M2" s="46"/>
      <c r="N2" s="46" t="s">
        <v>1763</v>
      </c>
      <c r="O2" s="46"/>
      <c r="P2" s="46"/>
      <c r="Q2" s="46"/>
      <c r="R2" s="46"/>
      <c r="S2" s="46"/>
      <c r="T2" s="46"/>
      <c r="U2" s="46"/>
      <c r="V2" s="46"/>
      <c r="W2" s="46"/>
      <c r="X2" s="46"/>
      <c r="Y2" s="46"/>
      <c r="Z2" s="46"/>
      <c r="AA2" s="45"/>
      <c r="AB2" s="47" t="s">
        <v>1764</v>
      </c>
      <c r="AC2" s="47"/>
      <c r="AD2" s="47" t="s">
        <v>1765</v>
      </c>
      <c r="AE2" s="47"/>
      <c r="AF2" s="47"/>
      <c r="AG2" s="47" t="s">
        <v>1766</v>
      </c>
      <c r="AH2" s="47"/>
      <c r="AI2" s="47"/>
      <c r="AJ2" s="47" t="s">
        <v>1767</v>
      </c>
      <c r="AK2" s="47"/>
      <c r="AL2" s="45"/>
      <c r="AM2" s="47" t="s">
        <v>1768</v>
      </c>
      <c r="AN2" s="47"/>
      <c r="AO2" s="47"/>
      <c r="AP2" s="47" t="s">
        <v>1769</v>
      </c>
      <c r="AQ2" s="47"/>
      <c r="AR2" s="47"/>
      <c r="AS2" s="47"/>
      <c r="AT2" s="47"/>
      <c r="AU2" s="47"/>
      <c r="AV2" s="48"/>
    </row>
    <row r="3" ht="17" customHeight="1" spans="1:48">
      <c r="A3" s="45"/>
      <c r="B3" s="45"/>
      <c r="C3" s="45"/>
      <c r="D3" s="45"/>
      <c r="E3" s="49"/>
      <c r="F3" s="49"/>
      <c r="G3" s="49"/>
      <c r="H3" s="49"/>
      <c r="I3" s="49"/>
      <c r="J3" s="49"/>
      <c r="K3" s="49"/>
      <c r="L3" s="49"/>
      <c r="M3" s="49"/>
      <c r="N3" s="50"/>
      <c r="O3" s="50"/>
      <c r="P3" s="50"/>
      <c r="Q3" s="50"/>
      <c r="R3" s="50"/>
      <c r="S3" s="50"/>
      <c r="T3" s="50"/>
      <c r="U3" s="50"/>
      <c r="V3" s="50"/>
      <c r="W3" s="50"/>
      <c r="X3" s="50"/>
      <c r="Y3" s="50"/>
      <c r="Z3" s="50"/>
      <c r="AA3" s="51" t="s">
        <v>18</v>
      </c>
      <c r="AB3" s="49"/>
      <c r="AC3" s="49"/>
      <c r="AD3" s="49"/>
      <c r="AE3" s="49"/>
      <c r="AF3" s="49"/>
      <c r="AG3" s="49"/>
      <c r="AH3" s="49"/>
      <c r="AI3" s="49"/>
      <c r="AJ3" s="49"/>
      <c r="AK3" s="49"/>
      <c r="AL3" s="51" t="s">
        <v>18</v>
      </c>
      <c r="AM3" s="49"/>
      <c r="AN3" s="49"/>
      <c r="AO3" s="49"/>
      <c r="AP3" s="52"/>
      <c r="AQ3" s="53"/>
      <c r="AR3" s="53"/>
      <c r="AS3" s="53"/>
      <c r="AT3" s="53"/>
      <c r="AU3" s="54"/>
      <c r="AV3" s="48"/>
    </row>
    <row r="4" ht="17" customHeight="1" spans="1:48">
      <c r="A4" s="45"/>
      <c r="B4" s="45"/>
      <c r="C4" s="45"/>
      <c r="D4" s="45"/>
      <c r="E4" s="55"/>
      <c r="F4" s="55"/>
      <c r="G4" s="55"/>
      <c r="H4" s="55"/>
      <c r="I4" s="55"/>
      <c r="J4" s="55"/>
      <c r="K4" s="55"/>
      <c r="L4" s="55"/>
      <c r="M4" s="55"/>
      <c r="N4" s="56"/>
      <c r="O4" s="56"/>
      <c r="P4" s="56"/>
      <c r="Q4" s="56"/>
      <c r="R4" s="56"/>
      <c r="S4" s="56"/>
      <c r="T4" s="56"/>
      <c r="U4" s="56"/>
      <c r="V4" s="56"/>
      <c r="W4" s="56"/>
      <c r="X4" s="56"/>
      <c r="Y4" s="56"/>
      <c r="Z4" s="56"/>
      <c r="AA4" s="51" t="s">
        <v>18</v>
      </c>
      <c r="AB4" s="55"/>
      <c r="AC4" s="55"/>
      <c r="AD4" s="55"/>
      <c r="AE4" s="55"/>
      <c r="AF4" s="55"/>
      <c r="AG4" s="55"/>
      <c r="AH4" s="55"/>
      <c r="AI4" s="55"/>
      <c r="AJ4" s="55"/>
      <c r="AK4" s="55"/>
      <c r="AL4" s="51" t="s">
        <v>18</v>
      </c>
      <c r="AM4" s="55"/>
      <c r="AN4" s="55"/>
      <c r="AO4" s="55"/>
      <c r="AP4" s="57"/>
      <c r="AQ4" s="58"/>
      <c r="AR4" s="58"/>
      <c r="AS4" s="58"/>
      <c r="AT4" s="58"/>
      <c r="AU4" s="59"/>
    </row>
    <row r="5" ht="17" customHeight="1" spans="1:48">
      <c r="A5" s="45"/>
      <c r="B5" s="45"/>
      <c r="C5" s="45"/>
      <c r="D5" s="45"/>
      <c r="E5" s="49"/>
      <c r="F5" s="49"/>
      <c r="G5" s="49"/>
      <c r="H5" s="49"/>
      <c r="I5" s="49"/>
      <c r="J5" s="49"/>
      <c r="K5" s="49"/>
      <c r="L5" s="49"/>
      <c r="M5" s="49"/>
      <c r="N5" s="50"/>
      <c r="O5" s="50"/>
      <c r="P5" s="50"/>
      <c r="Q5" s="50"/>
      <c r="R5" s="50"/>
      <c r="S5" s="50"/>
      <c r="T5" s="50"/>
      <c r="U5" s="50"/>
      <c r="V5" s="50"/>
      <c r="W5" s="50"/>
      <c r="X5" s="50"/>
      <c r="Y5" s="50"/>
      <c r="Z5" s="50"/>
      <c r="AA5" s="51" t="s">
        <v>18</v>
      </c>
      <c r="AB5" s="49"/>
      <c r="AC5" s="49"/>
      <c r="AD5" s="49"/>
      <c r="AE5" s="49"/>
      <c r="AF5" s="49"/>
      <c r="AG5" s="49"/>
      <c r="AH5" s="49"/>
      <c r="AI5" s="49"/>
      <c r="AJ5" s="49"/>
      <c r="AK5" s="49"/>
      <c r="AL5" s="51" t="s">
        <v>18</v>
      </c>
      <c r="AM5" s="49"/>
      <c r="AN5" s="49"/>
      <c r="AO5" s="49"/>
      <c r="AP5" s="52"/>
      <c r="AQ5" s="53"/>
      <c r="AR5" s="53"/>
      <c r="AS5" s="53"/>
      <c r="AT5" s="53"/>
      <c r="AU5" s="54"/>
    </row>
    <row r="6" ht="17" customHeight="1" spans="1:48">
      <c r="A6" s="45"/>
      <c r="B6" s="45"/>
      <c r="C6" s="45"/>
      <c r="D6" s="45"/>
      <c r="E6" s="55"/>
      <c r="F6" s="55"/>
      <c r="G6" s="55"/>
      <c r="H6" s="55"/>
      <c r="I6" s="55"/>
      <c r="J6" s="55"/>
      <c r="K6" s="55"/>
      <c r="L6" s="55"/>
      <c r="M6" s="55"/>
      <c r="N6" s="56"/>
      <c r="O6" s="56"/>
      <c r="P6" s="56"/>
      <c r="Q6" s="56"/>
      <c r="R6" s="56"/>
      <c r="S6" s="56"/>
      <c r="T6" s="56"/>
      <c r="U6" s="56"/>
      <c r="V6" s="56"/>
      <c r="W6" s="56"/>
      <c r="X6" s="56"/>
      <c r="Y6" s="56"/>
      <c r="Z6" s="56"/>
      <c r="AA6" s="51" t="s">
        <v>18</v>
      </c>
      <c r="AB6" s="55"/>
      <c r="AC6" s="55"/>
      <c r="AD6" s="55"/>
      <c r="AE6" s="55"/>
      <c r="AF6" s="55"/>
      <c r="AG6" s="55"/>
      <c r="AH6" s="55"/>
      <c r="AI6" s="55"/>
      <c r="AJ6" s="55"/>
      <c r="AK6" s="55"/>
      <c r="AL6" s="51" t="s">
        <v>18</v>
      </c>
      <c r="AM6" s="55"/>
      <c r="AN6" s="55"/>
      <c r="AO6" s="55"/>
      <c r="AP6" s="57"/>
      <c r="AQ6" s="58"/>
      <c r="AR6" s="58"/>
      <c r="AS6" s="58"/>
      <c r="AT6" s="58"/>
      <c r="AU6" s="59"/>
    </row>
    <row r="7" ht="17" customHeight="1" spans="1:48">
      <c r="A7" s="45"/>
      <c r="B7" s="45"/>
      <c r="C7" s="45"/>
      <c r="D7" s="45"/>
      <c r="E7" s="49"/>
      <c r="F7" s="49"/>
      <c r="G7" s="49"/>
      <c r="H7" s="49"/>
      <c r="I7" s="49"/>
      <c r="J7" s="49"/>
      <c r="K7" s="49"/>
      <c r="L7" s="49"/>
      <c r="M7" s="49"/>
      <c r="N7" s="50"/>
      <c r="O7" s="50"/>
      <c r="P7" s="50"/>
      <c r="Q7" s="50"/>
      <c r="R7" s="50"/>
      <c r="S7" s="50"/>
      <c r="T7" s="50"/>
      <c r="U7" s="50"/>
      <c r="V7" s="50"/>
      <c r="W7" s="50"/>
      <c r="X7" s="50"/>
      <c r="Y7" s="50"/>
      <c r="Z7" s="50"/>
      <c r="AA7" s="51" t="s">
        <v>18</v>
      </c>
      <c r="AB7" s="49"/>
      <c r="AC7" s="49"/>
      <c r="AD7" s="49"/>
      <c r="AE7" s="49"/>
      <c r="AF7" s="49"/>
      <c r="AG7" s="49"/>
      <c r="AH7" s="49"/>
      <c r="AI7" s="49"/>
      <c r="AJ7" s="49"/>
      <c r="AK7" s="49"/>
      <c r="AL7" s="51" t="s">
        <v>18</v>
      </c>
      <c r="AM7" s="49"/>
      <c r="AN7" s="49"/>
      <c r="AO7" s="49"/>
      <c r="AP7" s="52"/>
      <c r="AQ7" s="53"/>
      <c r="AR7" s="53"/>
      <c r="AS7" s="53"/>
      <c r="AT7" s="53"/>
      <c r="AU7" s="54"/>
    </row>
    <row r="8" ht="17" customHeight="1" spans="1:48">
      <c r="A8" s="45"/>
      <c r="B8" s="45"/>
      <c r="C8" s="45"/>
      <c r="D8" s="45"/>
      <c r="E8" s="55"/>
      <c r="F8" s="55"/>
      <c r="G8" s="55"/>
      <c r="H8" s="55"/>
      <c r="I8" s="55"/>
      <c r="J8" s="55"/>
      <c r="K8" s="55"/>
      <c r="L8" s="55"/>
      <c r="M8" s="55"/>
      <c r="N8" s="56"/>
      <c r="O8" s="56"/>
      <c r="P8" s="56"/>
      <c r="Q8" s="56"/>
      <c r="R8" s="56"/>
      <c r="S8" s="56"/>
      <c r="T8" s="56"/>
      <c r="U8" s="56"/>
      <c r="V8" s="56"/>
      <c r="W8" s="56"/>
      <c r="X8" s="56"/>
      <c r="Y8" s="56"/>
      <c r="Z8" s="56"/>
      <c r="AA8" s="51" t="s">
        <v>18</v>
      </c>
      <c r="AB8" s="55"/>
      <c r="AC8" s="55"/>
      <c r="AD8" s="55"/>
      <c r="AE8" s="55"/>
      <c r="AF8" s="55"/>
      <c r="AG8" s="55"/>
      <c r="AH8" s="55"/>
      <c r="AI8" s="55"/>
      <c r="AJ8" s="55"/>
      <c r="AK8" s="55"/>
      <c r="AL8" s="51" t="s">
        <v>18</v>
      </c>
      <c r="AM8" s="55"/>
      <c r="AN8" s="55"/>
      <c r="AO8" s="55"/>
      <c r="AP8" s="57"/>
      <c r="AQ8" s="58"/>
      <c r="AR8" s="58"/>
      <c r="AS8" s="58"/>
      <c r="AT8" s="58"/>
      <c r="AU8" s="59"/>
    </row>
    <row r="9" ht="17" customHeight="1" spans="1:48">
      <c r="A9" s="45"/>
      <c r="B9" s="45"/>
      <c r="C9" s="45"/>
      <c r="D9" s="45"/>
      <c r="E9" s="49"/>
      <c r="F9" s="49"/>
      <c r="G9" s="49"/>
      <c r="H9" s="49"/>
      <c r="I9" s="49"/>
      <c r="J9" s="49"/>
      <c r="K9" s="49"/>
      <c r="L9" s="49"/>
      <c r="M9" s="49"/>
      <c r="N9" s="50"/>
      <c r="O9" s="50"/>
      <c r="P9" s="50"/>
      <c r="Q9" s="50"/>
      <c r="R9" s="50"/>
      <c r="S9" s="50"/>
      <c r="T9" s="50"/>
      <c r="U9" s="50"/>
      <c r="V9" s="50"/>
      <c r="W9" s="50"/>
      <c r="X9" s="50"/>
      <c r="Y9" s="50"/>
      <c r="Z9" s="50"/>
      <c r="AA9" s="51" t="s">
        <v>18</v>
      </c>
      <c r="AB9" s="49"/>
      <c r="AC9" s="49"/>
      <c r="AD9" s="49"/>
      <c r="AE9" s="49"/>
      <c r="AF9" s="49"/>
      <c r="AG9" s="49"/>
      <c r="AH9" s="49"/>
      <c r="AI9" s="49"/>
      <c r="AJ9" s="49"/>
      <c r="AK9" s="49"/>
      <c r="AL9" s="51" t="s">
        <v>18</v>
      </c>
      <c r="AM9" s="49"/>
      <c r="AN9" s="49"/>
      <c r="AO9" s="49"/>
      <c r="AP9" s="52"/>
      <c r="AQ9" s="53"/>
      <c r="AR9" s="53"/>
      <c r="AS9" s="53"/>
      <c r="AT9" s="53"/>
      <c r="AU9" s="54"/>
    </row>
    <row r="10" ht="17" customHeight="1" spans="1:48">
      <c r="A10" s="45"/>
      <c r="B10" s="45"/>
      <c r="C10" s="45"/>
      <c r="D10" s="45"/>
      <c r="E10" s="55"/>
      <c r="F10" s="55"/>
      <c r="G10" s="55"/>
      <c r="H10" s="55"/>
      <c r="I10" s="55"/>
      <c r="J10" s="55"/>
      <c r="K10" s="55"/>
      <c r="L10" s="55"/>
      <c r="M10" s="55"/>
      <c r="N10" s="56"/>
      <c r="O10" s="56"/>
      <c r="P10" s="56"/>
      <c r="Q10" s="56"/>
      <c r="R10" s="56"/>
      <c r="S10" s="56"/>
      <c r="T10" s="56"/>
      <c r="U10" s="56"/>
      <c r="V10" s="56"/>
      <c r="W10" s="56"/>
      <c r="X10" s="56"/>
      <c r="Y10" s="56"/>
      <c r="Z10" s="56"/>
      <c r="AA10" s="51" t="s">
        <v>18</v>
      </c>
      <c r="AB10" s="55"/>
      <c r="AC10" s="55"/>
      <c r="AD10" s="55"/>
      <c r="AE10" s="55"/>
      <c r="AF10" s="55"/>
      <c r="AG10" s="55"/>
      <c r="AH10" s="55"/>
      <c r="AI10" s="55"/>
      <c r="AJ10" s="55"/>
      <c r="AK10" s="55"/>
      <c r="AL10" s="51" t="s">
        <v>18</v>
      </c>
      <c r="AM10" s="55"/>
      <c r="AN10" s="55"/>
      <c r="AO10" s="55"/>
      <c r="AP10" s="57"/>
      <c r="AQ10" s="58"/>
      <c r="AR10" s="58"/>
      <c r="AS10" s="58"/>
      <c r="AT10" s="58"/>
      <c r="AU10" s="59"/>
    </row>
    <row r="11" ht="17" customHeight="1" spans="1:48">
      <c r="A11" s="45"/>
      <c r="B11" s="45"/>
      <c r="C11" s="45"/>
      <c r="D11" s="45"/>
      <c r="E11" s="49"/>
      <c r="F11" s="49"/>
      <c r="G11" s="49"/>
      <c r="H11" s="49"/>
      <c r="I11" s="49"/>
      <c r="J11" s="49"/>
      <c r="K11" s="49"/>
      <c r="L11" s="49"/>
      <c r="M11" s="49"/>
      <c r="N11" s="50"/>
      <c r="O11" s="50"/>
      <c r="P11" s="50"/>
      <c r="Q11" s="50"/>
      <c r="R11" s="50"/>
      <c r="S11" s="50"/>
      <c r="T11" s="50"/>
      <c r="U11" s="50"/>
      <c r="V11" s="50"/>
      <c r="W11" s="50"/>
      <c r="X11" s="50"/>
      <c r="Y11" s="50"/>
      <c r="Z11" s="50"/>
      <c r="AA11" s="51" t="s">
        <v>18</v>
      </c>
      <c r="AB11" s="49"/>
      <c r="AC11" s="49"/>
      <c r="AD11" s="49"/>
      <c r="AE11" s="49"/>
      <c r="AF11" s="49"/>
      <c r="AG11" s="49"/>
      <c r="AH11" s="49"/>
      <c r="AI11" s="49"/>
      <c r="AJ11" s="49"/>
      <c r="AK11" s="49"/>
      <c r="AL11" s="51" t="s">
        <v>18</v>
      </c>
      <c r="AM11" s="49"/>
      <c r="AN11" s="49"/>
      <c r="AO11" s="49"/>
      <c r="AP11" s="52"/>
      <c r="AQ11" s="53"/>
      <c r="AR11" s="53"/>
      <c r="AS11" s="53"/>
      <c r="AT11" s="53"/>
      <c r="AU11" s="54"/>
    </row>
    <row r="12" ht="17" customHeight="1" spans="1:48">
      <c r="A12" s="45"/>
      <c r="B12" s="45"/>
      <c r="C12" s="45"/>
      <c r="D12" s="45"/>
      <c r="E12" s="55"/>
      <c r="F12" s="55"/>
      <c r="G12" s="55"/>
      <c r="H12" s="55"/>
      <c r="I12" s="55"/>
      <c r="J12" s="55"/>
      <c r="K12" s="55"/>
      <c r="L12" s="55"/>
      <c r="M12" s="55"/>
      <c r="N12" s="56"/>
      <c r="O12" s="56"/>
      <c r="P12" s="56"/>
      <c r="Q12" s="56"/>
      <c r="R12" s="56"/>
      <c r="S12" s="56"/>
      <c r="T12" s="56"/>
      <c r="U12" s="56"/>
      <c r="V12" s="56"/>
      <c r="W12" s="56"/>
      <c r="X12" s="56"/>
      <c r="Y12" s="56"/>
      <c r="Z12" s="56"/>
      <c r="AA12" s="51" t="s">
        <v>18</v>
      </c>
      <c r="AB12" s="55"/>
      <c r="AC12" s="55"/>
      <c r="AD12" s="55"/>
      <c r="AE12" s="55"/>
      <c r="AF12" s="55"/>
      <c r="AG12" s="55"/>
      <c r="AH12" s="55"/>
      <c r="AI12" s="55"/>
      <c r="AJ12" s="55"/>
      <c r="AK12" s="55"/>
      <c r="AL12" s="51" t="s">
        <v>18</v>
      </c>
      <c r="AM12" s="55"/>
      <c r="AN12" s="55"/>
      <c r="AO12" s="55"/>
      <c r="AP12" s="57"/>
      <c r="AQ12" s="58"/>
      <c r="AR12" s="58"/>
      <c r="AS12" s="58"/>
      <c r="AT12" s="58"/>
      <c r="AU12" s="59"/>
    </row>
    <row r="13" ht="17" customHeight="1" spans="1:48">
      <c r="A13" s="45"/>
      <c r="B13" s="45"/>
      <c r="C13" s="45"/>
      <c r="D13" s="45"/>
      <c r="E13" s="46" t="s">
        <v>15</v>
      </c>
      <c r="F13" s="46" t="s">
        <v>142</v>
      </c>
      <c r="G13" s="46"/>
      <c r="H13" s="46"/>
      <c r="I13" s="46"/>
      <c r="J13" s="46"/>
      <c r="K13" s="46"/>
      <c r="L13" s="46"/>
      <c r="M13" s="46"/>
      <c r="N13" s="46" t="s">
        <v>1763</v>
      </c>
      <c r="O13" s="46"/>
      <c r="P13" s="46"/>
      <c r="Q13" s="46"/>
      <c r="R13" s="46"/>
      <c r="S13" s="46"/>
      <c r="T13" s="46"/>
      <c r="U13" s="46"/>
      <c r="V13" s="46"/>
      <c r="W13" s="46"/>
      <c r="X13" s="46"/>
      <c r="Y13" s="46"/>
      <c r="Z13" s="46"/>
      <c r="AA13" s="45"/>
      <c r="AB13" s="47" t="s">
        <v>1764</v>
      </c>
      <c r="AC13" s="47"/>
      <c r="AD13" s="47" t="s">
        <v>1765</v>
      </c>
      <c r="AE13" s="47"/>
      <c r="AF13" s="47"/>
      <c r="AG13" s="47" t="s">
        <v>1766</v>
      </c>
      <c r="AH13" s="47"/>
      <c r="AI13" s="47"/>
      <c r="AJ13" s="47" t="s">
        <v>1767</v>
      </c>
      <c r="AK13" s="47"/>
      <c r="AL13" s="45"/>
      <c r="AM13" s="47" t="s">
        <v>1768</v>
      </c>
      <c r="AN13" s="47"/>
      <c r="AO13" s="47"/>
      <c r="AP13" s="47" t="s">
        <v>1769</v>
      </c>
      <c r="AQ13" s="47"/>
      <c r="AR13" s="47"/>
      <c r="AS13" s="47"/>
      <c r="AT13" s="47"/>
      <c r="AU13" s="47"/>
    </row>
    <row r="14" ht="17" customHeight="1" spans="1:48">
      <c r="A14" s="45"/>
      <c r="B14" s="45"/>
      <c r="C14" s="45"/>
      <c r="D14" s="45"/>
      <c r="E14" s="49"/>
      <c r="F14" s="49"/>
      <c r="G14" s="49"/>
      <c r="H14" s="49"/>
      <c r="I14" s="49"/>
      <c r="J14" s="49"/>
      <c r="K14" s="49"/>
      <c r="L14" s="49"/>
      <c r="M14" s="49"/>
      <c r="N14" s="50"/>
      <c r="O14" s="50"/>
      <c r="P14" s="50"/>
      <c r="Q14" s="50"/>
      <c r="R14" s="50"/>
      <c r="S14" s="50"/>
      <c r="T14" s="50"/>
      <c r="U14" s="50"/>
      <c r="V14" s="50"/>
      <c r="W14" s="50"/>
      <c r="X14" s="50"/>
      <c r="Y14" s="50"/>
      <c r="Z14" s="50"/>
      <c r="AA14" s="51" t="s">
        <v>18</v>
      </c>
      <c r="AB14" s="49"/>
      <c r="AC14" s="49"/>
      <c r="AD14" s="49"/>
      <c r="AE14" s="49"/>
      <c r="AF14" s="49"/>
      <c r="AG14" s="49"/>
      <c r="AH14" s="49"/>
      <c r="AI14" s="49"/>
      <c r="AJ14" s="49"/>
      <c r="AK14" s="49"/>
      <c r="AL14" s="51" t="s">
        <v>18</v>
      </c>
      <c r="AM14" s="49"/>
      <c r="AN14" s="49"/>
      <c r="AO14" s="49"/>
      <c r="AP14" s="52"/>
      <c r="AQ14" s="53"/>
      <c r="AR14" s="53"/>
      <c r="AS14" s="53"/>
      <c r="AT14" s="53"/>
      <c r="AU14" s="54"/>
    </row>
    <row r="15" ht="17" customHeight="1" spans="1:48">
      <c r="A15" s="45"/>
      <c r="B15" s="45"/>
      <c r="C15" s="45"/>
      <c r="D15" s="45"/>
      <c r="E15" s="55"/>
      <c r="F15" s="55"/>
      <c r="G15" s="55"/>
      <c r="H15" s="55"/>
      <c r="I15" s="55"/>
      <c r="J15" s="55"/>
      <c r="K15" s="55"/>
      <c r="L15" s="55"/>
      <c r="M15" s="55"/>
      <c r="N15" s="56"/>
      <c r="O15" s="56"/>
      <c r="P15" s="56"/>
      <c r="Q15" s="56"/>
      <c r="R15" s="56"/>
      <c r="S15" s="56"/>
      <c r="T15" s="56"/>
      <c r="U15" s="56"/>
      <c r="V15" s="56"/>
      <c r="W15" s="56"/>
      <c r="X15" s="56"/>
      <c r="Y15" s="56"/>
      <c r="Z15" s="56"/>
      <c r="AA15" s="51" t="s">
        <v>18</v>
      </c>
      <c r="AB15" s="55"/>
      <c r="AC15" s="55"/>
      <c r="AD15" s="55"/>
      <c r="AE15" s="55"/>
      <c r="AF15" s="55"/>
      <c r="AG15" s="55"/>
      <c r="AH15" s="55"/>
      <c r="AI15" s="55"/>
      <c r="AJ15" s="55"/>
      <c r="AK15" s="55"/>
      <c r="AL15" s="51" t="s">
        <v>18</v>
      </c>
      <c r="AM15" s="55"/>
      <c r="AN15" s="55"/>
      <c r="AO15" s="55"/>
      <c r="AP15" s="57"/>
      <c r="AQ15" s="58"/>
      <c r="AR15" s="58"/>
      <c r="AS15" s="58"/>
      <c r="AT15" s="58"/>
      <c r="AU15" s="59"/>
    </row>
    <row r="16" ht="17" customHeight="1" spans="1:48">
      <c r="A16" s="45"/>
      <c r="B16" s="45"/>
      <c r="C16" s="45"/>
      <c r="D16" s="45"/>
      <c r="E16" s="49"/>
      <c r="F16" s="49"/>
      <c r="G16" s="49"/>
      <c r="H16" s="49"/>
      <c r="I16" s="49"/>
      <c r="J16" s="49"/>
      <c r="K16" s="49"/>
      <c r="L16" s="49"/>
      <c r="M16" s="49"/>
      <c r="N16" s="50"/>
      <c r="O16" s="50"/>
      <c r="P16" s="50"/>
      <c r="Q16" s="50"/>
      <c r="R16" s="50"/>
      <c r="S16" s="50"/>
      <c r="T16" s="50"/>
      <c r="U16" s="50"/>
      <c r="V16" s="50"/>
      <c r="W16" s="50"/>
      <c r="X16" s="50"/>
      <c r="Y16" s="50"/>
      <c r="Z16" s="50"/>
      <c r="AA16" s="51" t="s">
        <v>18</v>
      </c>
      <c r="AB16" s="49"/>
      <c r="AC16" s="49"/>
      <c r="AD16" s="49"/>
      <c r="AE16" s="49"/>
      <c r="AF16" s="49"/>
      <c r="AG16" s="49"/>
      <c r="AH16" s="49"/>
      <c r="AI16" s="49"/>
      <c r="AJ16" s="49"/>
      <c r="AK16" s="49"/>
      <c r="AL16" s="51" t="s">
        <v>18</v>
      </c>
      <c r="AM16" s="49"/>
      <c r="AN16" s="49"/>
      <c r="AO16" s="49"/>
      <c r="AP16" s="52"/>
      <c r="AQ16" s="53"/>
      <c r="AR16" s="53"/>
      <c r="AS16" s="53"/>
      <c r="AT16" s="53"/>
      <c r="AU16" s="54"/>
    </row>
    <row r="17" ht="17" customHeight="1" spans="1:47">
      <c r="A17" s="45"/>
      <c r="B17" s="45"/>
      <c r="C17" s="45"/>
      <c r="D17" s="45"/>
      <c r="E17" s="55"/>
      <c r="F17" s="55"/>
      <c r="G17" s="55"/>
      <c r="H17" s="55"/>
      <c r="I17" s="55"/>
      <c r="J17" s="55"/>
      <c r="K17" s="55"/>
      <c r="L17" s="55"/>
      <c r="M17" s="55"/>
      <c r="N17" s="56"/>
      <c r="O17" s="56"/>
      <c r="P17" s="56"/>
      <c r="Q17" s="56"/>
      <c r="R17" s="56"/>
      <c r="S17" s="56"/>
      <c r="T17" s="56"/>
      <c r="U17" s="56"/>
      <c r="V17" s="56"/>
      <c r="W17" s="56"/>
      <c r="X17" s="56"/>
      <c r="Y17" s="56"/>
      <c r="Z17" s="56"/>
      <c r="AA17" s="51" t="s">
        <v>18</v>
      </c>
      <c r="AB17" s="55"/>
      <c r="AC17" s="55"/>
      <c r="AD17" s="55"/>
      <c r="AE17" s="55"/>
      <c r="AF17" s="55"/>
      <c r="AG17" s="55"/>
      <c r="AH17" s="55"/>
      <c r="AI17" s="55"/>
      <c r="AJ17" s="55"/>
      <c r="AK17" s="55"/>
      <c r="AL17" s="51" t="s">
        <v>18</v>
      </c>
      <c r="AM17" s="55"/>
      <c r="AN17" s="55"/>
      <c r="AO17" s="55"/>
      <c r="AP17" s="57"/>
      <c r="AQ17" s="58"/>
      <c r="AR17" s="58"/>
      <c r="AS17" s="58"/>
      <c r="AT17" s="58"/>
      <c r="AU17" s="59"/>
    </row>
    <row r="18" ht="17" customHeight="1" spans="1:47">
      <c r="A18" s="45"/>
      <c r="B18" s="45"/>
      <c r="C18" s="45"/>
      <c r="D18" s="45"/>
      <c r="E18" s="49"/>
      <c r="F18" s="49"/>
      <c r="G18" s="49"/>
      <c r="H18" s="49"/>
      <c r="I18" s="49"/>
      <c r="J18" s="49"/>
      <c r="K18" s="49"/>
      <c r="L18" s="49"/>
      <c r="M18" s="49"/>
      <c r="N18" s="50"/>
      <c r="O18" s="50"/>
      <c r="P18" s="50"/>
      <c r="Q18" s="50"/>
      <c r="R18" s="50"/>
      <c r="S18" s="50"/>
      <c r="T18" s="50"/>
      <c r="U18" s="50"/>
      <c r="V18" s="50"/>
      <c r="W18" s="50"/>
      <c r="X18" s="50"/>
      <c r="Y18" s="50"/>
      <c r="Z18" s="50"/>
      <c r="AA18" s="51" t="s">
        <v>18</v>
      </c>
      <c r="AB18" s="49"/>
      <c r="AC18" s="49"/>
      <c r="AD18" s="49"/>
      <c r="AE18" s="49"/>
      <c r="AF18" s="49"/>
      <c r="AG18" s="49"/>
      <c r="AH18" s="49"/>
      <c r="AI18" s="49"/>
      <c r="AJ18" s="49"/>
      <c r="AK18" s="49"/>
      <c r="AL18" s="51" t="s">
        <v>18</v>
      </c>
      <c r="AM18" s="49"/>
      <c r="AN18" s="49"/>
      <c r="AO18" s="49"/>
      <c r="AP18" s="52"/>
      <c r="AQ18" s="53"/>
      <c r="AR18" s="53"/>
      <c r="AS18" s="53"/>
      <c r="AT18" s="53"/>
      <c r="AU18" s="54"/>
    </row>
    <row r="19" ht="17" customHeight="1" spans="1:47">
      <c r="A19" s="45"/>
      <c r="B19" s="45"/>
      <c r="C19" s="45"/>
      <c r="D19" s="45"/>
      <c r="E19" s="55"/>
      <c r="F19" s="55"/>
      <c r="G19" s="55"/>
      <c r="H19" s="55"/>
      <c r="I19" s="55"/>
      <c r="J19" s="55"/>
      <c r="K19" s="55"/>
      <c r="L19" s="55"/>
      <c r="M19" s="55"/>
      <c r="N19" s="56"/>
      <c r="O19" s="56"/>
      <c r="P19" s="56"/>
      <c r="Q19" s="56"/>
      <c r="R19" s="56"/>
      <c r="S19" s="56"/>
      <c r="T19" s="56"/>
      <c r="U19" s="56"/>
      <c r="V19" s="56"/>
      <c r="W19" s="56"/>
      <c r="X19" s="56"/>
      <c r="Y19" s="56"/>
      <c r="Z19" s="56"/>
      <c r="AA19" s="51" t="s">
        <v>18</v>
      </c>
      <c r="AB19" s="55"/>
      <c r="AC19" s="55"/>
      <c r="AD19" s="55"/>
      <c r="AE19" s="55"/>
      <c r="AF19" s="55"/>
      <c r="AG19" s="55"/>
      <c r="AH19" s="55"/>
      <c r="AI19" s="55"/>
      <c r="AJ19" s="55"/>
      <c r="AK19" s="55"/>
      <c r="AL19" s="51" t="s">
        <v>18</v>
      </c>
      <c r="AM19" s="55"/>
      <c r="AN19" s="55"/>
      <c r="AO19" s="55"/>
      <c r="AP19" s="57"/>
      <c r="AQ19" s="58"/>
      <c r="AR19" s="58"/>
      <c r="AS19" s="58"/>
      <c r="AT19" s="58"/>
      <c r="AU19" s="59"/>
    </row>
    <row r="20" ht="17" customHeight="1" spans="1:47">
      <c r="A20" s="45"/>
      <c r="B20" s="45"/>
      <c r="C20" s="45"/>
      <c r="D20" s="45"/>
      <c r="E20" s="49"/>
      <c r="F20" s="49"/>
      <c r="G20" s="49"/>
      <c r="H20" s="49"/>
      <c r="I20" s="49"/>
      <c r="J20" s="49"/>
      <c r="K20" s="49"/>
      <c r="L20" s="49"/>
      <c r="M20" s="49"/>
      <c r="N20" s="50"/>
      <c r="O20" s="50"/>
      <c r="P20" s="50"/>
      <c r="Q20" s="50"/>
      <c r="R20" s="50"/>
      <c r="S20" s="50"/>
      <c r="T20" s="50"/>
      <c r="U20" s="50"/>
      <c r="V20" s="50"/>
      <c r="W20" s="50"/>
      <c r="X20" s="50"/>
      <c r="Y20" s="50"/>
      <c r="Z20" s="50"/>
      <c r="AA20" s="51" t="s">
        <v>18</v>
      </c>
      <c r="AB20" s="49"/>
      <c r="AC20" s="49"/>
      <c r="AD20" s="49"/>
      <c r="AE20" s="49"/>
      <c r="AF20" s="49"/>
      <c r="AG20" s="49"/>
      <c r="AH20" s="49"/>
      <c r="AI20" s="49"/>
      <c r="AJ20" s="49"/>
      <c r="AK20" s="49"/>
      <c r="AL20" s="51" t="s">
        <v>18</v>
      </c>
      <c r="AM20" s="49"/>
      <c r="AN20" s="49"/>
      <c r="AO20" s="49"/>
      <c r="AP20" s="52"/>
      <c r="AQ20" s="53"/>
      <c r="AR20" s="53"/>
      <c r="AS20" s="53"/>
      <c r="AT20" s="53"/>
      <c r="AU20" s="54"/>
    </row>
    <row r="21" ht="17" customHeight="1" spans="1:47">
      <c r="A21" s="45"/>
      <c r="B21" s="45"/>
      <c r="C21" s="45"/>
      <c r="D21" s="45"/>
      <c r="E21" s="55"/>
      <c r="F21" s="55"/>
      <c r="G21" s="55"/>
      <c r="H21" s="55"/>
      <c r="I21" s="55"/>
      <c r="J21" s="55"/>
      <c r="K21" s="55"/>
      <c r="L21" s="55"/>
      <c r="M21" s="55"/>
      <c r="N21" s="56"/>
      <c r="O21" s="56"/>
      <c r="P21" s="56"/>
      <c r="Q21" s="56"/>
      <c r="R21" s="56"/>
      <c r="S21" s="56"/>
      <c r="T21" s="56"/>
      <c r="U21" s="56"/>
      <c r="V21" s="56"/>
      <c r="W21" s="56"/>
      <c r="X21" s="56"/>
      <c r="Y21" s="56"/>
      <c r="Z21" s="56"/>
      <c r="AA21" s="51" t="s">
        <v>18</v>
      </c>
      <c r="AB21" s="55"/>
      <c r="AC21" s="55"/>
      <c r="AD21" s="55"/>
      <c r="AE21" s="55"/>
      <c r="AF21" s="55"/>
      <c r="AG21" s="55"/>
      <c r="AH21" s="55"/>
      <c r="AI21" s="55"/>
      <c r="AJ21" s="55"/>
      <c r="AK21" s="55"/>
      <c r="AL21" s="51" t="s">
        <v>18</v>
      </c>
      <c r="AM21" s="55"/>
      <c r="AN21" s="55"/>
      <c r="AO21" s="55"/>
      <c r="AP21" s="57"/>
      <c r="AQ21" s="58"/>
      <c r="AR21" s="58"/>
      <c r="AS21" s="58"/>
      <c r="AT21" s="58"/>
      <c r="AU21" s="59"/>
    </row>
    <row r="22" ht="17" customHeight="1" spans="1:47">
      <c r="A22" s="45"/>
      <c r="B22" s="45"/>
      <c r="C22" s="45"/>
      <c r="D22" s="45"/>
      <c r="E22" s="49"/>
      <c r="F22" s="49"/>
      <c r="G22" s="49"/>
      <c r="H22" s="49"/>
      <c r="I22" s="49"/>
      <c r="J22" s="49"/>
      <c r="K22" s="49"/>
      <c r="L22" s="49"/>
      <c r="M22" s="49"/>
      <c r="N22" s="50"/>
      <c r="O22" s="50"/>
      <c r="P22" s="50"/>
      <c r="Q22" s="50"/>
      <c r="R22" s="50"/>
      <c r="S22" s="50"/>
      <c r="T22" s="50"/>
      <c r="U22" s="50"/>
      <c r="V22" s="50"/>
      <c r="W22" s="50"/>
      <c r="X22" s="50"/>
      <c r="Y22" s="50"/>
      <c r="Z22" s="50"/>
      <c r="AA22" s="51" t="s">
        <v>18</v>
      </c>
      <c r="AB22" s="49"/>
      <c r="AC22" s="49"/>
      <c r="AD22" s="49"/>
      <c r="AE22" s="49"/>
      <c r="AF22" s="49"/>
      <c r="AG22" s="49"/>
      <c r="AH22" s="49"/>
      <c r="AI22" s="49"/>
      <c r="AJ22" s="49"/>
      <c r="AK22" s="49"/>
      <c r="AL22" s="51" t="s">
        <v>18</v>
      </c>
      <c r="AM22" s="49"/>
      <c r="AN22" s="49"/>
      <c r="AO22" s="49"/>
      <c r="AP22" s="52"/>
      <c r="AQ22" s="53"/>
      <c r="AR22" s="53"/>
      <c r="AS22" s="53"/>
      <c r="AT22" s="53"/>
      <c r="AU22" s="54"/>
    </row>
    <row r="23" ht="17" customHeight="1" spans="1:47">
      <c r="A23" s="45"/>
      <c r="B23" s="45"/>
      <c r="C23" s="45"/>
      <c r="D23" s="45"/>
      <c r="E23" s="55"/>
      <c r="F23" s="55"/>
      <c r="G23" s="55"/>
      <c r="H23" s="55"/>
      <c r="I23" s="55"/>
      <c r="J23" s="55"/>
      <c r="K23" s="55"/>
      <c r="L23" s="55"/>
      <c r="M23" s="55"/>
      <c r="N23" s="56"/>
      <c r="O23" s="56"/>
      <c r="P23" s="56"/>
      <c r="Q23" s="56"/>
      <c r="R23" s="56"/>
      <c r="S23" s="56"/>
      <c r="T23" s="56"/>
      <c r="U23" s="56"/>
      <c r="V23" s="56"/>
      <c r="W23" s="56"/>
      <c r="X23" s="56"/>
      <c r="Y23" s="56"/>
      <c r="Z23" s="56"/>
      <c r="AA23" s="51" t="s">
        <v>18</v>
      </c>
      <c r="AB23" s="55"/>
      <c r="AC23" s="55"/>
      <c r="AD23" s="55"/>
      <c r="AE23" s="55"/>
      <c r="AF23" s="55"/>
      <c r="AG23" s="55"/>
      <c r="AH23" s="55"/>
      <c r="AI23" s="55"/>
      <c r="AJ23" s="55"/>
      <c r="AK23" s="55"/>
      <c r="AL23" s="51" t="s">
        <v>18</v>
      </c>
      <c r="AM23" s="55"/>
      <c r="AN23" s="55"/>
      <c r="AO23" s="55"/>
      <c r="AP23" s="57"/>
      <c r="AQ23" s="58"/>
      <c r="AR23" s="58"/>
      <c r="AS23" s="58"/>
      <c r="AT23" s="58"/>
      <c r="AU23" s="59"/>
    </row>
    <row r="24" ht="17" customHeight="1" spans="1:47">
      <c r="A24" s="45"/>
      <c r="B24" s="45"/>
      <c r="C24" s="45"/>
      <c r="D24" s="45"/>
      <c r="E24" s="46" t="s">
        <v>15</v>
      </c>
      <c r="F24" s="46" t="s">
        <v>142</v>
      </c>
      <c r="G24" s="46"/>
      <c r="H24" s="46"/>
      <c r="I24" s="46"/>
      <c r="J24" s="46"/>
      <c r="K24" s="46"/>
      <c r="L24" s="46"/>
      <c r="M24" s="46"/>
      <c r="N24" s="46" t="s">
        <v>1763</v>
      </c>
      <c r="O24" s="46"/>
      <c r="P24" s="46"/>
      <c r="Q24" s="46"/>
      <c r="R24" s="46"/>
      <c r="S24" s="46"/>
      <c r="T24" s="46"/>
      <c r="U24" s="46"/>
      <c r="V24" s="46"/>
      <c r="W24" s="46"/>
      <c r="X24" s="46"/>
      <c r="Y24" s="46"/>
      <c r="Z24" s="46"/>
      <c r="AA24" s="45"/>
      <c r="AB24" s="47" t="s">
        <v>1764</v>
      </c>
      <c r="AC24" s="47"/>
      <c r="AD24" s="47" t="s">
        <v>1765</v>
      </c>
      <c r="AE24" s="47"/>
      <c r="AF24" s="47"/>
      <c r="AG24" s="47" t="s">
        <v>1766</v>
      </c>
      <c r="AH24" s="47"/>
      <c r="AI24" s="47"/>
      <c r="AJ24" s="47" t="s">
        <v>1767</v>
      </c>
      <c r="AK24" s="47"/>
      <c r="AL24" s="45"/>
      <c r="AM24" s="47" t="s">
        <v>1768</v>
      </c>
      <c r="AN24" s="47"/>
      <c r="AO24" s="47"/>
      <c r="AP24" s="47" t="s">
        <v>1769</v>
      </c>
      <c r="AQ24" s="47"/>
      <c r="AR24" s="47"/>
      <c r="AS24" s="47"/>
      <c r="AT24" s="47"/>
      <c r="AU24" s="47"/>
    </row>
    <row r="25" ht="17" customHeight="1" spans="1:47">
      <c r="A25" s="45"/>
      <c r="B25" s="45"/>
      <c r="C25" s="45"/>
      <c r="D25" s="45"/>
      <c r="E25" s="49"/>
      <c r="F25" s="49"/>
      <c r="G25" s="49"/>
      <c r="H25" s="49"/>
      <c r="I25" s="49"/>
      <c r="J25" s="49"/>
      <c r="K25" s="49"/>
      <c r="L25" s="49"/>
      <c r="M25" s="49"/>
      <c r="N25" s="50"/>
      <c r="O25" s="50"/>
      <c r="P25" s="50"/>
      <c r="Q25" s="50"/>
      <c r="R25" s="50"/>
      <c r="S25" s="50"/>
      <c r="T25" s="50"/>
      <c r="U25" s="50"/>
      <c r="V25" s="50"/>
      <c r="W25" s="50"/>
      <c r="X25" s="50"/>
      <c r="Y25" s="50"/>
      <c r="Z25" s="50"/>
      <c r="AA25" s="51" t="s">
        <v>18</v>
      </c>
      <c r="AB25" s="49"/>
      <c r="AC25" s="49"/>
      <c r="AD25" s="49"/>
      <c r="AE25" s="49"/>
      <c r="AF25" s="49"/>
      <c r="AG25" s="49"/>
      <c r="AH25" s="49"/>
      <c r="AI25" s="49"/>
      <c r="AJ25" s="49"/>
      <c r="AK25" s="49"/>
      <c r="AL25" s="51" t="s">
        <v>18</v>
      </c>
      <c r="AM25" s="49"/>
      <c r="AN25" s="49"/>
      <c r="AO25" s="49"/>
      <c r="AP25" s="52"/>
      <c r="AQ25" s="53"/>
      <c r="AR25" s="53"/>
      <c r="AS25" s="53"/>
      <c r="AT25" s="53"/>
      <c r="AU25" s="54"/>
    </row>
    <row r="26" ht="17" customHeight="1" spans="1:47">
      <c r="A26" s="45"/>
      <c r="B26" s="45"/>
      <c r="C26" s="45"/>
      <c r="D26" s="45"/>
      <c r="E26" s="55"/>
      <c r="F26" s="55"/>
      <c r="G26" s="55"/>
      <c r="H26" s="55"/>
      <c r="I26" s="55"/>
      <c r="J26" s="55"/>
      <c r="K26" s="55"/>
      <c r="L26" s="55"/>
      <c r="M26" s="55"/>
      <c r="N26" s="56"/>
      <c r="O26" s="56"/>
      <c r="P26" s="56"/>
      <c r="Q26" s="56"/>
      <c r="R26" s="56"/>
      <c r="S26" s="56"/>
      <c r="T26" s="56"/>
      <c r="U26" s="56"/>
      <c r="V26" s="56"/>
      <c r="W26" s="56"/>
      <c r="X26" s="56"/>
      <c r="Y26" s="56"/>
      <c r="Z26" s="56"/>
      <c r="AA26" s="51" t="s">
        <v>18</v>
      </c>
      <c r="AB26" s="55"/>
      <c r="AC26" s="55"/>
      <c r="AD26" s="55"/>
      <c r="AE26" s="55"/>
      <c r="AF26" s="55"/>
      <c r="AG26" s="55"/>
      <c r="AH26" s="55"/>
      <c r="AI26" s="55"/>
      <c r="AJ26" s="55"/>
      <c r="AK26" s="55"/>
      <c r="AL26" s="51" t="s">
        <v>18</v>
      </c>
      <c r="AM26" s="55"/>
      <c r="AN26" s="55"/>
      <c r="AO26" s="55"/>
      <c r="AP26" s="57"/>
      <c r="AQ26" s="58"/>
      <c r="AR26" s="58"/>
      <c r="AS26" s="58"/>
      <c r="AT26" s="58"/>
      <c r="AU26" s="59"/>
    </row>
    <row r="27" ht="17" customHeight="1" spans="1:47">
      <c r="A27" s="45"/>
      <c r="B27" s="45"/>
      <c r="C27" s="45"/>
      <c r="D27" s="45"/>
      <c r="E27" s="49"/>
      <c r="F27" s="49"/>
      <c r="G27" s="49"/>
      <c r="H27" s="49"/>
      <c r="I27" s="49"/>
      <c r="J27" s="49"/>
      <c r="K27" s="49"/>
      <c r="L27" s="49"/>
      <c r="M27" s="49"/>
      <c r="N27" s="50"/>
      <c r="O27" s="50"/>
      <c r="P27" s="50"/>
      <c r="Q27" s="50"/>
      <c r="R27" s="50"/>
      <c r="S27" s="50"/>
      <c r="T27" s="50"/>
      <c r="U27" s="50"/>
      <c r="V27" s="50"/>
      <c r="W27" s="50"/>
      <c r="X27" s="50"/>
      <c r="Y27" s="50"/>
      <c r="Z27" s="50"/>
      <c r="AA27" s="51" t="s">
        <v>18</v>
      </c>
      <c r="AB27" s="49"/>
      <c r="AC27" s="49"/>
      <c r="AD27" s="49"/>
      <c r="AE27" s="49"/>
      <c r="AF27" s="49"/>
      <c r="AG27" s="49"/>
      <c r="AH27" s="49"/>
      <c r="AI27" s="49"/>
      <c r="AJ27" s="49"/>
      <c r="AK27" s="49"/>
      <c r="AL27" s="51" t="s">
        <v>18</v>
      </c>
      <c r="AM27" s="49"/>
      <c r="AN27" s="49"/>
      <c r="AO27" s="49"/>
      <c r="AP27" s="52"/>
      <c r="AQ27" s="53"/>
      <c r="AR27" s="53"/>
      <c r="AS27" s="53"/>
      <c r="AT27" s="53"/>
      <c r="AU27" s="54"/>
    </row>
    <row r="28" ht="17" customHeight="1" spans="1:47">
      <c r="A28" s="45"/>
      <c r="B28" s="45"/>
      <c r="C28" s="45"/>
      <c r="D28" s="45"/>
      <c r="E28" s="55"/>
      <c r="F28" s="55"/>
      <c r="G28" s="55"/>
      <c r="H28" s="55"/>
      <c r="I28" s="55"/>
      <c r="J28" s="55"/>
      <c r="K28" s="55"/>
      <c r="L28" s="55"/>
      <c r="M28" s="55"/>
      <c r="N28" s="56"/>
      <c r="O28" s="56"/>
      <c r="P28" s="56"/>
      <c r="Q28" s="56"/>
      <c r="R28" s="56"/>
      <c r="S28" s="56"/>
      <c r="T28" s="56"/>
      <c r="U28" s="56"/>
      <c r="V28" s="56"/>
      <c r="W28" s="56"/>
      <c r="X28" s="56"/>
      <c r="Y28" s="56"/>
      <c r="Z28" s="56"/>
      <c r="AA28" s="51" t="s">
        <v>18</v>
      </c>
      <c r="AB28" s="55"/>
      <c r="AC28" s="55"/>
      <c r="AD28" s="55"/>
      <c r="AE28" s="55"/>
      <c r="AF28" s="55"/>
      <c r="AG28" s="55"/>
      <c r="AH28" s="55"/>
      <c r="AI28" s="55"/>
      <c r="AJ28" s="55"/>
      <c r="AK28" s="55"/>
      <c r="AL28" s="51" t="s">
        <v>18</v>
      </c>
      <c r="AM28" s="55"/>
      <c r="AN28" s="55"/>
      <c r="AO28" s="55"/>
      <c r="AP28" s="57"/>
      <c r="AQ28" s="58"/>
      <c r="AR28" s="58"/>
      <c r="AS28" s="58"/>
      <c r="AT28" s="58"/>
      <c r="AU28" s="59"/>
    </row>
    <row r="29" ht="17" customHeight="1" spans="1:47">
      <c r="A29" s="45"/>
      <c r="B29" s="45"/>
      <c r="C29" s="45"/>
      <c r="D29" s="45"/>
      <c r="E29" s="49"/>
      <c r="F29" s="49"/>
      <c r="G29" s="49"/>
      <c r="H29" s="49"/>
      <c r="I29" s="49"/>
      <c r="J29" s="49"/>
      <c r="K29" s="49"/>
      <c r="L29" s="49"/>
      <c r="M29" s="49"/>
      <c r="N29" s="50"/>
      <c r="O29" s="50"/>
      <c r="P29" s="50"/>
      <c r="Q29" s="50"/>
      <c r="R29" s="50"/>
      <c r="S29" s="50"/>
      <c r="T29" s="50"/>
      <c r="U29" s="50"/>
      <c r="V29" s="50"/>
      <c r="W29" s="50"/>
      <c r="X29" s="50"/>
      <c r="Y29" s="50"/>
      <c r="Z29" s="50"/>
      <c r="AA29" s="51" t="s">
        <v>18</v>
      </c>
      <c r="AB29" s="49"/>
      <c r="AC29" s="49"/>
      <c r="AD29" s="49"/>
      <c r="AE29" s="49"/>
      <c r="AF29" s="49"/>
      <c r="AG29" s="49"/>
      <c r="AH29" s="49"/>
      <c r="AI29" s="49"/>
      <c r="AJ29" s="49"/>
      <c r="AK29" s="49"/>
      <c r="AL29" s="51" t="s">
        <v>18</v>
      </c>
      <c r="AM29" s="49"/>
      <c r="AN29" s="49"/>
      <c r="AO29" s="49"/>
      <c r="AP29" s="52"/>
      <c r="AQ29" s="53"/>
      <c r="AR29" s="53"/>
      <c r="AS29" s="53"/>
      <c r="AT29" s="53"/>
      <c r="AU29" s="54"/>
    </row>
    <row r="30" ht="17" customHeight="1" spans="1:47">
      <c r="A30" s="45"/>
      <c r="B30" s="45"/>
      <c r="C30" s="45"/>
      <c r="D30" s="45"/>
      <c r="E30" s="55"/>
      <c r="F30" s="55"/>
      <c r="G30" s="55"/>
      <c r="H30" s="55"/>
      <c r="I30" s="55"/>
      <c r="J30" s="55"/>
      <c r="K30" s="55"/>
      <c r="L30" s="55"/>
      <c r="M30" s="55"/>
      <c r="N30" s="56"/>
      <c r="O30" s="56"/>
      <c r="P30" s="56"/>
      <c r="Q30" s="56"/>
      <c r="R30" s="56"/>
      <c r="S30" s="56"/>
      <c r="T30" s="56"/>
      <c r="U30" s="56"/>
      <c r="V30" s="56"/>
      <c r="W30" s="56"/>
      <c r="X30" s="56"/>
      <c r="Y30" s="56"/>
      <c r="Z30" s="56"/>
      <c r="AA30" s="51" t="s">
        <v>18</v>
      </c>
      <c r="AB30" s="55"/>
      <c r="AC30" s="55"/>
      <c r="AD30" s="55"/>
      <c r="AE30" s="55"/>
      <c r="AF30" s="55"/>
      <c r="AG30" s="55"/>
      <c r="AH30" s="55"/>
      <c r="AI30" s="55"/>
      <c r="AJ30" s="55"/>
      <c r="AK30" s="55"/>
      <c r="AL30" s="51" t="s">
        <v>18</v>
      </c>
      <c r="AM30" s="55"/>
      <c r="AN30" s="55"/>
      <c r="AO30" s="55"/>
      <c r="AP30" s="57"/>
      <c r="AQ30" s="58"/>
      <c r="AR30" s="58"/>
      <c r="AS30" s="58"/>
      <c r="AT30" s="58"/>
      <c r="AU30" s="59"/>
    </row>
    <row r="31" ht="17" customHeight="1" spans="1:47">
      <c r="A31" s="45"/>
      <c r="B31" s="45"/>
      <c r="C31" s="45"/>
      <c r="D31" s="45"/>
      <c r="E31" s="49"/>
      <c r="F31" s="49"/>
      <c r="G31" s="49"/>
      <c r="H31" s="49"/>
      <c r="I31" s="49"/>
      <c r="J31" s="49"/>
      <c r="K31" s="49"/>
      <c r="L31" s="49"/>
      <c r="M31" s="49"/>
      <c r="N31" s="50"/>
      <c r="O31" s="50"/>
      <c r="P31" s="50"/>
      <c r="Q31" s="50"/>
      <c r="R31" s="50"/>
      <c r="S31" s="50"/>
      <c r="T31" s="50"/>
      <c r="U31" s="50"/>
      <c r="V31" s="50"/>
      <c r="W31" s="50"/>
      <c r="X31" s="50"/>
      <c r="Y31" s="50"/>
      <c r="Z31" s="50"/>
      <c r="AA31" s="51" t="s">
        <v>18</v>
      </c>
      <c r="AB31" s="49"/>
      <c r="AC31" s="49"/>
      <c r="AD31" s="49"/>
      <c r="AE31" s="49"/>
      <c r="AF31" s="49"/>
      <c r="AG31" s="49"/>
      <c r="AH31" s="49"/>
      <c r="AI31" s="49"/>
      <c r="AJ31" s="49"/>
      <c r="AK31" s="49"/>
      <c r="AL31" s="51" t="s">
        <v>18</v>
      </c>
      <c r="AM31" s="49"/>
      <c r="AN31" s="49"/>
      <c r="AO31" s="49"/>
      <c r="AP31" s="52"/>
      <c r="AQ31" s="53"/>
      <c r="AR31" s="53"/>
      <c r="AS31" s="53"/>
      <c r="AT31" s="53"/>
      <c r="AU31" s="54"/>
    </row>
    <row r="32" ht="17" customHeight="1" spans="1:47">
      <c r="A32" s="45"/>
      <c r="B32" s="45"/>
      <c r="C32" s="45"/>
      <c r="D32" s="45"/>
      <c r="E32" s="55"/>
      <c r="F32" s="55"/>
      <c r="G32" s="55"/>
      <c r="H32" s="55"/>
      <c r="I32" s="55"/>
      <c r="J32" s="55"/>
      <c r="K32" s="55"/>
      <c r="L32" s="55"/>
      <c r="M32" s="55"/>
      <c r="N32" s="56"/>
      <c r="O32" s="56"/>
      <c r="P32" s="56"/>
      <c r="Q32" s="56"/>
      <c r="R32" s="56"/>
      <c r="S32" s="56"/>
      <c r="T32" s="56"/>
      <c r="U32" s="56"/>
      <c r="V32" s="56"/>
      <c r="W32" s="56"/>
      <c r="X32" s="56"/>
      <c r="Y32" s="56"/>
      <c r="Z32" s="56"/>
      <c r="AA32" s="51" t="s">
        <v>18</v>
      </c>
      <c r="AB32" s="55"/>
      <c r="AC32" s="55"/>
      <c r="AD32" s="55"/>
      <c r="AE32" s="55"/>
      <c r="AF32" s="55"/>
      <c r="AG32" s="55"/>
      <c r="AH32" s="55"/>
      <c r="AI32" s="55"/>
      <c r="AJ32" s="55"/>
      <c r="AK32" s="55"/>
      <c r="AL32" s="51" t="s">
        <v>18</v>
      </c>
      <c r="AM32" s="55"/>
      <c r="AN32" s="55"/>
      <c r="AO32" s="55"/>
      <c r="AP32" s="57"/>
      <c r="AQ32" s="58"/>
      <c r="AR32" s="58"/>
      <c r="AS32" s="58"/>
      <c r="AT32" s="58"/>
      <c r="AU32" s="59"/>
    </row>
    <row r="33" ht="17" customHeight="1" spans="1:47">
      <c r="A33" s="45"/>
      <c r="B33" s="45"/>
      <c r="C33" s="45"/>
      <c r="D33" s="45"/>
      <c r="E33" s="49"/>
      <c r="F33" s="49"/>
      <c r="G33" s="49"/>
      <c r="H33" s="49"/>
      <c r="I33" s="49"/>
      <c r="J33" s="49"/>
      <c r="K33" s="49"/>
      <c r="L33" s="49"/>
      <c r="M33" s="49"/>
      <c r="N33" s="50"/>
      <c r="O33" s="50"/>
      <c r="P33" s="50"/>
      <c r="Q33" s="50"/>
      <c r="R33" s="50"/>
      <c r="S33" s="50"/>
      <c r="T33" s="50"/>
      <c r="U33" s="50"/>
      <c r="V33" s="50"/>
      <c r="W33" s="50"/>
      <c r="X33" s="50"/>
      <c r="Y33" s="50"/>
      <c r="Z33" s="50"/>
      <c r="AA33" s="51" t="s">
        <v>18</v>
      </c>
      <c r="AB33" s="49"/>
      <c r="AC33" s="49"/>
      <c r="AD33" s="49"/>
      <c r="AE33" s="49"/>
      <c r="AF33" s="49"/>
      <c r="AG33" s="49"/>
      <c r="AH33" s="49"/>
      <c r="AI33" s="49"/>
      <c r="AJ33" s="49"/>
      <c r="AK33" s="49"/>
      <c r="AL33" s="51" t="s">
        <v>18</v>
      </c>
      <c r="AM33" s="49"/>
      <c r="AN33" s="49"/>
      <c r="AO33" s="49"/>
      <c r="AP33" s="52"/>
      <c r="AQ33" s="53"/>
      <c r="AR33" s="53"/>
      <c r="AS33" s="53"/>
      <c r="AT33" s="53"/>
      <c r="AU33" s="54"/>
    </row>
    <row r="34" ht="17" customHeight="1" spans="1:47">
      <c r="A34" s="45"/>
      <c r="B34" s="45"/>
      <c r="C34" s="45"/>
      <c r="D34" s="45"/>
      <c r="E34" s="55"/>
      <c r="F34" s="55"/>
      <c r="G34" s="55"/>
      <c r="H34" s="55"/>
      <c r="I34" s="55"/>
      <c r="J34" s="55"/>
      <c r="K34" s="55"/>
      <c r="L34" s="55"/>
      <c r="M34" s="55"/>
      <c r="N34" s="56"/>
      <c r="O34" s="56"/>
      <c r="P34" s="56"/>
      <c r="Q34" s="56"/>
      <c r="R34" s="56"/>
      <c r="S34" s="56"/>
      <c r="T34" s="56"/>
      <c r="U34" s="56"/>
      <c r="V34" s="56"/>
      <c r="W34" s="56"/>
      <c r="X34" s="56"/>
      <c r="Y34" s="56"/>
      <c r="Z34" s="56"/>
      <c r="AA34" s="51" t="s">
        <v>18</v>
      </c>
      <c r="AB34" s="55"/>
      <c r="AC34" s="55"/>
      <c r="AD34" s="55"/>
      <c r="AE34" s="55"/>
      <c r="AF34" s="55"/>
      <c r="AG34" s="55"/>
      <c r="AH34" s="55"/>
      <c r="AI34" s="55"/>
      <c r="AJ34" s="55"/>
      <c r="AK34" s="55"/>
      <c r="AL34" s="51" t="s">
        <v>18</v>
      </c>
      <c r="AM34" s="55"/>
      <c r="AN34" s="55"/>
      <c r="AO34" s="55"/>
      <c r="AP34" s="57"/>
      <c r="AQ34" s="58"/>
      <c r="AR34" s="58"/>
      <c r="AS34" s="58"/>
      <c r="AT34" s="58"/>
      <c r="AU34" s="59"/>
    </row>
    <row r="35" ht="17" customHeight="1" spans="1:47">
      <c r="A35" s="45"/>
      <c r="B35" s="45"/>
      <c r="C35" s="45"/>
      <c r="D35" s="45"/>
      <c r="E35" s="46" t="s">
        <v>15</v>
      </c>
      <c r="F35" s="46" t="s">
        <v>142</v>
      </c>
      <c r="G35" s="46"/>
      <c r="H35" s="46"/>
      <c r="I35" s="46"/>
      <c r="J35" s="46"/>
      <c r="K35" s="46"/>
      <c r="L35" s="46"/>
      <c r="M35" s="46"/>
      <c r="N35" s="46" t="s">
        <v>1763</v>
      </c>
      <c r="O35" s="46"/>
      <c r="P35" s="46"/>
      <c r="Q35" s="46"/>
      <c r="R35" s="46"/>
      <c r="S35" s="46"/>
      <c r="T35" s="46"/>
      <c r="U35" s="46"/>
      <c r="V35" s="46"/>
      <c r="W35" s="46"/>
      <c r="X35" s="46"/>
      <c r="Y35" s="46"/>
      <c r="Z35" s="46"/>
      <c r="AA35" s="45"/>
      <c r="AB35" s="47" t="s">
        <v>1764</v>
      </c>
      <c r="AC35" s="47"/>
      <c r="AD35" s="47" t="s">
        <v>1765</v>
      </c>
      <c r="AE35" s="47"/>
      <c r="AF35" s="47"/>
      <c r="AG35" s="47" t="s">
        <v>1766</v>
      </c>
      <c r="AH35" s="47"/>
      <c r="AI35" s="47"/>
      <c r="AJ35" s="47" t="s">
        <v>1767</v>
      </c>
      <c r="AK35" s="47"/>
      <c r="AL35" s="45"/>
      <c r="AM35" s="47" t="s">
        <v>1768</v>
      </c>
      <c r="AN35" s="47"/>
      <c r="AO35" s="47"/>
      <c r="AP35" s="47" t="s">
        <v>1769</v>
      </c>
      <c r="AQ35" s="47"/>
      <c r="AR35" s="47"/>
      <c r="AS35" s="47"/>
      <c r="AT35" s="47"/>
      <c r="AU35" s="47"/>
    </row>
    <row r="36" ht="17" customHeight="1" spans="1:47">
      <c r="A36" s="45"/>
      <c r="B36" s="45"/>
      <c r="C36" s="45"/>
      <c r="D36" s="45"/>
      <c r="E36" s="49"/>
      <c r="F36" s="49"/>
      <c r="G36" s="49"/>
      <c r="H36" s="49"/>
      <c r="I36" s="49"/>
      <c r="J36" s="49"/>
      <c r="K36" s="49"/>
      <c r="L36" s="49"/>
      <c r="M36" s="49"/>
      <c r="N36" s="50"/>
      <c r="O36" s="50"/>
      <c r="P36" s="50"/>
      <c r="Q36" s="50"/>
      <c r="R36" s="50"/>
      <c r="S36" s="50"/>
      <c r="T36" s="50"/>
      <c r="U36" s="50"/>
      <c r="V36" s="50"/>
      <c r="W36" s="50"/>
      <c r="X36" s="50"/>
      <c r="Y36" s="50"/>
      <c r="Z36" s="50"/>
      <c r="AA36" s="51" t="s">
        <v>18</v>
      </c>
      <c r="AB36" s="49"/>
      <c r="AC36" s="49"/>
      <c r="AD36" s="49"/>
      <c r="AE36" s="49"/>
      <c r="AF36" s="49"/>
      <c r="AG36" s="49"/>
      <c r="AH36" s="49"/>
      <c r="AI36" s="49"/>
      <c r="AJ36" s="49"/>
      <c r="AK36" s="49"/>
      <c r="AL36" s="51" t="s">
        <v>18</v>
      </c>
      <c r="AM36" s="49"/>
      <c r="AN36" s="49"/>
      <c r="AO36" s="49"/>
      <c r="AP36" s="52"/>
      <c r="AQ36" s="53"/>
      <c r="AR36" s="53"/>
      <c r="AS36" s="53"/>
      <c r="AT36" s="53"/>
      <c r="AU36" s="54"/>
    </row>
    <row r="37" ht="17" customHeight="1" spans="1:47">
      <c r="A37" s="45"/>
      <c r="B37" s="45"/>
      <c r="C37" s="45"/>
      <c r="D37" s="45"/>
      <c r="E37" s="55"/>
      <c r="F37" s="55"/>
      <c r="G37" s="55"/>
      <c r="H37" s="55"/>
      <c r="I37" s="55"/>
      <c r="J37" s="55"/>
      <c r="K37" s="55"/>
      <c r="L37" s="55"/>
      <c r="M37" s="55"/>
      <c r="N37" s="56"/>
      <c r="O37" s="56"/>
      <c r="P37" s="56"/>
      <c r="Q37" s="56"/>
      <c r="R37" s="56"/>
      <c r="S37" s="56"/>
      <c r="T37" s="56"/>
      <c r="U37" s="56"/>
      <c r="V37" s="56"/>
      <c r="W37" s="56"/>
      <c r="X37" s="56"/>
      <c r="Y37" s="56"/>
      <c r="Z37" s="56"/>
      <c r="AA37" s="51" t="s">
        <v>18</v>
      </c>
      <c r="AB37" s="55"/>
      <c r="AC37" s="55"/>
      <c r="AD37" s="55"/>
      <c r="AE37" s="55"/>
      <c r="AF37" s="55"/>
      <c r="AG37" s="55"/>
      <c r="AH37" s="55"/>
      <c r="AI37" s="55"/>
      <c r="AJ37" s="55"/>
      <c r="AK37" s="55"/>
      <c r="AL37" s="51" t="s">
        <v>18</v>
      </c>
      <c r="AM37" s="55"/>
      <c r="AN37" s="55"/>
      <c r="AO37" s="55"/>
      <c r="AP37" s="57"/>
      <c r="AQ37" s="58"/>
      <c r="AR37" s="58"/>
      <c r="AS37" s="58"/>
      <c r="AT37" s="58"/>
      <c r="AU37" s="59"/>
    </row>
    <row r="38" ht="17" customHeight="1" spans="1:47">
      <c r="A38" s="45"/>
      <c r="B38" s="45"/>
      <c r="C38" s="45"/>
      <c r="D38" s="45"/>
      <c r="E38" s="49"/>
      <c r="F38" s="49"/>
      <c r="G38" s="49"/>
      <c r="H38" s="49"/>
      <c r="I38" s="49"/>
      <c r="J38" s="49"/>
      <c r="K38" s="49"/>
      <c r="L38" s="49"/>
      <c r="M38" s="49"/>
      <c r="N38" s="50"/>
      <c r="O38" s="50"/>
      <c r="P38" s="50"/>
      <c r="Q38" s="50"/>
      <c r="R38" s="50"/>
      <c r="S38" s="50"/>
      <c r="T38" s="50"/>
      <c r="U38" s="50"/>
      <c r="V38" s="50"/>
      <c r="W38" s="50"/>
      <c r="X38" s="50"/>
      <c r="Y38" s="50"/>
      <c r="Z38" s="50"/>
      <c r="AA38" s="51" t="s">
        <v>18</v>
      </c>
      <c r="AB38" s="49"/>
      <c r="AC38" s="49"/>
      <c r="AD38" s="49"/>
      <c r="AE38" s="49"/>
      <c r="AF38" s="49"/>
      <c r="AG38" s="49"/>
      <c r="AH38" s="49"/>
      <c r="AI38" s="49"/>
      <c r="AJ38" s="49"/>
      <c r="AK38" s="49"/>
      <c r="AL38" s="51" t="s">
        <v>18</v>
      </c>
      <c r="AM38" s="49"/>
      <c r="AN38" s="49"/>
      <c r="AO38" s="49"/>
      <c r="AP38" s="52"/>
      <c r="AQ38" s="53"/>
      <c r="AR38" s="53"/>
      <c r="AS38" s="53"/>
      <c r="AT38" s="53"/>
      <c r="AU38" s="54"/>
    </row>
    <row r="39" ht="17" customHeight="1" spans="1:47">
      <c r="A39" s="45"/>
      <c r="B39" s="45"/>
      <c r="C39" s="45"/>
      <c r="D39" s="45"/>
      <c r="E39" s="55"/>
      <c r="F39" s="55"/>
      <c r="G39" s="55"/>
      <c r="H39" s="55"/>
      <c r="I39" s="55"/>
      <c r="J39" s="55"/>
      <c r="K39" s="55"/>
      <c r="L39" s="55"/>
      <c r="M39" s="55"/>
      <c r="N39" s="56"/>
      <c r="O39" s="56"/>
      <c r="P39" s="56"/>
      <c r="Q39" s="56"/>
      <c r="R39" s="56"/>
      <c r="S39" s="56"/>
      <c r="T39" s="56"/>
      <c r="U39" s="56"/>
      <c r="V39" s="56"/>
      <c r="W39" s="56"/>
      <c r="X39" s="56"/>
      <c r="Y39" s="56"/>
      <c r="Z39" s="56"/>
      <c r="AA39" s="51" t="s">
        <v>18</v>
      </c>
      <c r="AB39" s="55"/>
      <c r="AC39" s="55"/>
      <c r="AD39" s="55"/>
      <c r="AE39" s="55"/>
      <c r="AF39" s="55"/>
      <c r="AG39" s="55"/>
      <c r="AH39" s="55"/>
      <c r="AI39" s="55"/>
      <c r="AJ39" s="55"/>
      <c r="AK39" s="55"/>
      <c r="AL39" s="51" t="s">
        <v>18</v>
      </c>
      <c r="AM39" s="55"/>
      <c r="AN39" s="55"/>
      <c r="AO39" s="55"/>
      <c r="AP39" s="57"/>
      <c r="AQ39" s="58"/>
      <c r="AR39" s="58"/>
      <c r="AS39" s="58"/>
      <c r="AT39" s="58"/>
      <c r="AU39" s="59"/>
    </row>
    <row r="40" ht="17" customHeight="1" spans="1:47">
      <c r="A40" s="45"/>
      <c r="B40" s="45"/>
      <c r="C40" s="45"/>
      <c r="D40" s="45"/>
      <c r="E40" s="49"/>
      <c r="F40" s="49"/>
      <c r="G40" s="49"/>
      <c r="H40" s="49"/>
      <c r="I40" s="49"/>
      <c r="J40" s="49"/>
      <c r="K40" s="49"/>
      <c r="L40" s="49"/>
      <c r="M40" s="49"/>
      <c r="N40" s="50"/>
      <c r="O40" s="50"/>
      <c r="P40" s="50"/>
      <c r="Q40" s="50"/>
      <c r="R40" s="50"/>
      <c r="S40" s="50"/>
      <c r="T40" s="50"/>
      <c r="U40" s="50"/>
      <c r="V40" s="50"/>
      <c r="W40" s="50"/>
      <c r="X40" s="50"/>
      <c r="Y40" s="50"/>
      <c r="Z40" s="50"/>
      <c r="AA40" s="51" t="s">
        <v>18</v>
      </c>
      <c r="AB40" s="49"/>
      <c r="AC40" s="49"/>
      <c r="AD40" s="49"/>
      <c r="AE40" s="49"/>
      <c r="AF40" s="49"/>
      <c r="AG40" s="49"/>
      <c r="AH40" s="49"/>
      <c r="AI40" s="49"/>
      <c r="AJ40" s="49"/>
      <c r="AK40" s="49"/>
      <c r="AL40" s="51" t="s">
        <v>18</v>
      </c>
      <c r="AM40" s="49"/>
      <c r="AN40" s="49"/>
      <c r="AO40" s="49"/>
      <c r="AP40" s="52"/>
      <c r="AQ40" s="53"/>
      <c r="AR40" s="53"/>
      <c r="AS40" s="53"/>
      <c r="AT40" s="53"/>
      <c r="AU40" s="54"/>
    </row>
    <row r="41" ht="17" customHeight="1" spans="1:47">
      <c r="A41" s="45"/>
      <c r="B41" s="45"/>
      <c r="C41" s="45"/>
      <c r="D41" s="45"/>
      <c r="E41" s="55"/>
      <c r="F41" s="55"/>
      <c r="G41" s="55"/>
      <c r="H41" s="55"/>
      <c r="I41" s="55"/>
      <c r="J41" s="55"/>
      <c r="K41" s="55"/>
      <c r="L41" s="55"/>
      <c r="M41" s="55"/>
      <c r="N41" s="56"/>
      <c r="O41" s="56"/>
      <c r="P41" s="56"/>
      <c r="Q41" s="56"/>
      <c r="R41" s="56"/>
      <c r="S41" s="56"/>
      <c r="T41" s="56"/>
      <c r="U41" s="56"/>
      <c r="V41" s="56"/>
      <c r="W41" s="56"/>
      <c r="X41" s="56"/>
      <c r="Y41" s="56"/>
      <c r="Z41" s="56"/>
      <c r="AA41" s="51" t="s">
        <v>18</v>
      </c>
      <c r="AB41" s="55"/>
      <c r="AC41" s="55"/>
      <c r="AD41" s="55"/>
      <c r="AE41" s="55"/>
      <c r="AF41" s="55"/>
      <c r="AG41" s="55"/>
      <c r="AH41" s="55"/>
      <c r="AI41" s="55"/>
      <c r="AJ41" s="55"/>
      <c r="AK41" s="55"/>
      <c r="AL41" s="51" t="s">
        <v>18</v>
      </c>
      <c r="AM41" s="55"/>
      <c r="AN41" s="55"/>
      <c r="AO41" s="55"/>
      <c r="AP41" s="57"/>
      <c r="AQ41" s="58"/>
      <c r="AR41" s="58"/>
      <c r="AS41" s="58"/>
      <c r="AT41" s="58"/>
      <c r="AU41" s="59"/>
    </row>
    <row r="42" ht="17" customHeight="1" spans="1:47">
      <c r="A42" s="45"/>
      <c r="B42" s="45"/>
      <c r="C42" s="45"/>
      <c r="D42" s="45"/>
      <c r="E42" s="49"/>
      <c r="F42" s="49"/>
      <c r="G42" s="49"/>
      <c r="H42" s="49"/>
      <c r="I42" s="49"/>
      <c r="J42" s="49"/>
      <c r="K42" s="49"/>
      <c r="L42" s="49"/>
      <c r="M42" s="49"/>
      <c r="N42" s="50"/>
      <c r="O42" s="50"/>
      <c r="P42" s="50"/>
      <c r="Q42" s="50"/>
      <c r="R42" s="50"/>
      <c r="S42" s="50"/>
      <c r="T42" s="50"/>
      <c r="U42" s="50"/>
      <c r="V42" s="50"/>
      <c r="W42" s="50"/>
      <c r="X42" s="50"/>
      <c r="Y42" s="50"/>
      <c r="Z42" s="50"/>
      <c r="AA42" s="51" t="s">
        <v>18</v>
      </c>
      <c r="AB42" s="49"/>
      <c r="AC42" s="49"/>
      <c r="AD42" s="49"/>
      <c r="AE42" s="49"/>
      <c r="AF42" s="49"/>
      <c r="AG42" s="49"/>
      <c r="AH42" s="49"/>
      <c r="AI42" s="49"/>
      <c r="AJ42" s="49"/>
      <c r="AK42" s="49"/>
      <c r="AL42" s="51" t="s">
        <v>18</v>
      </c>
      <c r="AM42" s="49"/>
      <c r="AN42" s="49"/>
      <c r="AO42" s="49"/>
      <c r="AP42" s="52"/>
      <c r="AQ42" s="53"/>
      <c r="AR42" s="53"/>
      <c r="AS42" s="53"/>
      <c r="AT42" s="53"/>
      <c r="AU42" s="54"/>
    </row>
    <row r="43" ht="17" customHeight="1" spans="1:47">
      <c r="A43" s="45"/>
      <c r="B43" s="45"/>
      <c r="C43" s="45"/>
      <c r="D43" s="45"/>
      <c r="E43" s="55"/>
      <c r="F43" s="55"/>
      <c r="G43" s="55"/>
      <c r="H43" s="55"/>
      <c r="I43" s="55"/>
      <c r="J43" s="55"/>
      <c r="K43" s="55"/>
      <c r="L43" s="55"/>
      <c r="M43" s="55"/>
      <c r="N43" s="56"/>
      <c r="O43" s="56"/>
      <c r="P43" s="56"/>
      <c r="Q43" s="56"/>
      <c r="R43" s="56"/>
      <c r="S43" s="56"/>
      <c r="T43" s="56"/>
      <c r="U43" s="56"/>
      <c r="V43" s="56"/>
      <c r="W43" s="56"/>
      <c r="X43" s="56"/>
      <c r="Y43" s="56"/>
      <c r="Z43" s="56"/>
      <c r="AA43" s="51" t="s">
        <v>18</v>
      </c>
      <c r="AB43" s="55"/>
      <c r="AC43" s="55"/>
      <c r="AD43" s="55"/>
      <c r="AE43" s="55"/>
      <c r="AF43" s="55"/>
      <c r="AG43" s="55"/>
      <c r="AH43" s="55"/>
      <c r="AI43" s="55"/>
      <c r="AJ43" s="55"/>
      <c r="AK43" s="55"/>
      <c r="AL43" s="51" t="s">
        <v>18</v>
      </c>
      <c r="AM43" s="55"/>
      <c r="AN43" s="55"/>
      <c r="AO43" s="55"/>
      <c r="AP43" s="57"/>
      <c r="AQ43" s="58"/>
      <c r="AR43" s="58"/>
      <c r="AS43" s="58"/>
      <c r="AT43" s="58"/>
      <c r="AU43" s="59"/>
    </row>
    <row r="44" ht="17" customHeight="1" spans="1:47">
      <c r="A44" s="45"/>
      <c r="B44" s="45"/>
      <c r="C44" s="45"/>
      <c r="D44" s="45"/>
      <c r="E44" s="49"/>
      <c r="F44" s="49"/>
      <c r="G44" s="49"/>
      <c r="H44" s="49"/>
      <c r="I44" s="49"/>
      <c r="J44" s="49"/>
      <c r="K44" s="49"/>
      <c r="L44" s="49"/>
      <c r="M44" s="49"/>
      <c r="N44" s="50"/>
      <c r="O44" s="50"/>
      <c r="P44" s="50"/>
      <c r="Q44" s="50"/>
      <c r="R44" s="50"/>
      <c r="S44" s="50"/>
      <c r="T44" s="50"/>
      <c r="U44" s="50"/>
      <c r="V44" s="50"/>
      <c r="W44" s="50"/>
      <c r="X44" s="50"/>
      <c r="Y44" s="50"/>
      <c r="Z44" s="50"/>
      <c r="AA44" s="51" t="s">
        <v>18</v>
      </c>
      <c r="AB44" s="49"/>
      <c r="AC44" s="49"/>
      <c r="AD44" s="49"/>
      <c r="AE44" s="49"/>
      <c r="AF44" s="49"/>
      <c r="AG44" s="49"/>
      <c r="AH44" s="49"/>
      <c r="AI44" s="49"/>
      <c r="AJ44" s="49"/>
      <c r="AK44" s="49"/>
      <c r="AL44" s="51" t="s">
        <v>18</v>
      </c>
      <c r="AM44" s="49"/>
      <c r="AN44" s="49"/>
      <c r="AO44" s="49"/>
      <c r="AP44" s="52"/>
      <c r="AQ44" s="53"/>
      <c r="AR44" s="53"/>
      <c r="AS44" s="53"/>
      <c r="AT44" s="53"/>
      <c r="AU44" s="54"/>
    </row>
    <row r="45" ht="17" customHeight="1" spans="1:47">
      <c r="A45" s="45"/>
      <c r="B45" s="45"/>
      <c r="C45" s="45"/>
      <c r="D45" s="45"/>
      <c r="E45" s="55"/>
      <c r="F45" s="55"/>
      <c r="G45" s="55"/>
      <c r="H45" s="55"/>
      <c r="I45" s="55"/>
      <c r="J45" s="55"/>
      <c r="K45" s="55"/>
      <c r="L45" s="55"/>
      <c r="M45" s="55"/>
      <c r="N45" s="56"/>
      <c r="O45" s="56"/>
      <c r="P45" s="56"/>
      <c r="Q45" s="56"/>
      <c r="R45" s="56"/>
      <c r="S45" s="56"/>
      <c r="T45" s="56"/>
      <c r="U45" s="56"/>
      <c r="V45" s="56"/>
      <c r="W45" s="56"/>
      <c r="X45" s="56"/>
      <c r="Y45" s="56"/>
      <c r="Z45" s="56"/>
      <c r="AA45" s="51" t="s">
        <v>18</v>
      </c>
      <c r="AB45" s="55"/>
      <c r="AC45" s="55"/>
      <c r="AD45" s="55"/>
      <c r="AE45" s="55"/>
      <c r="AF45" s="55"/>
      <c r="AG45" s="55"/>
      <c r="AH45" s="55"/>
      <c r="AI45" s="55"/>
      <c r="AJ45" s="55"/>
      <c r="AK45" s="55"/>
      <c r="AL45" s="51" t="s">
        <v>18</v>
      </c>
      <c r="AM45" s="55"/>
      <c r="AN45" s="55"/>
      <c r="AO45" s="55"/>
      <c r="AP45" s="57"/>
      <c r="AQ45" s="58"/>
      <c r="AR45" s="58"/>
      <c r="AS45" s="58"/>
      <c r="AT45" s="58"/>
      <c r="AU45" s="59"/>
    </row>
    <row r="46" ht="17" customHeight="1" spans="1:47">
      <c r="A46" s="45"/>
      <c r="B46" s="45"/>
      <c r="C46" s="45"/>
      <c r="D46" s="45"/>
      <c r="E46" s="46" t="s">
        <v>15</v>
      </c>
      <c r="F46" s="46" t="s">
        <v>142</v>
      </c>
      <c r="G46" s="46"/>
      <c r="H46" s="46"/>
      <c r="I46" s="46"/>
      <c r="J46" s="46"/>
      <c r="K46" s="46"/>
      <c r="L46" s="46"/>
      <c r="M46" s="46"/>
      <c r="N46" s="46" t="s">
        <v>1763</v>
      </c>
      <c r="O46" s="46"/>
      <c r="P46" s="46"/>
      <c r="Q46" s="46"/>
      <c r="R46" s="46"/>
      <c r="S46" s="46"/>
      <c r="T46" s="46"/>
      <c r="U46" s="46"/>
      <c r="V46" s="46"/>
      <c r="W46" s="46"/>
      <c r="X46" s="46"/>
      <c r="Y46" s="46"/>
      <c r="Z46" s="46"/>
      <c r="AA46" s="45"/>
      <c r="AB46" s="47" t="s">
        <v>1764</v>
      </c>
      <c r="AC46" s="47"/>
      <c r="AD46" s="47" t="s">
        <v>1765</v>
      </c>
      <c r="AE46" s="47"/>
      <c r="AF46" s="47"/>
      <c r="AG46" s="47" t="s">
        <v>1766</v>
      </c>
      <c r="AH46" s="47"/>
      <c r="AI46" s="47"/>
      <c r="AJ46" s="47" t="s">
        <v>1767</v>
      </c>
      <c r="AK46" s="47"/>
      <c r="AL46" s="45"/>
      <c r="AM46" s="47" t="s">
        <v>1768</v>
      </c>
      <c r="AN46" s="47"/>
      <c r="AO46" s="47"/>
      <c r="AP46" s="47" t="s">
        <v>1769</v>
      </c>
      <c r="AQ46" s="47"/>
      <c r="AR46" s="47"/>
      <c r="AS46" s="47"/>
      <c r="AT46" s="47"/>
      <c r="AU46" s="47"/>
    </row>
    <row r="47" ht="17" customHeight="1" spans="1:47">
      <c r="A47" s="45"/>
      <c r="B47" s="45"/>
      <c r="C47" s="45"/>
      <c r="D47" s="45"/>
      <c r="E47" s="49"/>
      <c r="F47" s="49"/>
      <c r="G47" s="49"/>
      <c r="H47" s="49"/>
      <c r="I47" s="49"/>
      <c r="J47" s="49"/>
      <c r="K47" s="49"/>
      <c r="L47" s="49"/>
      <c r="M47" s="49"/>
      <c r="N47" s="50"/>
      <c r="O47" s="50"/>
      <c r="P47" s="50"/>
      <c r="Q47" s="50"/>
      <c r="R47" s="50"/>
      <c r="S47" s="50"/>
      <c r="T47" s="50"/>
      <c r="U47" s="50"/>
      <c r="V47" s="50"/>
      <c r="W47" s="50"/>
      <c r="X47" s="50"/>
      <c r="Y47" s="50"/>
      <c r="Z47" s="50"/>
      <c r="AA47" s="51" t="s">
        <v>18</v>
      </c>
      <c r="AB47" s="49"/>
      <c r="AC47" s="49"/>
      <c r="AD47" s="49"/>
      <c r="AE47" s="49"/>
      <c r="AF47" s="49"/>
      <c r="AG47" s="49"/>
      <c r="AH47" s="49"/>
      <c r="AI47" s="49"/>
      <c r="AJ47" s="49"/>
      <c r="AK47" s="49"/>
      <c r="AL47" s="51" t="s">
        <v>18</v>
      </c>
      <c r="AM47" s="49"/>
      <c r="AN47" s="49"/>
      <c r="AO47" s="49"/>
      <c r="AP47" s="52"/>
      <c r="AQ47" s="53"/>
      <c r="AR47" s="53"/>
      <c r="AS47" s="53"/>
      <c r="AT47" s="53"/>
      <c r="AU47" s="54"/>
    </row>
    <row r="48" ht="17" customHeight="1" spans="1:47">
      <c r="A48" s="45"/>
      <c r="B48" s="45"/>
      <c r="C48" s="45"/>
      <c r="D48" s="45"/>
      <c r="E48" s="55"/>
      <c r="F48" s="55"/>
      <c r="G48" s="55"/>
      <c r="H48" s="55"/>
      <c r="I48" s="55"/>
      <c r="J48" s="55"/>
      <c r="K48" s="55"/>
      <c r="L48" s="55"/>
      <c r="M48" s="55"/>
      <c r="N48" s="56"/>
      <c r="O48" s="56"/>
      <c r="P48" s="56"/>
      <c r="Q48" s="56"/>
      <c r="R48" s="56"/>
      <c r="S48" s="56"/>
      <c r="T48" s="56"/>
      <c r="U48" s="56"/>
      <c r="V48" s="56"/>
      <c r="W48" s="56"/>
      <c r="X48" s="56"/>
      <c r="Y48" s="56"/>
      <c r="Z48" s="56"/>
      <c r="AA48" s="51" t="s">
        <v>18</v>
      </c>
      <c r="AB48" s="55"/>
      <c r="AC48" s="55"/>
      <c r="AD48" s="55"/>
      <c r="AE48" s="55"/>
      <c r="AF48" s="55"/>
      <c r="AG48" s="55"/>
      <c r="AH48" s="55"/>
      <c r="AI48" s="55"/>
      <c r="AJ48" s="55"/>
      <c r="AK48" s="55"/>
      <c r="AL48" s="51" t="s">
        <v>18</v>
      </c>
      <c r="AM48" s="55"/>
      <c r="AN48" s="55"/>
      <c r="AO48" s="55"/>
      <c r="AP48" s="57"/>
      <c r="AQ48" s="58"/>
      <c r="AR48" s="58"/>
      <c r="AS48" s="58"/>
      <c r="AT48" s="58"/>
      <c r="AU48" s="59"/>
    </row>
    <row r="49" ht="17" customHeight="1" spans="1:47">
      <c r="A49" s="45"/>
      <c r="B49" s="45"/>
      <c r="C49" s="45"/>
      <c r="D49" s="45"/>
      <c r="E49" s="49"/>
      <c r="F49" s="49"/>
      <c r="G49" s="49"/>
      <c r="H49" s="49"/>
      <c r="I49" s="49"/>
      <c r="J49" s="49"/>
      <c r="K49" s="49"/>
      <c r="L49" s="49"/>
      <c r="M49" s="49"/>
      <c r="N49" s="50"/>
      <c r="O49" s="50"/>
      <c r="P49" s="50"/>
      <c r="Q49" s="50"/>
      <c r="R49" s="50"/>
      <c r="S49" s="50"/>
      <c r="T49" s="50"/>
      <c r="U49" s="50"/>
      <c r="V49" s="50"/>
      <c r="W49" s="50"/>
      <c r="X49" s="50"/>
      <c r="Y49" s="50"/>
      <c r="Z49" s="50"/>
      <c r="AA49" s="51" t="s">
        <v>18</v>
      </c>
      <c r="AB49" s="49"/>
      <c r="AC49" s="49"/>
      <c r="AD49" s="49"/>
      <c r="AE49" s="49"/>
      <c r="AF49" s="49"/>
      <c r="AG49" s="49"/>
      <c r="AH49" s="49"/>
      <c r="AI49" s="49"/>
      <c r="AJ49" s="49"/>
      <c r="AK49" s="49"/>
      <c r="AL49" s="51" t="s">
        <v>18</v>
      </c>
      <c r="AM49" s="49"/>
      <c r="AN49" s="49"/>
      <c r="AO49" s="49"/>
      <c r="AP49" s="52"/>
      <c r="AQ49" s="53"/>
      <c r="AR49" s="53"/>
      <c r="AS49" s="53"/>
      <c r="AT49" s="53"/>
      <c r="AU49" s="54"/>
    </row>
    <row r="50" ht="17" customHeight="1" spans="1:47">
      <c r="A50" s="45"/>
      <c r="B50" s="45"/>
      <c r="C50" s="45"/>
      <c r="D50" s="45"/>
      <c r="E50" s="55"/>
      <c r="F50" s="55"/>
      <c r="G50" s="55"/>
      <c r="H50" s="55"/>
      <c r="I50" s="55"/>
      <c r="J50" s="55"/>
      <c r="K50" s="55"/>
      <c r="L50" s="55"/>
      <c r="M50" s="55"/>
      <c r="N50" s="56"/>
      <c r="O50" s="56"/>
      <c r="P50" s="56"/>
      <c r="Q50" s="56"/>
      <c r="R50" s="56"/>
      <c r="S50" s="56"/>
      <c r="T50" s="56"/>
      <c r="U50" s="56"/>
      <c r="V50" s="56"/>
      <c r="W50" s="56"/>
      <c r="X50" s="56"/>
      <c r="Y50" s="56"/>
      <c r="Z50" s="56"/>
      <c r="AA50" s="51" t="s">
        <v>18</v>
      </c>
      <c r="AB50" s="55"/>
      <c r="AC50" s="55"/>
      <c r="AD50" s="55"/>
      <c r="AE50" s="55"/>
      <c r="AF50" s="55"/>
      <c r="AG50" s="55"/>
      <c r="AH50" s="55"/>
      <c r="AI50" s="55"/>
      <c r="AJ50" s="55"/>
      <c r="AK50" s="55"/>
      <c r="AL50" s="51" t="s">
        <v>18</v>
      </c>
      <c r="AM50" s="55"/>
      <c r="AN50" s="55"/>
      <c r="AO50" s="55"/>
      <c r="AP50" s="57"/>
      <c r="AQ50" s="58"/>
      <c r="AR50" s="58"/>
      <c r="AS50" s="58"/>
      <c r="AT50" s="58"/>
      <c r="AU50" s="59"/>
    </row>
    <row r="51" ht="17" customHeight="1" spans="1:47">
      <c r="A51" s="45"/>
      <c r="B51" s="45"/>
      <c r="C51" s="45"/>
      <c r="D51" s="45"/>
      <c r="E51" s="49"/>
      <c r="F51" s="49"/>
      <c r="G51" s="49"/>
      <c r="H51" s="49"/>
      <c r="I51" s="49"/>
      <c r="J51" s="49"/>
      <c r="K51" s="49"/>
      <c r="L51" s="49"/>
      <c r="M51" s="49"/>
      <c r="N51" s="50"/>
      <c r="O51" s="50"/>
      <c r="P51" s="50"/>
      <c r="Q51" s="50"/>
      <c r="R51" s="50"/>
      <c r="S51" s="50"/>
      <c r="T51" s="50"/>
      <c r="U51" s="50"/>
      <c r="V51" s="50"/>
      <c r="W51" s="50"/>
      <c r="X51" s="50"/>
      <c r="Y51" s="50"/>
      <c r="Z51" s="50"/>
      <c r="AA51" s="51" t="s">
        <v>18</v>
      </c>
      <c r="AB51" s="49"/>
      <c r="AC51" s="49"/>
      <c r="AD51" s="49"/>
      <c r="AE51" s="49"/>
      <c r="AF51" s="49"/>
      <c r="AG51" s="49"/>
      <c r="AH51" s="49"/>
      <c r="AI51" s="49"/>
      <c r="AJ51" s="49"/>
      <c r="AK51" s="49"/>
      <c r="AL51" s="51" t="s">
        <v>18</v>
      </c>
      <c r="AM51" s="49"/>
      <c r="AN51" s="49"/>
      <c r="AO51" s="49"/>
      <c r="AP51" s="52"/>
      <c r="AQ51" s="53"/>
      <c r="AR51" s="53"/>
      <c r="AS51" s="53"/>
      <c r="AT51" s="53"/>
      <c r="AU51" s="54"/>
    </row>
    <row r="52" ht="17" customHeight="1" spans="1:47">
      <c r="A52" s="45"/>
      <c r="B52" s="45"/>
      <c r="C52" s="45"/>
      <c r="D52" s="45"/>
      <c r="E52" s="55"/>
      <c r="F52" s="55"/>
      <c r="G52" s="55"/>
      <c r="H52" s="55"/>
      <c r="I52" s="55"/>
      <c r="J52" s="55"/>
      <c r="K52" s="55"/>
      <c r="L52" s="55"/>
      <c r="M52" s="55"/>
      <c r="N52" s="56"/>
      <c r="O52" s="56"/>
      <c r="P52" s="56"/>
      <c r="Q52" s="56"/>
      <c r="R52" s="56"/>
      <c r="S52" s="56"/>
      <c r="T52" s="56"/>
      <c r="U52" s="56"/>
      <c r="V52" s="56"/>
      <c r="W52" s="56"/>
      <c r="X52" s="56"/>
      <c r="Y52" s="56"/>
      <c r="Z52" s="56"/>
      <c r="AA52" s="51" t="s">
        <v>18</v>
      </c>
      <c r="AB52" s="55"/>
      <c r="AC52" s="55"/>
      <c r="AD52" s="55"/>
      <c r="AE52" s="55"/>
      <c r="AF52" s="55"/>
      <c r="AG52" s="55"/>
      <c r="AH52" s="55"/>
      <c r="AI52" s="55"/>
      <c r="AJ52" s="55"/>
      <c r="AK52" s="55"/>
      <c r="AL52" s="51" t="s">
        <v>18</v>
      </c>
      <c r="AM52" s="55"/>
      <c r="AN52" s="55"/>
      <c r="AO52" s="55"/>
      <c r="AP52" s="57"/>
      <c r="AQ52" s="58"/>
      <c r="AR52" s="58"/>
      <c r="AS52" s="58"/>
      <c r="AT52" s="58"/>
      <c r="AU52" s="59"/>
    </row>
    <row r="53" ht="17" customHeight="1" spans="1:47">
      <c r="A53" s="45"/>
      <c r="B53" s="45"/>
      <c r="C53" s="45"/>
      <c r="D53" s="45"/>
      <c r="E53" s="49"/>
      <c r="F53" s="49"/>
      <c r="G53" s="49"/>
      <c r="H53" s="49"/>
      <c r="I53" s="49"/>
      <c r="J53" s="49"/>
      <c r="K53" s="49"/>
      <c r="L53" s="49"/>
      <c r="M53" s="49"/>
      <c r="N53" s="50"/>
      <c r="O53" s="50"/>
      <c r="P53" s="50"/>
      <c r="Q53" s="50"/>
      <c r="R53" s="50"/>
      <c r="S53" s="50"/>
      <c r="T53" s="50"/>
      <c r="U53" s="50"/>
      <c r="V53" s="50"/>
      <c r="W53" s="50"/>
      <c r="X53" s="50"/>
      <c r="Y53" s="50"/>
      <c r="Z53" s="50"/>
      <c r="AA53" s="51" t="s">
        <v>18</v>
      </c>
      <c r="AB53" s="49"/>
      <c r="AC53" s="49"/>
      <c r="AD53" s="49"/>
      <c r="AE53" s="49"/>
      <c r="AF53" s="49"/>
      <c r="AG53" s="49"/>
      <c r="AH53" s="49"/>
      <c r="AI53" s="49"/>
      <c r="AJ53" s="49"/>
      <c r="AK53" s="49"/>
      <c r="AL53" s="51" t="s">
        <v>18</v>
      </c>
      <c r="AM53" s="49"/>
      <c r="AN53" s="49"/>
      <c r="AO53" s="49"/>
      <c r="AP53" s="52"/>
      <c r="AQ53" s="53"/>
      <c r="AR53" s="53"/>
      <c r="AS53" s="53"/>
      <c r="AT53" s="53"/>
      <c r="AU53" s="54"/>
    </row>
    <row r="54" ht="17" customHeight="1" spans="1:47">
      <c r="A54" s="45"/>
      <c r="B54" s="45"/>
      <c r="C54" s="45"/>
      <c r="D54" s="45"/>
      <c r="E54" s="55"/>
      <c r="F54" s="55"/>
      <c r="G54" s="55"/>
      <c r="H54" s="55"/>
      <c r="I54" s="55"/>
      <c r="J54" s="55"/>
      <c r="K54" s="55"/>
      <c r="L54" s="55"/>
      <c r="M54" s="55"/>
      <c r="N54" s="56"/>
      <c r="O54" s="56"/>
      <c r="P54" s="56"/>
      <c r="Q54" s="56"/>
      <c r="R54" s="56"/>
      <c r="S54" s="56"/>
      <c r="T54" s="56"/>
      <c r="U54" s="56"/>
      <c r="V54" s="56"/>
      <c r="W54" s="56"/>
      <c r="X54" s="56"/>
      <c r="Y54" s="56"/>
      <c r="Z54" s="56"/>
      <c r="AA54" s="51" t="s">
        <v>18</v>
      </c>
      <c r="AB54" s="55"/>
      <c r="AC54" s="55"/>
      <c r="AD54" s="55"/>
      <c r="AE54" s="55"/>
      <c r="AF54" s="55"/>
      <c r="AG54" s="55"/>
      <c r="AH54" s="55"/>
      <c r="AI54" s="55"/>
      <c r="AJ54" s="55"/>
      <c r="AK54" s="55"/>
      <c r="AL54" s="51" t="s">
        <v>18</v>
      </c>
      <c r="AM54" s="55"/>
      <c r="AN54" s="55"/>
      <c r="AO54" s="55"/>
      <c r="AP54" s="57"/>
      <c r="AQ54" s="58"/>
      <c r="AR54" s="58"/>
      <c r="AS54" s="58"/>
      <c r="AT54" s="58"/>
      <c r="AU54" s="59"/>
    </row>
    <row r="55" ht="17" customHeight="1" spans="1:47">
      <c r="A55" s="45"/>
      <c r="B55" s="45"/>
      <c r="C55" s="45"/>
      <c r="D55" s="45"/>
      <c r="E55" s="49"/>
      <c r="F55" s="49"/>
      <c r="G55" s="49"/>
      <c r="H55" s="49"/>
      <c r="I55" s="49"/>
      <c r="J55" s="49"/>
      <c r="K55" s="49"/>
      <c r="L55" s="49"/>
      <c r="M55" s="49"/>
      <c r="N55" s="50"/>
      <c r="O55" s="50"/>
      <c r="P55" s="50"/>
      <c r="Q55" s="50"/>
      <c r="R55" s="50"/>
      <c r="S55" s="50"/>
      <c r="T55" s="50"/>
      <c r="U55" s="50"/>
      <c r="V55" s="50"/>
      <c r="W55" s="50"/>
      <c r="X55" s="50"/>
      <c r="Y55" s="50"/>
      <c r="Z55" s="50"/>
      <c r="AA55" s="51" t="s">
        <v>18</v>
      </c>
      <c r="AB55" s="49"/>
      <c r="AC55" s="49"/>
      <c r="AD55" s="49"/>
      <c r="AE55" s="49"/>
      <c r="AF55" s="49"/>
      <c r="AG55" s="49"/>
      <c r="AH55" s="49"/>
      <c r="AI55" s="49"/>
      <c r="AJ55" s="49"/>
      <c r="AK55" s="49"/>
      <c r="AL55" s="51" t="s">
        <v>18</v>
      </c>
      <c r="AM55" s="49"/>
      <c r="AN55" s="49"/>
      <c r="AO55" s="49"/>
      <c r="AP55" s="52"/>
      <c r="AQ55" s="53"/>
      <c r="AR55" s="53"/>
      <c r="AS55" s="53"/>
      <c r="AT55" s="53"/>
      <c r="AU55" s="54"/>
    </row>
    <row r="56" ht="17" customHeight="1" spans="1:47">
      <c r="A56" s="45"/>
      <c r="B56" s="45"/>
      <c r="C56" s="45"/>
      <c r="D56" s="45"/>
      <c r="E56" s="55"/>
      <c r="F56" s="55"/>
      <c r="G56" s="55"/>
      <c r="H56" s="55"/>
      <c r="I56" s="55"/>
      <c r="J56" s="55"/>
      <c r="K56" s="55"/>
      <c r="L56" s="55"/>
      <c r="M56" s="55"/>
      <c r="N56" s="56"/>
      <c r="O56" s="56"/>
      <c r="P56" s="56"/>
      <c r="Q56" s="56"/>
      <c r="R56" s="56"/>
      <c r="S56" s="56"/>
      <c r="T56" s="56"/>
      <c r="U56" s="56"/>
      <c r="V56" s="56"/>
      <c r="W56" s="56"/>
      <c r="X56" s="56"/>
      <c r="Y56" s="56"/>
      <c r="Z56" s="56"/>
      <c r="AA56" s="51" t="s">
        <v>18</v>
      </c>
      <c r="AB56" s="55"/>
      <c r="AC56" s="55"/>
      <c r="AD56" s="55"/>
      <c r="AE56" s="55"/>
      <c r="AF56" s="55"/>
      <c r="AG56" s="55"/>
      <c r="AH56" s="55"/>
      <c r="AI56" s="55"/>
      <c r="AJ56" s="55"/>
      <c r="AK56" s="55"/>
      <c r="AL56" s="51" t="s">
        <v>18</v>
      </c>
      <c r="AM56" s="55"/>
      <c r="AN56" s="55"/>
      <c r="AO56" s="55"/>
      <c r="AP56" s="57"/>
      <c r="AQ56" s="58"/>
      <c r="AR56" s="58"/>
      <c r="AS56" s="58"/>
      <c r="AT56" s="58"/>
      <c r="AU56" s="59"/>
    </row>
    <row r="57" ht="17" customHeight="1"/>
    <row r="58" ht="17" customHeight="1"/>
    <row r="59" ht="17" customHeight="1"/>
    <row r="60" ht="17" customHeight="1"/>
    <row r="61" ht="17" customHeight="1"/>
    <row r="62" ht="17" customHeight="1"/>
    <row r="63" ht="17" customHeight="1"/>
    <row r="64" ht="17" customHeight="1"/>
    <row r="65" ht="17" customHeight="1"/>
    <row r="66" ht="17" customHeight="1"/>
    <row r="67" ht="17" customHeight="1"/>
    <row r="68" ht="17" customHeight="1"/>
    <row r="69" ht="17" customHeight="1"/>
    <row r="70" ht="17" customHeight="1"/>
    <row r="71" ht="17" customHeight="1"/>
    <row r="72" ht="17" customHeight="1"/>
    <row r="73" ht="17" customHeight="1"/>
    <row r="74" ht="17" customHeight="1"/>
    <row r="75" ht="17" customHeight="1"/>
    <row r="76" ht="17" customHeight="1"/>
    <row r="77" ht="17" customHeight="1"/>
    <row r="78" ht="17" customHeight="1"/>
    <row r="79" ht="17"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17" customHeight="1"/>
    <row r="91" ht="17" customHeight="1"/>
    <row r="92" ht="17" customHeight="1"/>
    <row r="93" ht="17" customHeight="1"/>
    <row r="94" ht="17" customHeight="1"/>
    <row r="95" ht="17" customHeight="1"/>
    <row r="96" ht="17" customHeight="1"/>
    <row r="97" ht="17" customHeight="1"/>
    <row r="98" ht="17" customHeight="1"/>
    <row r="99" ht="17" customHeight="1"/>
    <row r="100" ht="17" customHeight="1"/>
  </sheetData>
  <sheetProtection sheet="1" selectLockedCells="1" objects="1"/>
  <mergeCells count="393">
    <mergeCell ref="A1:AO1"/>
    <mergeCell ref="AP1:AS1"/>
    <mergeCell ref="AT1:AU1"/>
    <mergeCell ref="F2:M2"/>
    <mergeCell ref="N2:Z2"/>
    <mergeCell ref="AB2:AC2"/>
    <mergeCell ref="AD2:AF2"/>
    <mergeCell ref="AG2:AI2"/>
    <mergeCell ref="AJ2:AK2"/>
    <mergeCell ref="AM2:AO2"/>
    <mergeCell ref="AP2:AU2"/>
    <mergeCell ref="F3:M3"/>
    <mergeCell ref="N3:Z3"/>
    <mergeCell ref="AB3:AC3"/>
    <mergeCell ref="AD3:AF3"/>
    <mergeCell ref="AG3:AI3"/>
    <mergeCell ref="AJ3:AK3"/>
    <mergeCell ref="AP3:AU3"/>
    <mergeCell ref="F4:M4"/>
    <mergeCell ref="N4:Z4"/>
    <mergeCell ref="AB4:AC4"/>
    <mergeCell ref="AD4:AF4"/>
    <mergeCell ref="AG4:AI4"/>
    <mergeCell ref="AJ4:AK4"/>
    <mergeCell ref="AP4:AU4"/>
    <mergeCell ref="F5:M5"/>
    <mergeCell ref="N5:Z5"/>
    <mergeCell ref="AB5:AC5"/>
    <mergeCell ref="AD5:AF5"/>
    <mergeCell ref="AG5:AI5"/>
    <mergeCell ref="AJ5:AK5"/>
    <mergeCell ref="AP5:AU5"/>
    <mergeCell ref="F6:M6"/>
    <mergeCell ref="N6:Z6"/>
    <mergeCell ref="AB6:AC6"/>
    <mergeCell ref="AD6:AF6"/>
    <mergeCell ref="AG6:AI6"/>
    <mergeCell ref="AJ6:AK6"/>
    <mergeCell ref="AP6:AU6"/>
    <mergeCell ref="F7:M7"/>
    <mergeCell ref="N7:Z7"/>
    <mergeCell ref="AB7:AC7"/>
    <mergeCell ref="AD7:AF7"/>
    <mergeCell ref="AG7:AI7"/>
    <mergeCell ref="AJ7:AK7"/>
    <mergeCell ref="AP7:AU7"/>
    <mergeCell ref="F8:M8"/>
    <mergeCell ref="N8:Z8"/>
    <mergeCell ref="AB8:AC8"/>
    <mergeCell ref="AD8:AF8"/>
    <mergeCell ref="AG8:AI8"/>
    <mergeCell ref="AJ8:AK8"/>
    <mergeCell ref="AP8:AU8"/>
    <mergeCell ref="F9:M9"/>
    <mergeCell ref="N9:Z9"/>
    <mergeCell ref="AB9:AC9"/>
    <mergeCell ref="AD9:AF9"/>
    <mergeCell ref="AG9:AI9"/>
    <mergeCell ref="AJ9:AK9"/>
    <mergeCell ref="AP9:AU9"/>
    <mergeCell ref="F10:M10"/>
    <mergeCell ref="N10:Z10"/>
    <mergeCell ref="AB10:AC10"/>
    <mergeCell ref="AD10:AF10"/>
    <mergeCell ref="AG10:AI10"/>
    <mergeCell ref="AJ10:AK10"/>
    <mergeCell ref="AP10:AU10"/>
    <mergeCell ref="F11:M11"/>
    <mergeCell ref="N11:Z11"/>
    <mergeCell ref="AB11:AC11"/>
    <mergeCell ref="AD11:AF11"/>
    <mergeCell ref="AG11:AI11"/>
    <mergeCell ref="AJ11:AK11"/>
    <mergeCell ref="AP11:AU11"/>
    <mergeCell ref="F12:M12"/>
    <mergeCell ref="N12:Z12"/>
    <mergeCell ref="AB12:AC12"/>
    <mergeCell ref="AD12:AF12"/>
    <mergeCell ref="AG12:AI12"/>
    <mergeCell ref="AJ12:AK12"/>
    <mergeCell ref="AP12:AU12"/>
    <mergeCell ref="F13:M13"/>
    <mergeCell ref="N13:Z13"/>
    <mergeCell ref="AB13:AC13"/>
    <mergeCell ref="AD13:AF13"/>
    <mergeCell ref="AG13:AI13"/>
    <mergeCell ref="AJ13:AK13"/>
    <mergeCell ref="AM13:AO13"/>
    <mergeCell ref="AP13:AU13"/>
    <mergeCell ref="F14:M14"/>
    <mergeCell ref="N14:Z14"/>
    <mergeCell ref="AB14:AC14"/>
    <mergeCell ref="AD14:AF14"/>
    <mergeCell ref="AG14:AI14"/>
    <mergeCell ref="AJ14:AK14"/>
    <mergeCell ref="AP14:AU14"/>
    <mergeCell ref="F15:M15"/>
    <mergeCell ref="N15:Z15"/>
    <mergeCell ref="AB15:AC15"/>
    <mergeCell ref="AD15:AF15"/>
    <mergeCell ref="AG15:AI15"/>
    <mergeCell ref="AJ15:AK15"/>
    <mergeCell ref="AP15:AU15"/>
    <mergeCell ref="F16:M16"/>
    <mergeCell ref="N16:Z16"/>
    <mergeCell ref="AB16:AC16"/>
    <mergeCell ref="AD16:AF16"/>
    <mergeCell ref="AG16:AI16"/>
    <mergeCell ref="AJ16:AK16"/>
    <mergeCell ref="AP16:AU16"/>
    <mergeCell ref="F17:M17"/>
    <mergeCell ref="N17:Z17"/>
    <mergeCell ref="AB17:AC17"/>
    <mergeCell ref="AD17:AF17"/>
    <mergeCell ref="AG17:AI17"/>
    <mergeCell ref="AJ17:AK17"/>
    <mergeCell ref="AP17:AU17"/>
    <mergeCell ref="F18:M18"/>
    <mergeCell ref="N18:Z18"/>
    <mergeCell ref="AB18:AC18"/>
    <mergeCell ref="AD18:AF18"/>
    <mergeCell ref="AG18:AI18"/>
    <mergeCell ref="AJ18:AK18"/>
    <mergeCell ref="AP18:AU18"/>
    <mergeCell ref="F19:M19"/>
    <mergeCell ref="N19:Z19"/>
    <mergeCell ref="AB19:AC19"/>
    <mergeCell ref="AD19:AF19"/>
    <mergeCell ref="AG19:AI19"/>
    <mergeCell ref="AJ19:AK19"/>
    <mergeCell ref="AP19:AU19"/>
    <mergeCell ref="F20:M20"/>
    <mergeCell ref="N20:Z20"/>
    <mergeCell ref="AB20:AC20"/>
    <mergeCell ref="AD20:AF20"/>
    <mergeCell ref="AG20:AI20"/>
    <mergeCell ref="AJ20:AK20"/>
    <mergeCell ref="AP20:AU20"/>
    <mergeCell ref="F21:M21"/>
    <mergeCell ref="N21:Z21"/>
    <mergeCell ref="AB21:AC21"/>
    <mergeCell ref="AD21:AF21"/>
    <mergeCell ref="AG21:AI21"/>
    <mergeCell ref="AJ21:AK21"/>
    <mergeCell ref="AP21:AU21"/>
    <mergeCell ref="F22:M22"/>
    <mergeCell ref="N22:Z22"/>
    <mergeCell ref="AB22:AC22"/>
    <mergeCell ref="AD22:AF22"/>
    <mergeCell ref="AG22:AI22"/>
    <mergeCell ref="AJ22:AK22"/>
    <mergeCell ref="AP22:AU22"/>
    <mergeCell ref="F23:M23"/>
    <mergeCell ref="N23:Z23"/>
    <mergeCell ref="AB23:AC23"/>
    <mergeCell ref="AD23:AF23"/>
    <mergeCell ref="AG23:AI23"/>
    <mergeCell ref="AJ23:AK23"/>
    <mergeCell ref="AP23:AU23"/>
    <mergeCell ref="F24:M24"/>
    <mergeCell ref="N24:Z24"/>
    <mergeCell ref="AB24:AC24"/>
    <mergeCell ref="AD24:AF24"/>
    <mergeCell ref="AG24:AI24"/>
    <mergeCell ref="AJ24:AK24"/>
    <mergeCell ref="AM24:AO24"/>
    <mergeCell ref="AP24:AU24"/>
    <mergeCell ref="F25:M25"/>
    <mergeCell ref="N25:Z25"/>
    <mergeCell ref="AB25:AC25"/>
    <mergeCell ref="AD25:AF25"/>
    <mergeCell ref="AG25:AI25"/>
    <mergeCell ref="AJ25:AK25"/>
    <mergeCell ref="AP25:AU25"/>
    <mergeCell ref="F26:M26"/>
    <mergeCell ref="N26:Z26"/>
    <mergeCell ref="AB26:AC26"/>
    <mergeCell ref="AD26:AF26"/>
    <mergeCell ref="AG26:AI26"/>
    <mergeCell ref="AJ26:AK26"/>
    <mergeCell ref="AP26:AU26"/>
    <mergeCell ref="F27:M27"/>
    <mergeCell ref="N27:Z27"/>
    <mergeCell ref="AB27:AC27"/>
    <mergeCell ref="AD27:AF27"/>
    <mergeCell ref="AG27:AI27"/>
    <mergeCell ref="AJ27:AK27"/>
    <mergeCell ref="AP27:AU27"/>
    <mergeCell ref="F28:M28"/>
    <mergeCell ref="N28:Z28"/>
    <mergeCell ref="AB28:AC28"/>
    <mergeCell ref="AD28:AF28"/>
    <mergeCell ref="AG28:AI28"/>
    <mergeCell ref="AJ28:AK28"/>
    <mergeCell ref="AP28:AU28"/>
    <mergeCell ref="F29:M29"/>
    <mergeCell ref="N29:Z29"/>
    <mergeCell ref="AB29:AC29"/>
    <mergeCell ref="AD29:AF29"/>
    <mergeCell ref="AG29:AI29"/>
    <mergeCell ref="AJ29:AK29"/>
    <mergeCell ref="AP29:AU29"/>
    <mergeCell ref="F30:M30"/>
    <mergeCell ref="N30:Z30"/>
    <mergeCell ref="AB30:AC30"/>
    <mergeCell ref="AD30:AF30"/>
    <mergeCell ref="AG30:AI30"/>
    <mergeCell ref="AJ30:AK30"/>
    <mergeCell ref="AP30:AU30"/>
    <mergeCell ref="F31:M31"/>
    <mergeCell ref="N31:Z31"/>
    <mergeCell ref="AB31:AC31"/>
    <mergeCell ref="AD31:AF31"/>
    <mergeCell ref="AG31:AI31"/>
    <mergeCell ref="AJ31:AK31"/>
    <mergeCell ref="AP31:AU31"/>
    <mergeCell ref="F32:M32"/>
    <mergeCell ref="N32:Z32"/>
    <mergeCell ref="AB32:AC32"/>
    <mergeCell ref="AD32:AF32"/>
    <mergeCell ref="AG32:AI32"/>
    <mergeCell ref="AJ32:AK32"/>
    <mergeCell ref="AP32:AU32"/>
    <mergeCell ref="F33:M33"/>
    <mergeCell ref="N33:Z33"/>
    <mergeCell ref="AB33:AC33"/>
    <mergeCell ref="AD33:AF33"/>
    <mergeCell ref="AG33:AI33"/>
    <mergeCell ref="AJ33:AK33"/>
    <mergeCell ref="AP33:AU33"/>
    <mergeCell ref="F34:M34"/>
    <mergeCell ref="N34:Z34"/>
    <mergeCell ref="AB34:AC34"/>
    <mergeCell ref="AD34:AF34"/>
    <mergeCell ref="AG34:AI34"/>
    <mergeCell ref="AJ34:AK34"/>
    <mergeCell ref="AP34:AU34"/>
    <mergeCell ref="F35:M35"/>
    <mergeCell ref="N35:Z35"/>
    <mergeCell ref="AB35:AC35"/>
    <mergeCell ref="AD35:AF35"/>
    <mergeCell ref="AG35:AI35"/>
    <mergeCell ref="AJ35:AK35"/>
    <mergeCell ref="AM35:AO35"/>
    <mergeCell ref="AP35:AU35"/>
    <mergeCell ref="F36:M36"/>
    <mergeCell ref="N36:Z36"/>
    <mergeCell ref="AB36:AC36"/>
    <mergeCell ref="AD36:AF36"/>
    <mergeCell ref="AG36:AI36"/>
    <mergeCell ref="AJ36:AK36"/>
    <mergeCell ref="AP36:AU36"/>
    <mergeCell ref="F37:M37"/>
    <mergeCell ref="N37:Z37"/>
    <mergeCell ref="AB37:AC37"/>
    <mergeCell ref="AD37:AF37"/>
    <mergeCell ref="AG37:AI37"/>
    <mergeCell ref="AJ37:AK37"/>
    <mergeCell ref="AP37:AU37"/>
    <mergeCell ref="F38:M38"/>
    <mergeCell ref="N38:Z38"/>
    <mergeCell ref="AB38:AC38"/>
    <mergeCell ref="AD38:AF38"/>
    <mergeCell ref="AG38:AI38"/>
    <mergeCell ref="AJ38:AK38"/>
    <mergeCell ref="AP38:AU38"/>
    <mergeCell ref="F39:M39"/>
    <mergeCell ref="N39:Z39"/>
    <mergeCell ref="AB39:AC39"/>
    <mergeCell ref="AD39:AF39"/>
    <mergeCell ref="AG39:AI39"/>
    <mergeCell ref="AJ39:AK39"/>
    <mergeCell ref="AP39:AU39"/>
    <mergeCell ref="F40:M40"/>
    <mergeCell ref="N40:Z40"/>
    <mergeCell ref="AB40:AC40"/>
    <mergeCell ref="AD40:AF40"/>
    <mergeCell ref="AG40:AI40"/>
    <mergeCell ref="AJ40:AK40"/>
    <mergeCell ref="AP40:AU40"/>
    <mergeCell ref="F41:M41"/>
    <mergeCell ref="N41:Z41"/>
    <mergeCell ref="AB41:AC41"/>
    <mergeCell ref="AD41:AF41"/>
    <mergeCell ref="AG41:AI41"/>
    <mergeCell ref="AJ41:AK41"/>
    <mergeCell ref="AP41:AU41"/>
    <mergeCell ref="F42:M42"/>
    <mergeCell ref="N42:Z42"/>
    <mergeCell ref="AB42:AC42"/>
    <mergeCell ref="AD42:AF42"/>
    <mergeCell ref="AG42:AI42"/>
    <mergeCell ref="AJ42:AK42"/>
    <mergeCell ref="AP42:AU42"/>
    <mergeCell ref="F43:M43"/>
    <mergeCell ref="N43:Z43"/>
    <mergeCell ref="AB43:AC43"/>
    <mergeCell ref="AD43:AF43"/>
    <mergeCell ref="AG43:AI43"/>
    <mergeCell ref="AJ43:AK43"/>
    <mergeCell ref="AP43:AU43"/>
    <mergeCell ref="F44:M44"/>
    <mergeCell ref="N44:Z44"/>
    <mergeCell ref="AB44:AC44"/>
    <mergeCell ref="AD44:AF44"/>
    <mergeCell ref="AG44:AI44"/>
    <mergeCell ref="AJ44:AK44"/>
    <mergeCell ref="AP44:AU44"/>
    <mergeCell ref="F45:M45"/>
    <mergeCell ref="N45:Z45"/>
    <mergeCell ref="AB45:AC45"/>
    <mergeCell ref="AD45:AF45"/>
    <mergeCell ref="AG45:AI45"/>
    <mergeCell ref="AJ45:AK45"/>
    <mergeCell ref="AP45:AU45"/>
    <mergeCell ref="F46:M46"/>
    <mergeCell ref="N46:Z46"/>
    <mergeCell ref="AB46:AC46"/>
    <mergeCell ref="AD46:AF46"/>
    <mergeCell ref="AG46:AI46"/>
    <mergeCell ref="AJ46:AK46"/>
    <mergeCell ref="AM46:AO46"/>
    <mergeCell ref="AP46:AU46"/>
    <mergeCell ref="F47:M47"/>
    <mergeCell ref="N47:Z47"/>
    <mergeCell ref="AB47:AC47"/>
    <mergeCell ref="AD47:AF47"/>
    <mergeCell ref="AG47:AI47"/>
    <mergeCell ref="AJ47:AK47"/>
    <mergeCell ref="AP47:AU47"/>
    <mergeCell ref="F48:M48"/>
    <mergeCell ref="N48:Z48"/>
    <mergeCell ref="AB48:AC48"/>
    <mergeCell ref="AD48:AF48"/>
    <mergeCell ref="AG48:AI48"/>
    <mergeCell ref="AJ48:AK48"/>
    <mergeCell ref="AP48:AU48"/>
    <mergeCell ref="F49:M49"/>
    <mergeCell ref="N49:Z49"/>
    <mergeCell ref="AB49:AC49"/>
    <mergeCell ref="AD49:AF49"/>
    <mergeCell ref="AG49:AI49"/>
    <mergeCell ref="AJ49:AK49"/>
    <mergeCell ref="AP49:AU49"/>
    <mergeCell ref="F50:M50"/>
    <mergeCell ref="N50:Z50"/>
    <mergeCell ref="AB50:AC50"/>
    <mergeCell ref="AD50:AF50"/>
    <mergeCell ref="AG50:AI50"/>
    <mergeCell ref="AJ50:AK50"/>
    <mergeCell ref="AP50:AU50"/>
    <mergeCell ref="F51:M51"/>
    <mergeCell ref="N51:Z51"/>
    <mergeCell ref="AB51:AC51"/>
    <mergeCell ref="AD51:AF51"/>
    <mergeCell ref="AG51:AI51"/>
    <mergeCell ref="AJ51:AK51"/>
    <mergeCell ref="AP51:AU51"/>
    <mergeCell ref="F52:M52"/>
    <mergeCell ref="N52:Z52"/>
    <mergeCell ref="AB52:AC52"/>
    <mergeCell ref="AD52:AF52"/>
    <mergeCell ref="AG52:AI52"/>
    <mergeCell ref="AJ52:AK52"/>
    <mergeCell ref="AP52:AU52"/>
    <mergeCell ref="F53:M53"/>
    <mergeCell ref="N53:Z53"/>
    <mergeCell ref="AB53:AC53"/>
    <mergeCell ref="AD53:AF53"/>
    <mergeCell ref="AG53:AI53"/>
    <mergeCell ref="AJ53:AK53"/>
    <mergeCell ref="AP53:AU53"/>
    <mergeCell ref="F54:M54"/>
    <mergeCell ref="N54:Z54"/>
    <mergeCell ref="AB54:AC54"/>
    <mergeCell ref="AD54:AF54"/>
    <mergeCell ref="AG54:AI54"/>
    <mergeCell ref="AJ54:AK54"/>
    <mergeCell ref="AP54:AU54"/>
    <mergeCell ref="F55:M55"/>
    <mergeCell ref="N55:Z55"/>
    <mergeCell ref="AB55:AC55"/>
    <mergeCell ref="AD55:AF55"/>
    <mergeCell ref="AG55:AI55"/>
    <mergeCell ref="AJ55:AK55"/>
    <mergeCell ref="AP55:AU55"/>
    <mergeCell ref="F56:M56"/>
    <mergeCell ref="N56:Z56"/>
    <mergeCell ref="AB56:AC56"/>
    <mergeCell ref="AD56:AF56"/>
    <mergeCell ref="AG56:AI56"/>
    <mergeCell ref="AJ56:AK56"/>
    <mergeCell ref="AP56:AU56"/>
  </mergeCells>
  <dataValidations count="2">
    <dataValidation type="list" allowBlank="1" showInputMessage="1" showErrorMessage="1" sqref="AM3:AO12 AM14:AO23 AM25:AO34 AM36:AO45 AM47:AO56">
      <formula1>法术书目录!$O$5:$O$7</formula1>
    </dataValidation>
    <dataValidation type="list" allowBlank="1" showInputMessage="1" showErrorMessage="1" sqref="AJ3:AK12 AJ14:AK23 AJ25:AK34 AJ36:AK45 AJ47:AK56">
      <formula1>"√"</formula1>
    </dataValidation>
  </dataValidations>
  <pageMargins left="0.75" right="0.75" top="1" bottom="1" header="0.511805555555556" footer="0.511805555555556"/>
  <headerFooter/>
  <drawing r:id="rId1"/>
  <legacyDrawing r:id="rId2"/>
  <mc:AlternateContent xmlns:mc="http://schemas.openxmlformats.org/markup-compatibility/2006">
    <mc:Choice Requires="x14">
      <controls>
        <mc:AlternateContent xmlns:mc="http://schemas.openxmlformats.org/markup-compatibility/2006">
          <mc:Choice Requires="x14">
            <control shapeId="3079" name="Check Box 7" r:id="rId3">
              <controlPr defaultSize="0">
                <anchor moveWithCells="1">
                  <from>
                    <xdr:col>1</xdr:col>
                    <xdr:colOff>0</xdr:colOff>
                    <xdr:row>2</xdr:row>
                    <xdr:rowOff>0</xdr:rowOff>
                  </from>
                  <to>
                    <xdr:col>3</xdr:col>
                    <xdr:colOff>65405</xdr:colOff>
                    <xdr:row>3</xdr:row>
                    <xdr:rowOff>4445</xdr:rowOff>
                  </to>
                </anchor>
              </controlPr>
            </control>
          </mc:Choice>
        </mc:AlternateContent>
        <mc:AlternateContent xmlns:mc="http://schemas.openxmlformats.org/markup-compatibility/2006">
          <mc:Choice Requires="x14">
            <control shapeId="3080" name="Check Box 8" r:id="rId4">
              <controlPr defaultSize="0">
                <anchor moveWithCells="1">
                  <from>
                    <xdr:col>1</xdr:col>
                    <xdr:colOff>0</xdr:colOff>
                    <xdr:row>3</xdr:row>
                    <xdr:rowOff>0</xdr:rowOff>
                  </from>
                  <to>
                    <xdr:col>3</xdr:col>
                    <xdr:colOff>65405</xdr:colOff>
                    <xdr:row>4</xdr:row>
                    <xdr:rowOff>4445</xdr:rowOff>
                  </to>
                </anchor>
              </controlPr>
            </control>
          </mc:Choice>
        </mc:AlternateContent>
        <mc:AlternateContent xmlns:mc="http://schemas.openxmlformats.org/markup-compatibility/2006">
          <mc:Choice Requires="x14">
            <control shapeId="3081" name="Check Box 9" r:id="rId5">
              <controlPr defaultSize="0">
                <anchor moveWithCells="1">
                  <from>
                    <xdr:col>1</xdr:col>
                    <xdr:colOff>0</xdr:colOff>
                    <xdr:row>4</xdr:row>
                    <xdr:rowOff>0</xdr:rowOff>
                  </from>
                  <to>
                    <xdr:col>3</xdr:col>
                    <xdr:colOff>65405</xdr:colOff>
                    <xdr:row>5</xdr:row>
                    <xdr:rowOff>4445</xdr:rowOff>
                  </to>
                </anchor>
              </controlPr>
            </control>
          </mc:Choice>
        </mc:AlternateContent>
        <mc:AlternateContent xmlns:mc="http://schemas.openxmlformats.org/markup-compatibility/2006">
          <mc:Choice Requires="x14">
            <control shapeId="3082" name="Check Box 10" r:id="rId6">
              <controlPr defaultSize="0">
                <anchor moveWithCells="1">
                  <from>
                    <xdr:col>1</xdr:col>
                    <xdr:colOff>0</xdr:colOff>
                    <xdr:row>5</xdr:row>
                    <xdr:rowOff>0</xdr:rowOff>
                  </from>
                  <to>
                    <xdr:col>3</xdr:col>
                    <xdr:colOff>65405</xdr:colOff>
                    <xdr:row>6</xdr:row>
                    <xdr:rowOff>4445</xdr:rowOff>
                  </to>
                </anchor>
              </controlPr>
            </control>
          </mc:Choice>
        </mc:AlternateContent>
        <mc:AlternateContent xmlns:mc="http://schemas.openxmlformats.org/markup-compatibility/2006">
          <mc:Choice Requires="x14">
            <control shapeId="3083" name="Check Box 11" r:id="rId7">
              <controlPr defaultSize="0">
                <anchor moveWithCells="1">
                  <from>
                    <xdr:col>1</xdr:col>
                    <xdr:colOff>0</xdr:colOff>
                    <xdr:row>6</xdr:row>
                    <xdr:rowOff>0</xdr:rowOff>
                  </from>
                  <to>
                    <xdr:col>3</xdr:col>
                    <xdr:colOff>65405</xdr:colOff>
                    <xdr:row>7</xdr:row>
                    <xdr:rowOff>4445</xdr:rowOff>
                  </to>
                </anchor>
              </controlPr>
            </control>
          </mc:Choice>
        </mc:AlternateContent>
        <mc:AlternateContent xmlns:mc="http://schemas.openxmlformats.org/markup-compatibility/2006">
          <mc:Choice Requires="x14">
            <control shapeId="3084" name="Check Box 12" r:id="rId8">
              <controlPr defaultSize="0">
                <anchor moveWithCells="1">
                  <from>
                    <xdr:col>1</xdr:col>
                    <xdr:colOff>0</xdr:colOff>
                    <xdr:row>7</xdr:row>
                    <xdr:rowOff>0</xdr:rowOff>
                  </from>
                  <to>
                    <xdr:col>3</xdr:col>
                    <xdr:colOff>65405</xdr:colOff>
                    <xdr:row>8</xdr:row>
                    <xdr:rowOff>4445</xdr:rowOff>
                  </to>
                </anchor>
              </controlPr>
            </control>
          </mc:Choice>
        </mc:AlternateContent>
        <mc:AlternateContent xmlns:mc="http://schemas.openxmlformats.org/markup-compatibility/2006">
          <mc:Choice Requires="x14">
            <control shapeId="3085" name="Check Box 13" r:id="rId9">
              <controlPr defaultSize="0">
                <anchor moveWithCells="1">
                  <from>
                    <xdr:col>1</xdr:col>
                    <xdr:colOff>0</xdr:colOff>
                    <xdr:row>8</xdr:row>
                    <xdr:rowOff>0</xdr:rowOff>
                  </from>
                  <to>
                    <xdr:col>3</xdr:col>
                    <xdr:colOff>65405</xdr:colOff>
                    <xdr:row>9</xdr:row>
                    <xdr:rowOff>4445</xdr:rowOff>
                  </to>
                </anchor>
              </controlPr>
            </control>
          </mc:Choice>
        </mc:AlternateContent>
        <mc:AlternateContent xmlns:mc="http://schemas.openxmlformats.org/markup-compatibility/2006">
          <mc:Choice Requires="x14">
            <control shapeId="3086" name="Check Box 14" r:id="rId10">
              <controlPr defaultSize="0">
                <anchor moveWithCells="1">
                  <from>
                    <xdr:col>1</xdr:col>
                    <xdr:colOff>0</xdr:colOff>
                    <xdr:row>9</xdr:row>
                    <xdr:rowOff>0</xdr:rowOff>
                  </from>
                  <to>
                    <xdr:col>3</xdr:col>
                    <xdr:colOff>65405</xdr:colOff>
                    <xdr:row>10</xdr:row>
                    <xdr:rowOff>4445</xdr:rowOff>
                  </to>
                </anchor>
              </controlPr>
            </control>
          </mc:Choice>
        </mc:AlternateContent>
        <mc:AlternateContent xmlns:mc="http://schemas.openxmlformats.org/markup-compatibility/2006">
          <mc:Choice Requires="x14">
            <control shapeId="3087" name="Check Box 15" r:id="rId11">
              <controlPr defaultSize="0">
                <anchor moveWithCells="1">
                  <from>
                    <xdr:col>1</xdr:col>
                    <xdr:colOff>0</xdr:colOff>
                    <xdr:row>10</xdr:row>
                    <xdr:rowOff>0</xdr:rowOff>
                  </from>
                  <to>
                    <xdr:col>3</xdr:col>
                    <xdr:colOff>65405</xdr:colOff>
                    <xdr:row>11</xdr:row>
                    <xdr:rowOff>4445</xdr:rowOff>
                  </to>
                </anchor>
              </controlPr>
            </control>
          </mc:Choice>
        </mc:AlternateContent>
        <mc:AlternateContent xmlns:mc="http://schemas.openxmlformats.org/markup-compatibility/2006">
          <mc:Choice Requires="x14">
            <control shapeId="3088" name="Check Box 16" r:id="rId12">
              <controlPr defaultSize="0">
                <anchor moveWithCells="1">
                  <from>
                    <xdr:col>1</xdr:col>
                    <xdr:colOff>0</xdr:colOff>
                    <xdr:row>11</xdr:row>
                    <xdr:rowOff>0</xdr:rowOff>
                  </from>
                  <to>
                    <xdr:col>3</xdr:col>
                    <xdr:colOff>65405</xdr:colOff>
                    <xdr:row>12</xdr:row>
                    <xdr:rowOff>4445</xdr:rowOff>
                  </to>
                </anchor>
              </controlPr>
            </control>
          </mc:Choice>
        </mc:AlternateContent>
        <mc:AlternateContent xmlns:mc="http://schemas.openxmlformats.org/markup-compatibility/2006">
          <mc:Choice Requires="x14">
            <control shapeId="3089" name="Check Box 17" r:id="rId13">
              <controlPr defaultSize="0">
                <anchor moveWithCells="1">
                  <from>
                    <xdr:col>1</xdr:col>
                    <xdr:colOff>0</xdr:colOff>
                    <xdr:row>13</xdr:row>
                    <xdr:rowOff>0</xdr:rowOff>
                  </from>
                  <to>
                    <xdr:col>3</xdr:col>
                    <xdr:colOff>65405</xdr:colOff>
                    <xdr:row>14</xdr:row>
                    <xdr:rowOff>4445</xdr:rowOff>
                  </to>
                </anchor>
              </controlPr>
            </control>
          </mc:Choice>
        </mc:AlternateContent>
        <mc:AlternateContent xmlns:mc="http://schemas.openxmlformats.org/markup-compatibility/2006">
          <mc:Choice Requires="x14">
            <control shapeId="3090" name="Check Box 18" r:id="rId14">
              <controlPr defaultSize="0">
                <anchor moveWithCells="1">
                  <from>
                    <xdr:col>1</xdr:col>
                    <xdr:colOff>0</xdr:colOff>
                    <xdr:row>14</xdr:row>
                    <xdr:rowOff>0</xdr:rowOff>
                  </from>
                  <to>
                    <xdr:col>3</xdr:col>
                    <xdr:colOff>65405</xdr:colOff>
                    <xdr:row>15</xdr:row>
                    <xdr:rowOff>4445</xdr:rowOff>
                  </to>
                </anchor>
              </controlPr>
            </control>
          </mc:Choice>
        </mc:AlternateContent>
        <mc:AlternateContent xmlns:mc="http://schemas.openxmlformats.org/markup-compatibility/2006">
          <mc:Choice Requires="x14">
            <control shapeId="3091" name="Check Box 19" r:id="rId15">
              <controlPr defaultSize="0">
                <anchor moveWithCells="1">
                  <from>
                    <xdr:col>1</xdr:col>
                    <xdr:colOff>0</xdr:colOff>
                    <xdr:row>15</xdr:row>
                    <xdr:rowOff>0</xdr:rowOff>
                  </from>
                  <to>
                    <xdr:col>3</xdr:col>
                    <xdr:colOff>65405</xdr:colOff>
                    <xdr:row>16</xdr:row>
                    <xdr:rowOff>4445</xdr:rowOff>
                  </to>
                </anchor>
              </controlPr>
            </control>
          </mc:Choice>
        </mc:AlternateContent>
        <mc:AlternateContent xmlns:mc="http://schemas.openxmlformats.org/markup-compatibility/2006">
          <mc:Choice Requires="x14">
            <control shapeId="3092" name="Check Box 20" r:id="rId16">
              <controlPr defaultSize="0">
                <anchor moveWithCells="1">
                  <from>
                    <xdr:col>1</xdr:col>
                    <xdr:colOff>0</xdr:colOff>
                    <xdr:row>16</xdr:row>
                    <xdr:rowOff>0</xdr:rowOff>
                  </from>
                  <to>
                    <xdr:col>3</xdr:col>
                    <xdr:colOff>65405</xdr:colOff>
                    <xdr:row>17</xdr:row>
                    <xdr:rowOff>4445</xdr:rowOff>
                  </to>
                </anchor>
              </controlPr>
            </control>
          </mc:Choice>
        </mc:AlternateContent>
        <mc:AlternateContent xmlns:mc="http://schemas.openxmlformats.org/markup-compatibility/2006">
          <mc:Choice Requires="x14">
            <control shapeId="3094" name="Check Box 22" r:id="rId17">
              <controlPr defaultSize="0">
                <anchor moveWithCells="1">
                  <from>
                    <xdr:col>1</xdr:col>
                    <xdr:colOff>0</xdr:colOff>
                    <xdr:row>17</xdr:row>
                    <xdr:rowOff>0</xdr:rowOff>
                  </from>
                  <to>
                    <xdr:col>3</xdr:col>
                    <xdr:colOff>65405</xdr:colOff>
                    <xdr:row>18</xdr:row>
                    <xdr:rowOff>4445</xdr:rowOff>
                  </to>
                </anchor>
              </controlPr>
            </control>
          </mc:Choice>
        </mc:AlternateContent>
        <mc:AlternateContent xmlns:mc="http://schemas.openxmlformats.org/markup-compatibility/2006">
          <mc:Choice Requires="x14">
            <control shapeId="3095" name="Check Box 23" r:id="rId18">
              <controlPr defaultSize="0">
                <anchor moveWithCells="1">
                  <from>
                    <xdr:col>1</xdr:col>
                    <xdr:colOff>0</xdr:colOff>
                    <xdr:row>18</xdr:row>
                    <xdr:rowOff>0</xdr:rowOff>
                  </from>
                  <to>
                    <xdr:col>3</xdr:col>
                    <xdr:colOff>65405</xdr:colOff>
                    <xdr:row>19</xdr:row>
                    <xdr:rowOff>4445</xdr:rowOff>
                  </to>
                </anchor>
              </controlPr>
            </control>
          </mc:Choice>
        </mc:AlternateContent>
        <mc:AlternateContent xmlns:mc="http://schemas.openxmlformats.org/markup-compatibility/2006">
          <mc:Choice Requires="x14">
            <control shapeId="3096" name="Check Box 24" r:id="rId19">
              <controlPr defaultSize="0">
                <anchor moveWithCells="1">
                  <from>
                    <xdr:col>1</xdr:col>
                    <xdr:colOff>0</xdr:colOff>
                    <xdr:row>19</xdr:row>
                    <xdr:rowOff>0</xdr:rowOff>
                  </from>
                  <to>
                    <xdr:col>3</xdr:col>
                    <xdr:colOff>65405</xdr:colOff>
                    <xdr:row>20</xdr:row>
                    <xdr:rowOff>4445</xdr:rowOff>
                  </to>
                </anchor>
              </controlPr>
            </control>
          </mc:Choice>
        </mc:AlternateContent>
        <mc:AlternateContent xmlns:mc="http://schemas.openxmlformats.org/markup-compatibility/2006">
          <mc:Choice Requires="x14">
            <control shapeId="3097" name="Check Box 25" r:id="rId20">
              <controlPr defaultSize="0">
                <anchor moveWithCells="1">
                  <from>
                    <xdr:col>1</xdr:col>
                    <xdr:colOff>0</xdr:colOff>
                    <xdr:row>20</xdr:row>
                    <xdr:rowOff>0</xdr:rowOff>
                  </from>
                  <to>
                    <xdr:col>3</xdr:col>
                    <xdr:colOff>65405</xdr:colOff>
                    <xdr:row>21</xdr:row>
                    <xdr:rowOff>4445</xdr:rowOff>
                  </to>
                </anchor>
              </controlPr>
            </control>
          </mc:Choice>
        </mc:AlternateContent>
        <mc:AlternateContent xmlns:mc="http://schemas.openxmlformats.org/markup-compatibility/2006">
          <mc:Choice Requires="x14">
            <control shapeId="3099" name="Check Box 27" r:id="rId21">
              <controlPr defaultSize="0">
                <anchor moveWithCells="1">
                  <from>
                    <xdr:col>1</xdr:col>
                    <xdr:colOff>0</xdr:colOff>
                    <xdr:row>21</xdr:row>
                    <xdr:rowOff>0</xdr:rowOff>
                  </from>
                  <to>
                    <xdr:col>3</xdr:col>
                    <xdr:colOff>65405</xdr:colOff>
                    <xdr:row>22</xdr:row>
                    <xdr:rowOff>4445</xdr:rowOff>
                  </to>
                </anchor>
              </controlPr>
            </control>
          </mc:Choice>
        </mc:AlternateContent>
        <mc:AlternateContent xmlns:mc="http://schemas.openxmlformats.org/markup-compatibility/2006">
          <mc:Choice Requires="x14">
            <control shapeId="3100" name="Check Box 28" r:id="rId22">
              <controlPr defaultSize="0">
                <anchor moveWithCells="1">
                  <from>
                    <xdr:col>1</xdr:col>
                    <xdr:colOff>0</xdr:colOff>
                    <xdr:row>22</xdr:row>
                    <xdr:rowOff>0</xdr:rowOff>
                  </from>
                  <to>
                    <xdr:col>3</xdr:col>
                    <xdr:colOff>65405</xdr:colOff>
                    <xdr:row>23</xdr:row>
                    <xdr:rowOff>4445</xdr:rowOff>
                  </to>
                </anchor>
              </controlPr>
            </control>
          </mc:Choice>
        </mc:AlternateContent>
        <mc:AlternateContent xmlns:mc="http://schemas.openxmlformats.org/markup-compatibility/2006">
          <mc:Choice Requires="x14">
            <control shapeId="3101" name="Check Box 29" r:id="rId23">
              <controlPr defaultSize="0">
                <anchor moveWithCells="1">
                  <from>
                    <xdr:col>1</xdr:col>
                    <xdr:colOff>0</xdr:colOff>
                    <xdr:row>24</xdr:row>
                    <xdr:rowOff>0</xdr:rowOff>
                  </from>
                  <to>
                    <xdr:col>3</xdr:col>
                    <xdr:colOff>65405</xdr:colOff>
                    <xdr:row>25</xdr:row>
                    <xdr:rowOff>4445</xdr:rowOff>
                  </to>
                </anchor>
              </controlPr>
            </control>
          </mc:Choice>
        </mc:AlternateContent>
        <mc:AlternateContent xmlns:mc="http://schemas.openxmlformats.org/markup-compatibility/2006">
          <mc:Choice Requires="x14">
            <control shapeId="3102" name="Check Box 30" r:id="rId24">
              <controlPr defaultSize="0">
                <anchor moveWithCells="1">
                  <from>
                    <xdr:col>1</xdr:col>
                    <xdr:colOff>0</xdr:colOff>
                    <xdr:row>25</xdr:row>
                    <xdr:rowOff>0</xdr:rowOff>
                  </from>
                  <to>
                    <xdr:col>3</xdr:col>
                    <xdr:colOff>65405</xdr:colOff>
                    <xdr:row>26</xdr:row>
                    <xdr:rowOff>4445</xdr:rowOff>
                  </to>
                </anchor>
              </controlPr>
            </control>
          </mc:Choice>
        </mc:AlternateContent>
        <mc:AlternateContent xmlns:mc="http://schemas.openxmlformats.org/markup-compatibility/2006">
          <mc:Choice Requires="x14">
            <control shapeId="3103" name="Check Box 31" r:id="rId25">
              <controlPr defaultSize="0">
                <anchor moveWithCells="1">
                  <from>
                    <xdr:col>1</xdr:col>
                    <xdr:colOff>0</xdr:colOff>
                    <xdr:row>26</xdr:row>
                    <xdr:rowOff>0</xdr:rowOff>
                  </from>
                  <to>
                    <xdr:col>3</xdr:col>
                    <xdr:colOff>65405</xdr:colOff>
                    <xdr:row>27</xdr:row>
                    <xdr:rowOff>4445</xdr:rowOff>
                  </to>
                </anchor>
              </controlPr>
            </control>
          </mc:Choice>
        </mc:AlternateContent>
        <mc:AlternateContent xmlns:mc="http://schemas.openxmlformats.org/markup-compatibility/2006">
          <mc:Choice Requires="x14">
            <control shapeId="3104" name="Check Box 32" r:id="rId26">
              <controlPr defaultSize="0">
                <anchor moveWithCells="1">
                  <from>
                    <xdr:col>1</xdr:col>
                    <xdr:colOff>0</xdr:colOff>
                    <xdr:row>27</xdr:row>
                    <xdr:rowOff>0</xdr:rowOff>
                  </from>
                  <to>
                    <xdr:col>3</xdr:col>
                    <xdr:colOff>65405</xdr:colOff>
                    <xdr:row>28</xdr:row>
                    <xdr:rowOff>4445</xdr:rowOff>
                  </to>
                </anchor>
              </controlPr>
            </control>
          </mc:Choice>
        </mc:AlternateContent>
        <mc:AlternateContent xmlns:mc="http://schemas.openxmlformats.org/markup-compatibility/2006">
          <mc:Choice Requires="x14">
            <control shapeId="3105" name="Check Box 33" r:id="rId27">
              <controlPr defaultSize="0">
                <anchor moveWithCells="1">
                  <from>
                    <xdr:col>1</xdr:col>
                    <xdr:colOff>0</xdr:colOff>
                    <xdr:row>28</xdr:row>
                    <xdr:rowOff>0</xdr:rowOff>
                  </from>
                  <to>
                    <xdr:col>3</xdr:col>
                    <xdr:colOff>65405</xdr:colOff>
                    <xdr:row>29</xdr:row>
                    <xdr:rowOff>4445</xdr:rowOff>
                  </to>
                </anchor>
              </controlPr>
            </control>
          </mc:Choice>
        </mc:AlternateContent>
        <mc:AlternateContent xmlns:mc="http://schemas.openxmlformats.org/markup-compatibility/2006">
          <mc:Choice Requires="x14">
            <control shapeId="3106" name="Check Box 34" r:id="rId28">
              <controlPr defaultSize="0">
                <anchor moveWithCells="1">
                  <from>
                    <xdr:col>1</xdr:col>
                    <xdr:colOff>0</xdr:colOff>
                    <xdr:row>29</xdr:row>
                    <xdr:rowOff>0</xdr:rowOff>
                  </from>
                  <to>
                    <xdr:col>3</xdr:col>
                    <xdr:colOff>65405</xdr:colOff>
                    <xdr:row>30</xdr:row>
                    <xdr:rowOff>4445</xdr:rowOff>
                  </to>
                </anchor>
              </controlPr>
            </control>
          </mc:Choice>
        </mc:AlternateContent>
        <mc:AlternateContent xmlns:mc="http://schemas.openxmlformats.org/markup-compatibility/2006">
          <mc:Choice Requires="x14">
            <control shapeId="3107" name="Check Box 35" r:id="rId29">
              <controlPr defaultSize="0">
                <anchor moveWithCells="1">
                  <from>
                    <xdr:col>1</xdr:col>
                    <xdr:colOff>0</xdr:colOff>
                    <xdr:row>30</xdr:row>
                    <xdr:rowOff>0</xdr:rowOff>
                  </from>
                  <to>
                    <xdr:col>3</xdr:col>
                    <xdr:colOff>65405</xdr:colOff>
                    <xdr:row>31</xdr:row>
                    <xdr:rowOff>4445</xdr:rowOff>
                  </to>
                </anchor>
              </controlPr>
            </control>
          </mc:Choice>
        </mc:AlternateContent>
        <mc:AlternateContent xmlns:mc="http://schemas.openxmlformats.org/markup-compatibility/2006">
          <mc:Choice Requires="x14">
            <control shapeId="3108" name="Check Box 36" r:id="rId30">
              <controlPr defaultSize="0">
                <anchor moveWithCells="1">
                  <from>
                    <xdr:col>1</xdr:col>
                    <xdr:colOff>0</xdr:colOff>
                    <xdr:row>31</xdr:row>
                    <xdr:rowOff>0</xdr:rowOff>
                  </from>
                  <to>
                    <xdr:col>3</xdr:col>
                    <xdr:colOff>65405</xdr:colOff>
                    <xdr:row>32</xdr:row>
                    <xdr:rowOff>4445</xdr:rowOff>
                  </to>
                </anchor>
              </controlPr>
            </control>
          </mc:Choice>
        </mc:AlternateContent>
        <mc:AlternateContent xmlns:mc="http://schemas.openxmlformats.org/markup-compatibility/2006">
          <mc:Choice Requires="x14">
            <control shapeId="3109" name="Check Box 37" r:id="rId31">
              <controlPr defaultSize="0">
                <anchor moveWithCells="1">
                  <from>
                    <xdr:col>1</xdr:col>
                    <xdr:colOff>0</xdr:colOff>
                    <xdr:row>32</xdr:row>
                    <xdr:rowOff>0</xdr:rowOff>
                  </from>
                  <to>
                    <xdr:col>3</xdr:col>
                    <xdr:colOff>65405</xdr:colOff>
                    <xdr:row>33</xdr:row>
                    <xdr:rowOff>4445</xdr:rowOff>
                  </to>
                </anchor>
              </controlPr>
            </control>
          </mc:Choice>
        </mc:AlternateContent>
        <mc:AlternateContent xmlns:mc="http://schemas.openxmlformats.org/markup-compatibility/2006">
          <mc:Choice Requires="x14">
            <control shapeId="3110" name="Check Box 38" r:id="rId32">
              <controlPr defaultSize="0">
                <anchor moveWithCells="1">
                  <from>
                    <xdr:col>1</xdr:col>
                    <xdr:colOff>0</xdr:colOff>
                    <xdr:row>33</xdr:row>
                    <xdr:rowOff>0</xdr:rowOff>
                  </from>
                  <to>
                    <xdr:col>3</xdr:col>
                    <xdr:colOff>65405</xdr:colOff>
                    <xdr:row>34</xdr:row>
                    <xdr:rowOff>4445</xdr:rowOff>
                  </to>
                </anchor>
              </controlPr>
            </control>
          </mc:Choice>
        </mc:AlternateContent>
        <mc:AlternateContent xmlns:mc="http://schemas.openxmlformats.org/markup-compatibility/2006">
          <mc:Choice Requires="x14">
            <control shapeId="3111" name="Check Box 39" r:id="rId33">
              <controlPr defaultSize="0">
                <anchor moveWithCells="1">
                  <from>
                    <xdr:col>1</xdr:col>
                    <xdr:colOff>0</xdr:colOff>
                    <xdr:row>35</xdr:row>
                    <xdr:rowOff>0</xdr:rowOff>
                  </from>
                  <to>
                    <xdr:col>3</xdr:col>
                    <xdr:colOff>65405</xdr:colOff>
                    <xdr:row>36</xdr:row>
                    <xdr:rowOff>4445</xdr:rowOff>
                  </to>
                </anchor>
              </controlPr>
            </control>
          </mc:Choice>
        </mc:AlternateContent>
        <mc:AlternateContent xmlns:mc="http://schemas.openxmlformats.org/markup-compatibility/2006">
          <mc:Choice Requires="x14">
            <control shapeId="3112" name="Check Box 40" r:id="rId34">
              <controlPr defaultSize="0">
                <anchor moveWithCells="1">
                  <from>
                    <xdr:col>1</xdr:col>
                    <xdr:colOff>0</xdr:colOff>
                    <xdr:row>36</xdr:row>
                    <xdr:rowOff>0</xdr:rowOff>
                  </from>
                  <to>
                    <xdr:col>3</xdr:col>
                    <xdr:colOff>65405</xdr:colOff>
                    <xdr:row>37</xdr:row>
                    <xdr:rowOff>4445</xdr:rowOff>
                  </to>
                </anchor>
              </controlPr>
            </control>
          </mc:Choice>
        </mc:AlternateContent>
        <mc:AlternateContent xmlns:mc="http://schemas.openxmlformats.org/markup-compatibility/2006">
          <mc:Choice Requires="x14">
            <control shapeId="3113" name="Check Box 41" r:id="rId35">
              <controlPr defaultSize="0">
                <anchor moveWithCells="1">
                  <from>
                    <xdr:col>1</xdr:col>
                    <xdr:colOff>0</xdr:colOff>
                    <xdr:row>37</xdr:row>
                    <xdr:rowOff>0</xdr:rowOff>
                  </from>
                  <to>
                    <xdr:col>3</xdr:col>
                    <xdr:colOff>65405</xdr:colOff>
                    <xdr:row>38</xdr:row>
                    <xdr:rowOff>4445</xdr:rowOff>
                  </to>
                </anchor>
              </controlPr>
            </control>
          </mc:Choice>
        </mc:AlternateContent>
        <mc:AlternateContent xmlns:mc="http://schemas.openxmlformats.org/markup-compatibility/2006">
          <mc:Choice Requires="x14">
            <control shapeId="3114" name="Check Box 42" r:id="rId36">
              <controlPr defaultSize="0">
                <anchor moveWithCells="1">
                  <from>
                    <xdr:col>1</xdr:col>
                    <xdr:colOff>0</xdr:colOff>
                    <xdr:row>38</xdr:row>
                    <xdr:rowOff>0</xdr:rowOff>
                  </from>
                  <to>
                    <xdr:col>3</xdr:col>
                    <xdr:colOff>65405</xdr:colOff>
                    <xdr:row>39</xdr:row>
                    <xdr:rowOff>4445</xdr:rowOff>
                  </to>
                </anchor>
              </controlPr>
            </control>
          </mc:Choice>
        </mc:AlternateContent>
        <mc:AlternateContent xmlns:mc="http://schemas.openxmlformats.org/markup-compatibility/2006">
          <mc:Choice Requires="x14">
            <control shapeId="3115" name="Check Box 43" r:id="rId37">
              <controlPr defaultSize="0">
                <anchor moveWithCells="1">
                  <from>
                    <xdr:col>1</xdr:col>
                    <xdr:colOff>0</xdr:colOff>
                    <xdr:row>39</xdr:row>
                    <xdr:rowOff>0</xdr:rowOff>
                  </from>
                  <to>
                    <xdr:col>3</xdr:col>
                    <xdr:colOff>65405</xdr:colOff>
                    <xdr:row>40</xdr:row>
                    <xdr:rowOff>4445</xdr:rowOff>
                  </to>
                </anchor>
              </controlPr>
            </control>
          </mc:Choice>
        </mc:AlternateContent>
        <mc:AlternateContent xmlns:mc="http://schemas.openxmlformats.org/markup-compatibility/2006">
          <mc:Choice Requires="x14">
            <control shapeId="3117" name="Check Box 45" r:id="rId38">
              <controlPr defaultSize="0">
                <anchor moveWithCells="1">
                  <from>
                    <xdr:col>1</xdr:col>
                    <xdr:colOff>0</xdr:colOff>
                    <xdr:row>40</xdr:row>
                    <xdr:rowOff>0</xdr:rowOff>
                  </from>
                  <to>
                    <xdr:col>3</xdr:col>
                    <xdr:colOff>65405</xdr:colOff>
                    <xdr:row>41</xdr:row>
                    <xdr:rowOff>4445</xdr:rowOff>
                  </to>
                </anchor>
              </controlPr>
            </control>
          </mc:Choice>
        </mc:AlternateContent>
        <mc:AlternateContent xmlns:mc="http://schemas.openxmlformats.org/markup-compatibility/2006">
          <mc:Choice Requires="x14">
            <control shapeId="3118" name="Check Box 46" r:id="rId39">
              <controlPr defaultSize="0">
                <anchor moveWithCells="1">
                  <from>
                    <xdr:col>1</xdr:col>
                    <xdr:colOff>0</xdr:colOff>
                    <xdr:row>41</xdr:row>
                    <xdr:rowOff>0</xdr:rowOff>
                  </from>
                  <to>
                    <xdr:col>3</xdr:col>
                    <xdr:colOff>65405</xdr:colOff>
                    <xdr:row>42</xdr:row>
                    <xdr:rowOff>4445</xdr:rowOff>
                  </to>
                </anchor>
              </controlPr>
            </control>
          </mc:Choice>
        </mc:AlternateContent>
        <mc:AlternateContent xmlns:mc="http://schemas.openxmlformats.org/markup-compatibility/2006">
          <mc:Choice Requires="x14">
            <control shapeId="3119" name="Check Box 47" r:id="rId40">
              <controlPr defaultSize="0">
                <anchor moveWithCells="1">
                  <from>
                    <xdr:col>1</xdr:col>
                    <xdr:colOff>0</xdr:colOff>
                    <xdr:row>42</xdr:row>
                    <xdr:rowOff>0</xdr:rowOff>
                  </from>
                  <to>
                    <xdr:col>3</xdr:col>
                    <xdr:colOff>65405</xdr:colOff>
                    <xdr:row>43</xdr:row>
                    <xdr:rowOff>4445</xdr:rowOff>
                  </to>
                </anchor>
              </controlPr>
            </control>
          </mc:Choice>
        </mc:AlternateContent>
        <mc:AlternateContent xmlns:mc="http://schemas.openxmlformats.org/markup-compatibility/2006">
          <mc:Choice Requires="x14">
            <control shapeId="3120" name="Check Box 48" r:id="rId41">
              <controlPr defaultSize="0">
                <anchor moveWithCells="1">
                  <from>
                    <xdr:col>1</xdr:col>
                    <xdr:colOff>0</xdr:colOff>
                    <xdr:row>43</xdr:row>
                    <xdr:rowOff>0</xdr:rowOff>
                  </from>
                  <to>
                    <xdr:col>3</xdr:col>
                    <xdr:colOff>65405</xdr:colOff>
                    <xdr:row>44</xdr:row>
                    <xdr:rowOff>4445</xdr:rowOff>
                  </to>
                </anchor>
              </controlPr>
            </control>
          </mc:Choice>
        </mc:AlternateContent>
        <mc:AlternateContent xmlns:mc="http://schemas.openxmlformats.org/markup-compatibility/2006">
          <mc:Choice Requires="x14">
            <control shapeId="3121" name="Check Box 49" r:id="rId42">
              <controlPr defaultSize="0">
                <anchor moveWithCells="1">
                  <from>
                    <xdr:col>1</xdr:col>
                    <xdr:colOff>0</xdr:colOff>
                    <xdr:row>44</xdr:row>
                    <xdr:rowOff>0</xdr:rowOff>
                  </from>
                  <to>
                    <xdr:col>3</xdr:col>
                    <xdr:colOff>65405</xdr:colOff>
                    <xdr:row>45</xdr:row>
                    <xdr:rowOff>4445</xdr:rowOff>
                  </to>
                </anchor>
              </controlPr>
            </control>
          </mc:Choice>
        </mc:AlternateContent>
        <mc:AlternateContent xmlns:mc="http://schemas.openxmlformats.org/markup-compatibility/2006">
          <mc:Choice Requires="x14">
            <control shapeId="3122" name="Check Box 50" r:id="rId43">
              <controlPr defaultSize="0">
                <anchor moveWithCells="1">
                  <from>
                    <xdr:col>1</xdr:col>
                    <xdr:colOff>0</xdr:colOff>
                    <xdr:row>46</xdr:row>
                    <xdr:rowOff>0</xdr:rowOff>
                  </from>
                  <to>
                    <xdr:col>3</xdr:col>
                    <xdr:colOff>65405</xdr:colOff>
                    <xdr:row>47</xdr:row>
                    <xdr:rowOff>4445</xdr:rowOff>
                  </to>
                </anchor>
              </controlPr>
            </control>
          </mc:Choice>
        </mc:AlternateContent>
        <mc:AlternateContent xmlns:mc="http://schemas.openxmlformats.org/markup-compatibility/2006">
          <mc:Choice Requires="x14">
            <control shapeId="3123" name="Check Box 51" r:id="rId44">
              <controlPr defaultSize="0">
                <anchor moveWithCells="1">
                  <from>
                    <xdr:col>1</xdr:col>
                    <xdr:colOff>0</xdr:colOff>
                    <xdr:row>47</xdr:row>
                    <xdr:rowOff>0</xdr:rowOff>
                  </from>
                  <to>
                    <xdr:col>3</xdr:col>
                    <xdr:colOff>65405</xdr:colOff>
                    <xdr:row>48</xdr:row>
                    <xdr:rowOff>4445</xdr:rowOff>
                  </to>
                </anchor>
              </controlPr>
            </control>
          </mc:Choice>
        </mc:AlternateContent>
        <mc:AlternateContent xmlns:mc="http://schemas.openxmlformats.org/markup-compatibility/2006">
          <mc:Choice Requires="x14">
            <control shapeId="3124" name="Check Box 52" r:id="rId45">
              <controlPr defaultSize="0">
                <anchor moveWithCells="1">
                  <from>
                    <xdr:col>1</xdr:col>
                    <xdr:colOff>0</xdr:colOff>
                    <xdr:row>48</xdr:row>
                    <xdr:rowOff>0</xdr:rowOff>
                  </from>
                  <to>
                    <xdr:col>3</xdr:col>
                    <xdr:colOff>65405</xdr:colOff>
                    <xdr:row>49</xdr:row>
                    <xdr:rowOff>4445</xdr:rowOff>
                  </to>
                </anchor>
              </controlPr>
            </control>
          </mc:Choice>
        </mc:AlternateContent>
        <mc:AlternateContent xmlns:mc="http://schemas.openxmlformats.org/markup-compatibility/2006">
          <mc:Choice Requires="x14">
            <control shapeId="3125" name="Check Box 53" r:id="rId46">
              <controlPr defaultSize="0">
                <anchor moveWithCells="1">
                  <from>
                    <xdr:col>1</xdr:col>
                    <xdr:colOff>0</xdr:colOff>
                    <xdr:row>49</xdr:row>
                    <xdr:rowOff>0</xdr:rowOff>
                  </from>
                  <to>
                    <xdr:col>3</xdr:col>
                    <xdr:colOff>65405</xdr:colOff>
                    <xdr:row>50</xdr:row>
                    <xdr:rowOff>4445</xdr:rowOff>
                  </to>
                </anchor>
              </controlPr>
            </control>
          </mc:Choice>
        </mc:AlternateContent>
        <mc:AlternateContent xmlns:mc="http://schemas.openxmlformats.org/markup-compatibility/2006">
          <mc:Choice Requires="x14">
            <control shapeId="3126" name="Check Box 54" r:id="rId47">
              <controlPr defaultSize="0">
                <anchor moveWithCells="1">
                  <from>
                    <xdr:col>1</xdr:col>
                    <xdr:colOff>0</xdr:colOff>
                    <xdr:row>50</xdr:row>
                    <xdr:rowOff>0</xdr:rowOff>
                  </from>
                  <to>
                    <xdr:col>3</xdr:col>
                    <xdr:colOff>65405</xdr:colOff>
                    <xdr:row>51</xdr:row>
                    <xdr:rowOff>4445</xdr:rowOff>
                  </to>
                </anchor>
              </controlPr>
            </control>
          </mc:Choice>
        </mc:AlternateContent>
        <mc:AlternateContent xmlns:mc="http://schemas.openxmlformats.org/markup-compatibility/2006">
          <mc:Choice Requires="x14">
            <control shapeId="3127" name="Check Box 55" r:id="rId48">
              <controlPr defaultSize="0">
                <anchor moveWithCells="1">
                  <from>
                    <xdr:col>1</xdr:col>
                    <xdr:colOff>0</xdr:colOff>
                    <xdr:row>51</xdr:row>
                    <xdr:rowOff>0</xdr:rowOff>
                  </from>
                  <to>
                    <xdr:col>3</xdr:col>
                    <xdr:colOff>65405</xdr:colOff>
                    <xdr:row>52</xdr:row>
                    <xdr:rowOff>4445</xdr:rowOff>
                  </to>
                </anchor>
              </controlPr>
            </control>
          </mc:Choice>
        </mc:AlternateContent>
        <mc:AlternateContent xmlns:mc="http://schemas.openxmlformats.org/markup-compatibility/2006">
          <mc:Choice Requires="x14">
            <control shapeId="3128" name="Check Box 56" r:id="rId49">
              <controlPr defaultSize="0">
                <anchor moveWithCells="1">
                  <from>
                    <xdr:col>1</xdr:col>
                    <xdr:colOff>0</xdr:colOff>
                    <xdr:row>52</xdr:row>
                    <xdr:rowOff>0</xdr:rowOff>
                  </from>
                  <to>
                    <xdr:col>3</xdr:col>
                    <xdr:colOff>65405</xdr:colOff>
                    <xdr:row>53</xdr:row>
                    <xdr:rowOff>4445</xdr:rowOff>
                  </to>
                </anchor>
              </controlPr>
            </control>
          </mc:Choice>
        </mc:AlternateContent>
        <mc:AlternateContent xmlns:mc="http://schemas.openxmlformats.org/markup-compatibility/2006">
          <mc:Choice Requires="x14">
            <control shapeId="3129" name="Check Box 57" r:id="rId50">
              <controlPr defaultSize="0">
                <anchor moveWithCells="1">
                  <from>
                    <xdr:col>1</xdr:col>
                    <xdr:colOff>0</xdr:colOff>
                    <xdr:row>53</xdr:row>
                    <xdr:rowOff>0</xdr:rowOff>
                  </from>
                  <to>
                    <xdr:col>3</xdr:col>
                    <xdr:colOff>65405</xdr:colOff>
                    <xdr:row>54</xdr:row>
                    <xdr:rowOff>4445</xdr:rowOff>
                  </to>
                </anchor>
              </controlPr>
            </control>
          </mc:Choice>
        </mc:AlternateContent>
        <mc:AlternateContent xmlns:mc="http://schemas.openxmlformats.org/markup-compatibility/2006">
          <mc:Choice Requires="x14">
            <control shapeId="3130" name="Check Box 58" r:id="rId51">
              <controlPr defaultSize="0">
                <anchor moveWithCells="1">
                  <from>
                    <xdr:col>1</xdr:col>
                    <xdr:colOff>0</xdr:colOff>
                    <xdr:row>54</xdr:row>
                    <xdr:rowOff>0</xdr:rowOff>
                  </from>
                  <to>
                    <xdr:col>3</xdr:col>
                    <xdr:colOff>65405</xdr:colOff>
                    <xdr:row>55</xdr:row>
                    <xdr:rowOff>4445</xdr:rowOff>
                  </to>
                </anchor>
              </controlPr>
            </control>
          </mc:Choice>
        </mc:AlternateContent>
        <mc:AlternateContent xmlns:mc="http://schemas.openxmlformats.org/markup-compatibility/2006">
          <mc:Choice Requires="x14">
            <control shapeId="3131" name="Check Box 59" r:id="rId52">
              <controlPr defaultSize="0">
                <anchor moveWithCells="1">
                  <from>
                    <xdr:col>1</xdr:col>
                    <xdr:colOff>0</xdr:colOff>
                    <xdr:row>55</xdr:row>
                    <xdr:rowOff>0</xdr:rowOff>
                  </from>
                  <to>
                    <xdr:col>3</xdr:col>
                    <xdr:colOff>65405</xdr:colOff>
                    <xdr:row>56</xdr:row>
                    <xdr:rowOff>4445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DW31"/>
  <sheetViews>
    <sheetView showGridLines="0" topLeftCell="B1" workbookViewId="0">
      <selection activeCell="L13" sqref="L13:M14"/>
    </sheetView>
  </sheetViews>
  <sheetFormatPr defaultColWidth="9" defaultRowHeight="17" customHeight="1"/>
  <cols>
    <col min="1" max="1" width="25.6272727272727" style="19" customWidth="1"/>
    <col min="2" max="2" width="9.00909090909091" style="19" customWidth="1"/>
    <col min="3" max="16" width="2.62727272727273" style="19" customWidth="1"/>
    <col min="17" max="23" width="9.00909090909091" style="19" customWidth="1"/>
    <col min="24" max="16349" width="9" style="19"/>
    <col min="16382" max="16384" width="9" style="20"/>
  </cols>
  <sheetData>
    <row r="1" customHeight="1" spans="1:22 16350:16351">
      <c r="A1" s="21" t="s">
        <v>1770</v>
      </c>
      <c r="C1" s="22" t="s">
        <v>1771</v>
      </c>
      <c r="D1" s="22"/>
      <c r="E1" s="22"/>
      <c r="F1" s="22"/>
      <c r="G1" s="22"/>
      <c r="H1" s="22"/>
      <c r="I1" s="22"/>
      <c r="J1" s="22"/>
      <c r="K1" s="22"/>
      <c r="L1" s="22"/>
      <c r="M1" s="22"/>
      <c r="N1" s="22"/>
      <c r="O1" s="22"/>
      <c r="P1" s="22"/>
      <c r="Q1" s="22"/>
      <c r="R1" s="22"/>
      <c r="S1" s="22"/>
      <c r="T1" s="22"/>
      <c r="U1" s="22"/>
      <c r="V1" s="22"/>
    </row>
    <row r="2" customHeight="1" spans="1:22 16350:16351">
      <c r="A2" s="23" t="s">
        <v>1772</v>
      </c>
    </row>
    <row r="3" customHeight="1" spans="1:22 16350:16351">
      <c r="A3" s="23" t="s">
        <v>1773</v>
      </c>
      <c r="C3" s="24" t="s">
        <v>22</v>
      </c>
      <c r="D3" s="24"/>
      <c r="E3" s="24"/>
      <c r="F3" s="25" t="s">
        <v>502</v>
      </c>
      <c r="G3" s="25"/>
      <c r="H3" s="25"/>
      <c r="I3" s="25"/>
      <c r="R3" s="26" t="s">
        <v>27</v>
      </c>
      <c r="S3" s="27" t="str">
        <f>IFERROR(IF(IF($F$4&lt;&gt;"",VLOOKUP($F$4,法术书目录!$AK$75:$BP$180,10,FALSE),VLOOKUP($F$3,法术书目录!$AK$75:$BP$180,10,FALSE))=0,"",IF($F$4&lt;&gt;"",VLOOKUP($F$4,法术书目录!$AK$75:$BP$180,10,FALSE),VLOOKUP($F$3,法术书目录!$AK$75:$BP$180,10,FALSE))),"")</f>
        <v>阿斯莫与人类成熟的速度相近，不过他们能活160年。</v>
      </c>
      <c r="T3" s="27"/>
      <c r="U3" s="27"/>
      <c r="V3" s="27"/>
    </row>
    <row r="4" customHeight="1" spans="1:22 16350:16351">
      <c r="A4" s="23" t="s">
        <v>1774</v>
      </c>
      <c r="C4" s="24" t="s">
        <v>26</v>
      </c>
      <c r="D4" s="24"/>
      <c r="E4" s="24"/>
      <c r="F4" s="25" t="s">
        <v>503</v>
      </c>
      <c r="G4" s="25"/>
      <c r="H4" s="25"/>
      <c r="I4" s="25"/>
      <c r="R4" s="26"/>
      <c r="S4" s="27"/>
      <c r="T4" s="27"/>
      <c r="U4" s="27"/>
      <c r="V4" s="27"/>
    </row>
    <row r="5" customHeight="1" spans="1:22 16350:16351">
      <c r="A5" s="23" t="s">
        <v>1775</v>
      </c>
      <c r="R5" s="26"/>
      <c r="S5" s="27"/>
      <c r="T5" s="27"/>
      <c r="U5" s="27"/>
      <c r="V5" s="27"/>
    </row>
    <row r="6" customHeight="1" spans="1:22 16350:16351">
      <c r="A6" s="23" t="s">
        <v>1776</v>
      </c>
      <c r="C6" s="28" t="s">
        <v>1777</v>
      </c>
      <c r="D6" s="28"/>
      <c r="E6" s="28"/>
      <c r="F6" s="28" t="s">
        <v>1778</v>
      </c>
      <c r="G6" s="28"/>
      <c r="H6" s="28" t="s">
        <v>1779</v>
      </c>
      <c r="I6" s="28"/>
      <c r="J6" s="28"/>
      <c r="K6" s="28"/>
      <c r="L6" s="28" t="s">
        <v>1780</v>
      </c>
      <c r="M6" s="28"/>
      <c r="O6" s="28" t="s">
        <v>66</v>
      </c>
      <c r="P6" s="28"/>
      <c r="R6" s="26" t="s">
        <v>25</v>
      </c>
      <c r="S6" s="27" t="str">
        <f>IFERROR(IF(IF($F$4&lt;&gt;"",VLOOKUP($F$4,法术书目录!$AK$75:$BP$180,11,FALSE),VLOOKUP($F$3,法术书目录!$AK$75:$BP$180,11,FALSE))=0,"",IF($F$4&lt;&gt;"",VLOOKUP($F$4,法术书目录!$AK$75:$BP$180,11,FALSE),VLOOKUP($F$3,法术书目录!$AK$75:$BP$180,11,FALSE))),"")</f>
        <v>充盈着天界之力，多数阿斯莫是善良的。被放逐的阿斯莫则通常是中立的甚至是邪恶的。</v>
      </c>
      <c r="T6" s="27"/>
      <c r="U6" s="27"/>
      <c r="V6" s="27"/>
      <c r="XDV6" s="19"/>
      <c r="XDW6" s="19"/>
    </row>
    <row r="7" customHeight="1" spans="1:22 16350:16351">
      <c r="A7" s="23" t="s">
        <v>1781</v>
      </c>
      <c r="B7" s="29">
        <v>1</v>
      </c>
      <c r="C7" s="30" t="s">
        <v>38</v>
      </c>
      <c r="D7" s="30"/>
      <c r="E7" s="30"/>
      <c r="F7" s="31">
        <v>10</v>
      </c>
      <c r="G7" s="31"/>
      <c r="H7" s="32" t="s">
        <v>18</v>
      </c>
      <c r="I7" s="33" t="str">
        <f>IFERROR(IF(IF($F$4&lt;&gt;"",VLOOKUP($F$4,法术书目录!$AK$75:$BP$180,B7+1,FALSE),VLOOKUP($F$3,法术书目录!$AK$75:$BP$180,B7+1,FALSE))=0,"",IF($F$4&lt;&gt;"",VLOOKUP($F$4,法术书目录!$AK$75:$BP$180,B7+1,FALSE),VLOOKUP($F$3,法术书目录!$AK$75:$BP$180,B7+1,FALSE))),"")</f>
        <v/>
      </c>
      <c r="J7" s="33"/>
      <c r="K7" s="32" t="s">
        <v>18</v>
      </c>
      <c r="L7" s="31"/>
      <c r="M7" s="31"/>
      <c r="N7" s="32" t="s">
        <v>18</v>
      </c>
      <c r="O7" s="31">
        <f>SUM(F7,I7,L7)</f>
        <v>10</v>
      </c>
      <c r="P7" s="31"/>
      <c r="R7" s="26"/>
      <c r="S7" s="27"/>
      <c r="T7" s="27"/>
      <c r="U7" s="27"/>
      <c r="V7" s="27"/>
      <c r="XDV7" s="19"/>
      <c r="XDW7" s="19"/>
    </row>
    <row r="8" customHeight="1" spans="1:22 16350:16351">
      <c r="A8" s="23" t="s">
        <v>1782</v>
      </c>
      <c r="B8" s="29"/>
      <c r="C8" s="30"/>
      <c r="D8" s="30"/>
      <c r="E8" s="30"/>
      <c r="F8" s="31"/>
      <c r="G8" s="31"/>
      <c r="H8" s="32"/>
      <c r="I8" s="33"/>
      <c r="J8" s="33"/>
      <c r="K8" s="32"/>
      <c r="L8" s="31"/>
      <c r="M8" s="31"/>
      <c r="N8" s="32"/>
      <c r="O8" s="31"/>
      <c r="P8" s="31"/>
      <c r="R8" s="26"/>
      <c r="S8" s="27"/>
      <c r="T8" s="27"/>
      <c r="U8" s="27"/>
      <c r="V8" s="27"/>
      <c r="XDV8" s="19"/>
      <c r="XDW8" s="19"/>
    </row>
    <row r="9" customHeight="1" spans="1:22 16350:16351">
      <c r="A9" s="23" t="s">
        <v>1783</v>
      </c>
      <c r="B9" s="29">
        <v>2</v>
      </c>
      <c r="C9" s="30" t="s">
        <v>43</v>
      </c>
      <c r="D9" s="30"/>
      <c r="E9" s="30"/>
      <c r="F9" s="31">
        <v>10</v>
      </c>
      <c r="G9" s="31"/>
      <c r="H9" s="32" t="s">
        <v>18</v>
      </c>
      <c r="I9" s="33" t="str">
        <f>IFERROR(IF(IF($F$4&lt;&gt;"",VLOOKUP($F$4,法术书目录!$AK$75:$BP$180,B9+1,FALSE),VLOOKUP($F$3,法术书目录!$AK$75:$BP$180,B9+1,FALSE))=0,"",IF($F$4&lt;&gt;"",VLOOKUP($F$4,法术书目录!$AK$75:$BP$180,B9+1,FALSE),VLOOKUP($F$3,法术书目录!$AK$75:$BP$180,B9+1,FALSE))),"")</f>
        <v/>
      </c>
      <c r="J9" s="33"/>
      <c r="K9" s="32" t="s">
        <v>18</v>
      </c>
      <c r="L9" s="31"/>
      <c r="M9" s="31"/>
      <c r="N9" s="32" t="s">
        <v>18</v>
      </c>
      <c r="O9" s="31">
        <f>SUM(F9,I9,L9)</f>
        <v>10</v>
      </c>
      <c r="P9" s="31"/>
      <c r="R9" s="26" t="s">
        <v>55</v>
      </c>
      <c r="S9" s="27" t="str">
        <f>IFERROR(IF(IF($F$4&lt;&gt;"",VLOOKUP($F$4,法术书目录!$AK$75:$BP$180,12,FALSE),VLOOKUP($F$3,法术书目录!$AK$75:$BP$180,12,FALSE))=0,"",IF($F$4&lt;&gt;"",VLOOKUP($F$4,法术书目录!$AK$75:$BP$180,12,FALSE),VLOOKUP($F$3,法术书目录!$AK$75:$BP$180,12,FALSE))),"")</f>
        <v>阿斯莫的身高和体重与人类接近。</v>
      </c>
      <c r="T9" s="27"/>
      <c r="U9" s="27"/>
      <c r="V9" s="27"/>
      <c r="XDV9" s="19"/>
      <c r="XDW9" s="19"/>
    </row>
    <row r="10" customHeight="1" spans="1:22 16350:16351">
      <c r="A10" s="23" t="s">
        <v>1784</v>
      </c>
      <c r="B10" s="29"/>
      <c r="C10" s="30"/>
      <c r="D10" s="30"/>
      <c r="E10" s="30"/>
      <c r="F10" s="31"/>
      <c r="G10" s="31"/>
      <c r="H10" s="32"/>
      <c r="I10" s="33"/>
      <c r="J10" s="33"/>
      <c r="K10" s="32"/>
      <c r="L10" s="31"/>
      <c r="M10" s="31"/>
      <c r="N10" s="32"/>
      <c r="O10" s="31"/>
      <c r="P10" s="31"/>
      <c r="R10" s="26"/>
      <c r="S10" s="27"/>
      <c r="T10" s="27"/>
      <c r="U10" s="27"/>
      <c r="V10" s="27"/>
      <c r="XDV10" s="19"/>
      <c r="XDW10" s="19"/>
    </row>
    <row r="11" customHeight="1" spans="1:22 16350:16351">
      <c r="A11" s="23" t="s">
        <v>1785</v>
      </c>
      <c r="B11" s="29">
        <v>3</v>
      </c>
      <c r="C11" s="30" t="s">
        <v>46</v>
      </c>
      <c r="D11" s="30"/>
      <c r="E11" s="30"/>
      <c r="F11" s="31">
        <v>10</v>
      </c>
      <c r="G11" s="31"/>
      <c r="H11" s="32" t="s">
        <v>18</v>
      </c>
      <c r="I11" s="33" t="str">
        <f>IFERROR(IF(IF($F$4&lt;&gt;"",VLOOKUP($F$4,法术书目录!$AK$75:$BP$180,B11+1,FALSE),VLOOKUP($F$3,法术书目录!$AK$75:$BP$180,B11+1,FALSE))=0,"",IF($F$4&lt;&gt;"",VLOOKUP($F$4,法术书目录!$AK$75:$BP$180,B11+1,FALSE),VLOOKUP($F$3,法术书目录!$AK$75:$BP$180,B11+1,FALSE))),"")</f>
        <v/>
      </c>
      <c r="J11" s="33"/>
      <c r="K11" s="32" t="s">
        <v>18</v>
      </c>
      <c r="L11" s="31"/>
      <c r="M11" s="31"/>
      <c r="N11" s="32" t="s">
        <v>18</v>
      </c>
      <c r="O11" s="31">
        <f>SUM(F11,I11,L11)</f>
        <v>10</v>
      </c>
      <c r="P11" s="31"/>
      <c r="R11" s="26"/>
      <c r="S11" s="27"/>
      <c r="T11" s="27"/>
      <c r="U11" s="27"/>
      <c r="V11" s="27"/>
      <c r="XDV11" s="19"/>
      <c r="XDW11" s="19"/>
    </row>
    <row r="12" customHeight="1" spans="1:22 16350:16351">
      <c r="A12" s="23" t="s">
        <v>1786</v>
      </c>
      <c r="B12" s="29"/>
      <c r="C12" s="30"/>
      <c r="D12" s="30"/>
      <c r="E12" s="30"/>
      <c r="F12" s="31"/>
      <c r="G12" s="31"/>
      <c r="H12" s="32"/>
      <c r="I12" s="33"/>
      <c r="J12" s="33"/>
      <c r="K12" s="32"/>
      <c r="L12" s="31"/>
      <c r="M12" s="31"/>
      <c r="N12" s="32"/>
      <c r="O12" s="31"/>
      <c r="P12" s="31"/>
      <c r="R12" s="26" t="s">
        <v>56</v>
      </c>
      <c r="S12" s="27" t="str">
        <f>IFERROR(IF(IF($F$4&lt;&gt;"",VLOOKUP($F$4,法术书目录!$AK$75:$BP$180,13,FALSE),VLOOKUP($F$3,法术书目录!$AK$75:$BP$180,13,FALSE))=0,"",IF($F$4&lt;&gt;"",VLOOKUP($F$4,法术书目录!$AK$75:$BP$180,13,FALSE),VLOOKUP($F$3,法术书目录!$AK$75:$BP$180,13,FALSE))),"")</f>
        <v>你的基础陆地移动速度是30尺。</v>
      </c>
      <c r="T12" s="27"/>
      <c r="U12" s="27"/>
      <c r="V12" s="27"/>
      <c r="XDV12" s="19"/>
      <c r="XDW12" s="19"/>
    </row>
    <row r="13" customHeight="1" spans="1:22 16350:16351">
      <c r="A13" s="23" t="s">
        <v>1787</v>
      </c>
      <c r="B13" s="29">
        <v>4</v>
      </c>
      <c r="C13" s="30" t="s">
        <v>52</v>
      </c>
      <c r="D13" s="30"/>
      <c r="E13" s="30"/>
      <c r="F13" s="31">
        <v>10</v>
      </c>
      <c r="G13" s="31"/>
      <c r="H13" s="32" t="s">
        <v>18</v>
      </c>
      <c r="I13" s="33" t="str">
        <f>IFERROR(IF(IF($F$4&lt;&gt;"",VLOOKUP($F$4,法术书目录!$AK$75:$BP$180,B13+1,FALSE),VLOOKUP($F$3,法术书目录!$AK$75:$BP$180,B13+1,FALSE))=0,"",IF($F$4&lt;&gt;"",VLOOKUP($F$4,法术书目录!$AK$75:$BP$180,B13+1,FALSE),VLOOKUP($F$3,法术书目录!$AK$75:$BP$180,B13+1,FALSE))),"")</f>
        <v/>
      </c>
      <c r="J13" s="33"/>
      <c r="K13" s="32" t="s">
        <v>18</v>
      </c>
      <c r="L13" s="31"/>
      <c r="M13" s="31"/>
      <c r="N13" s="32" t="s">
        <v>18</v>
      </c>
      <c r="O13" s="31">
        <f>SUM(F13,I13,L13)</f>
        <v>10</v>
      </c>
      <c r="P13" s="31"/>
      <c r="R13" s="26"/>
      <c r="S13" s="27"/>
      <c r="T13" s="27"/>
      <c r="U13" s="27"/>
      <c r="V13" s="27"/>
      <c r="XDV13" s="19"/>
      <c r="XDW13" s="19"/>
    </row>
    <row r="14" customHeight="1" spans="1:22 16350:16351">
      <c r="A14" s="23" t="s">
        <v>1788</v>
      </c>
      <c r="B14" s="29"/>
      <c r="C14" s="30"/>
      <c r="D14" s="30"/>
      <c r="E14" s="30"/>
      <c r="F14" s="31"/>
      <c r="G14" s="31"/>
      <c r="H14" s="32"/>
      <c r="I14" s="33"/>
      <c r="J14" s="33"/>
      <c r="K14" s="32"/>
      <c r="L14" s="31"/>
      <c r="M14" s="31"/>
      <c r="N14" s="32"/>
      <c r="O14" s="31"/>
      <c r="P14" s="31"/>
      <c r="R14" s="26"/>
      <c r="S14" s="27"/>
      <c r="T14" s="27"/>
      <c r="U14" s="27"/>
      <c r="V14" s="27"/>
      <c r="XDV14" s="19"/>
      <c r="XDW14" s="19"/>
    </row>
    <row r="15" customHeight="1" spans="1:22 16350:16351">
      <c r="A15" s="23" t="s">
        <v>1789</v>
      </c>
      <c r="B15" s="29">
        <v>5</v>
      </c>
      <c r="C15" s="30" t="s">
        <v>53</v>
      </c>
      <c r="D15" s="30"/>
      <c r="E15" s="30"/>
      <c r="F15" s="31">
        <v>10</v>
      </c>
      <c r="G15" s="31"/>
      <c r="H15" s="32" t="s">
        <v>18</v>
      </c>
      <c r="I15" s="33">
        <f>IFERROR(IF(IF($F$4&lt;&gt;"",VLOOKUP($F$4,法术书目录!$AK$75:$BP$180,B15+1,FALSE),VLOOKUP($F$3,法术书目录!$AK$75:$BP$180,B15+1,FALSE))=0,"",IF($F$4&lt;&gt;"",VLOOKUP($F$4,法术书目录!$AK$75:$BP$180,B15+1,FALSE),VLOOKUP($F$3,法术书目录!$AK$75:$BP$180,B15+1,FALSE))),"")</f>
        <v>1</v>
      </c>
      <c r="J15" s="33"/>
      <c r="K15" s="32" t="s">
        <v>18</v>
      </c>
      <c r="L15" s="31"/>
      <c r="M15" s="31"/>
      <c r="N15" s="32" t="s">
        <v>18</v>
      </c>
      <c r="O15" s="31">
        <f>SUM(F15,I15,L15)</f>
        <v>11</v>
      </c>
      <c r="P15" s="31"/>
      <c r="R15" s="26" t="s">
        <v>11</v>
      </c>
      <c r="S15" s="27" t="str">
        <f>IFERROR(IF(IF($F$4&lt;&gt;"",VLOOKUP($F$4,法术书目录!$AK$75:$BP$180,14,FALSE),VLOOKUP($F$3,法术书目录!$AK$75:$BP$180,14,FALSE))=0,"",IF($F$4&lt;&gt;"",VLOOKUP($F$4,法术书目录!$AK$75:$BP$180,14,FALSE),VLOOKUP($F$3,法术书目录!$AK$75:$BP$180,14,FALSE))),"")</f>
        <v>你能说，读，写通用语和天界语。</v>
      </c>
      <c r="T15" s="27"/>
      <c r="U15" s="27"/>
      <c r="V15" s="27"/>
      <c r="XDV15" s="19"/>
      <c r="XDW15" s="19"/>
    </row>
    <row r="16" customHeight="1" spans="1:22 16350:16351">
      <c r="A16" s="23" t="s">
        <v>1790</v>
      </c>
      <c r="B16" s="29"/>
      <c r="C16" s="30"/>
      <c r="D16" s="30"/>
      <c r="E16" s="30"/>
      <c r="F16" s="31"/>
      <c r="G16" s="31"/>
      <c r="H16" s="32"/>
      <c r="I16" s="33"/>
      <c r="J16" s="33"/>
      <c r="K16" s="32"/>
      <c r="L16" s="31"/>
      <c r="M16" s="31"/>
      <c r="N16" s="32"/>
      <c r="O16" s="31"/>
      <c r="P16" s="31"/>
      <c r="R16" s="26"/>
      <c r="S16" s="27"/>
      <c r="T16" s="27"/>
      <c r="U16" s="27"/>
      <c r="V16" s="27"/>
      <c r="XDV16" s="19"/>
      <c r="XDW16" s="19"/>
    </row>
    <row r="17" customHeight="1" spans="1:23 16348:16351">
      <c r="A17" s="23" t="s">
        <v>1791</v>
      </c>
      <c r="B17" s="29">
        <v>6</v>
      </c>
      <c r="C17" s="30" t="s">
        <v>57</v>
      </c>
      <c r="D17" s="30"/>
      <c r="E17" s="30"/>
      <c r="F17" s="31">
        <v>10</v>
      </c>
      <c r="G17" s="31"/>
      <c r="H17" s="32" t="s">
        <v>18</v>
      </c>
      <c r="I17" s="33">
        <f>IFERROR(IF(IF($F$4&lt;&gt;"",VLOOKUP($F$4,法术书目录!$AK$75:$BP$180,B17+1,FALSE),VLOOKUP($F$3,法术书目录!$AK$75:$BP$180,B17+1,FALSE))=0,"",IF($F$4&lt;&gt;"",VLOOKUP($F$4,法术书目录!$AK$75:$BP$180,B17+1,FALSE),VLOOKUP($F$3,法术书目录!$AK$75:$BP$180,B17+1,FALSE))),"")</f>
        <v>2</v>
      </c>
      <c r="J17" s="33"/>
      <c r="K17" s="32" t="s">
        <v>18</v>
      </c>
      <c r="L17" s="31"/>
      <c r="M17" s="31"/>
      <c r="N17" s="32" t="s">
        <v>18</v>
      </c>
      <c r="O17" s="31">
        <f>SUM(F17,I17,L17)</f>
        <v>12</v>
      </c>
      <c r="P17" s="31"/>
      <c r="R17" s="26"/>
      <c r="S17" s="27"/>
      <c r="T17" s="27"/>
      <c r="U17" s="27"/>
      <c r="V17" s="27"/>
      <c r="XDV17" s="19"/>
      <c r="XDW17" s="19"/>
    </row>
    <row r="18" customHeight="1" spans="1:23 16348:16351">
      <c r="A18" s="23" t="s">
        <v>1792</v>
      </c>
      <c r="B18" s="29"/>
      <c r="C18" s="30"/>
      <c r="D18" s="30"/>
      <c r="E18" s="30"/>
      <c r="F18" s="31"/>
      <c r="G18" s="31"/>
      <c r="H18" s="32"/>
      <c r="I18" s="33"/>
      <c r="J18" s="33"/>
      <c r="K18" s="32"/>
      <c r="L18" s="31"/>
      <c r="M18" s="31"/>
      <c r="N18" s="32"/>
      <c r="O18" s="31"/>
      <c r="P18" s="31"/>
      <c r="XDV18" s="19"/>
      <c r="XDW18" s="19"/>
    </row>
    <row r="19" customHeight="1" spans="1:23 16348:16351">
      <c r="A19" s="23" t="s">
        <v>1793</v>
      </c>
      <c r="H19" s="34"/>
      <c r="K19" s="34"/>
      <c r="L19" s="35" t="str">
        <f>IFERROR(IF(SUM(L7:M18)&gt;E20*K20,"Error",""),"")</f>
        <v/>
      </c>
      <c r="M19" s="35"/>
      <c r="Q19" s="36" t="s">
        <v>1794</v>
      </c>
      <c r="R19" s="36"/>
      <c r="S19" s="36"/>
      <c r="T19" s="36"/>
      <c r="U19" s="36"/>
      <c r="V19" s="36"/>
      <c r="XDT19" s="20"/>
      <c r="XDU19" s="20"/>
    </row>
    <row r="20" customHeight="1" spans="1:23 16348:16351">
      <c r="A20" s="23" t="s">
        <v>1795</v>
      </c>
      <c r="C20" s="21" t="str">
        <f>IFERROR(IF(E20="","","自选"),"")</f>
        <v/>
      </c>
      <c r="D20" s="21"/>
      <c r="E20" s="21" t="str">
        <f>IFERROR(IF(IF($F$4&lt;&gt;"",VLOOKUP($F$4,法术书目录!$AK$75:$BP$180,8,FALSE),VLOOKUP($F$3,法术书目录!$AK$75:$BP$180,8,FALSE))=0,"",IF($F$4&lt;&gt;"",VLOOKUP($F$4,法术书目录!$AK$75:$BP$180,8,FALSE),VLOOKUP($F$3,法术书目录!$AK$75:$BP$180,8,FALSE))),"")</f>
        <v/>
      </c>
      <c r="F20" s="21" t="str">
        <f>IFERROR(IF(K20="","","项不同属性各加"),"")</f>
        <v/>
      </c>
      <c r="G20" s="21"/>
      <c r="H20" s="21"/>
      <c r="I20" s="21"/>
      <c r="J20" s="21"/>
      <c r="K20" s="21" t="str">
        <f>IFERROR(IF(IF($F$4&lt;&gt;"",VLOOKUP($F$4,法术书目录!$AK$75:$BP$180,9,FALSE),VLOOKUP($F$3,法术书目录!$AK$75:$BP$180,9,FALSE))=0,"",IF($F$4&lt;&gt;"",VLOOKUP($F$4,法术书目录!$AK$75:$BP$180,9,FALSE),VLOOKUP($F$3,法术书目录!$AK$75:$BP$180,9,FALSE))),"")</f>
        <v/>
      </c>
      <c r="L20" s="21" t="str">
        <f>IFERROR(IF(K20="","","点"),"")</f>
        <v/>
      </c>
      <c r="M20" s="37"/>
      <c r="N20" s="37"/>
      <c r="Q20" s="36"/>
      <c r="R20" s="36"/>
      <c r="S20" s="36"/>
      <c r="T20" s="36"/>
      <c r="U20" s="36"/>
      <c r="V20" s="36"/>
    </row>
    <row r="21" customHeight="1" spans="1:23 16348:16351">
      <c r="Q21" s="17"/>
      <c r="R21" s="17"/>
      <c r="S21" s="17"/>
      <c r="T21" s="17"/>
      <c r="U21" s="17"/>
      <c r="V21" s="17"/>
    </row>
    <row r="22" ht="125" customHeight="1" spans="1:23 16348:16351">
      <c r="B22" s="38">
        <v>17</v>
      </c>
      <c r="C22" s="39" t="str">
        <f>IFERROR(IF(IF($F$4&lt;&gt;"",VLOOKUP($F$4,法术书目录!$AK$75:$BP$180,B22,FALSE),VLOOKUP($F$3,法术书目录!$AK$75:$BP$180,B22,FALSE))=0,"",IF($F$4&lt;&gt;"",VLOOKUP($F$4,法术书目录!$AK$75:$BP$180,B22,FALSE),VLOOKUP($F$3,法术书目录!$AK$75:$BP$180,B22,FALSE))),"")</f>
        <v>黑暗视觉</v>
      </c>
      <c r="D22" s="39"/>
      <c r="E22" s="39"/>
      <c r="F22" s="39"/>
      <c r="G22" s="39"/>
      <c r="H22" s="40" t="str">
        <f>IFERROR(IF(IF($F$4&lt;&gt;"",VLOOKUP($F$4,法术书目录!$AK$75:$BP$180,W22,FALSE),VLOOKUP($F$3,法术书目录!$AK$75:$BP$180,W22,FALSE))=0,"",IF($F$4&lt;&gt;"",VLOOKUP($F$4,法术书目录!$AK$75:$BP$180,W22,FALSE),VLOOKUP($F$3,法术书目录!$AK$75:$BP$180,W22,FALSE))),"")</f>
        <v>拜你的光辉灵魂所赐，你的视觉可以轻易地跨越黑暗。你可以看清昏暗光源周围60尺如同它们在亮光之中，而在黑暗之中你可以像昏暗照明一般视物。在黑暗中你无法分辨颜色，只能看见灰色的阴影。</v>
      </c>
      <c r="I22" s="40"/>
      <c r="J22" s="40"/>
      <c r="K22" s="40"/>
      <c r="L22" s="40"/>
      <c r="M22" s="40"/>
      <c r="N22" s="40"/>
      <c r="O22" s="40"/>
      <c r="P22" s="40"/>
      <c r="Q22" s="40"/>
      <c r="R22" s="40"/>
      <c r="S22" s="40"/>
      <c r="T22" s="40"/>
      <c r="U22" s="40"/>
      <c r="V22" s="40"/>
      <c r="W22" s="38">
        <v>18</v>
      </c>
    </row>
    <row r="23" ht="125" customHeight="1" spans="1:23 16348:16351">
      <c r="B23" s="38">
        <v>19</v>
      </c>
      <c r="C23" s="39" t="str">
        <f>IFERROR(IF(IF($F$4&lt;&gt;"",VLOOKUP($F$4,法术书目录!$AK$75:$BP$180,B23,FALSE),VLOOKUP($F$3,法术书目录!$AK$75:$BP$180,B23,FALSE))=0,"",IF($F$4&lt;&gt;"",VLOOKUP($F$4,法术书目录!$AK$75:$BP$180,B23,FALSE),VLOOKUP($F$3,法术书目录!$AK$75:$BP$180,B23,FALSE))),"")</f>
        <v>天界抗力</v>
      </c>
      <c r="D23" s="39"/>
      <c r="E23" s="39"/>
      <c r="F23" s="39"/>
      <c r="G23" s="39"/>
      <c r="H23" s="40" t="str">
        <f>IFERROR(IF(IF($F$4&lt;&gt;"",VLOOKUP($F$4,法术书目录!$AK$75:$BP$180,W23,FALSE),VLOOKUP($F$3,法术书目录!$AK$75:$BP$180,W23,FALSE))=0,"",IF($F$4&lt;&gt;"",VLOOKUP($F$4,法术书目录!$AK$75:$BP$180,W23,FALSE),VLOOKUP($F$3,法术书目录!$AK$75:$BP$180,W23,FALSE))),"")</f>
        <v>你对光耀和黯蚀伤害具有抗力。</v>
      </c>
      <c r="I23" s="40"/>
      <c r="J23" s="40"/>
      <c r="K23" s="40"/>
      <c r="L23" s="40"/>
      <c r="M23" s="40"/>
      <c r="N23" s="40"/>
      <c r="O23" s="40"/>
      <c r="P23" s="40"/>
      <c r="Q23" s="40"/>
      <c r="R23" s="40"/>
      <c r="S23" s="40"/>
      <c r="T23" s="40"/>
      <c r="U23" s="40"/>
      <c r="V23" s="40"/>
      <c r="W23" s="38">
        <v>20</v>
      </c>
    </row>
    <row r="24" ht="125" customHeight="1" spans="1:23 16348:16351">
      <c r="B24" s="38">
        <v>21</v>
      </c>
      <c r="C24" s="39" t="str">
        <f>IFERROR(IF(IF($F$4&lt;&gt;"",VLOOKUP($F$4,法术书目录!$AK$75:$BP$180,B24,FALSE),VLOOKUP($F$3,法术书目录!$AK$75:$BP$180,B24,FALSE))=0,"",IF($F$4&lt;&gt;"",VLOOKUP($F$4,法术书目录!$AK$75:$BP$180,B24,FALSE),VLOOKUP($F$3,法术书目录!$AK$75:$BP$180,B24,FALSE))),"")</f>
        <v>治愈之手</v>
      </c>
      <c r="D24" s="39"/>
      <c r="E24" s="39"/>
      <c r="F24" s="39"/>
      <c r="G24" s="39"/>
      <c r="H24" s="40" t="str">
        <f>IFERROR(IF(IF($F$4&lt;&gt;"",VLOOKUP($F$4,法术书目录!$AK$75:$BP$180,W24,FALSE),VLOOKUP($F$3,法术书目录!$AK$75:$BP$180,W24,FALSE))=0,"",IF($F$4&lt;&gt;"",VLOOKUP($F$4,法术书目录!$AK$75:$BP$180,W24,FALSE),VLOOKUP($F$3,法术书目录!$AK$75:$BP$180,W24,FALSE))),"")</f>
        <v>以一个动作，你可以触碰一个生物并使他恢复等同于你人物等级的生命值。一旦你使用了这个特性，在下次长休息完成之前你不能再次使用。</v>
      </c>
      <c r="I24" s="40"/>
      <c r="J24" s="40"/>
      <c r="K24" s="40"/>
      <c r="L24" s="40"/>
      <c r="M24" s="40"/>
      <c r="N24" s="40"/>
      <c r="O24" s="40"/>
      <c r="P24" s="40"/>
      <c r="Q24" s="40"/>
      <c r="R24" s="40"/>
      <c r="S24" s="40"/>
      <c r="T24" s="40"/>
      <c r="U24" s="40"/>
      <c r="V24" s="40"/>
      <c r="W24" s="38">
        <v>22</v>
      </c>
    </row>
    <row r="25" ht="125" customHeight="1" spans="1:23 16348:16351">
      <c r="B25" s="38">
        <v>23</v>
      </c>
      <c r="C25" s="39" t="str">
        <f>IFERROR(IF(IF($F$4&lt;&gt;"",VLOOKUP($F$4,法术书目录!$AK$75:$BP$180,B25,FALSE),VLOOKUP($F$3,法术书目录!$AK$75:$BP$180,B25,FALSE))=0,"",IF($F$4&lt;&gt;"",VLOOKUP($F$4,法术书目录!$AK$75:$BP$180,B25,FALSE),VLOOKUP($F$3,法术书目录!$AK$75:$BP$180,B25,FALSE))),"")</f>
        <v>光辉掌者</v>
      </c>
      <c r="D25" s="39"/>
      <c r="E25" s="39"/>
      <c r="F25" s="39"/>
      <c r="G25" s="39"/>
      <c r="H25" s="40" t="str">
        <f>IFERROR(IF(IF($F$4&lt;&gt;"",VLOOKUP($F$4,法术书目录!$AK$75:$BP$180,W25,FALSE),VLOOKUP($F$3,法术书目录!$AK$75:$BP$180,W25,FALSE))=0,"",IF($F$4&lt;&gt;"",VLOOKUP($F$4,法术书目录!$AK$75:$BP$180,W25,FALSE),VLOOKUP($F$3,法术书目录!$AK$75:$BP$180,W25,FALSE))),"")</f>
        <v>你知晓光亮术戏法。在施展它时魅力是你的施法主属性。</v>
      </c>
      <c r="I25" s="40"/>
      <c r="J25" s="40"/>
      <c r="K25" s="40"/>
      <c r="L25" s="40"/>
      <c r="M25" s="40"/>
      <c r="N25" s="40"/>
      <c r="O25" s="40"/>
      <c r="P25" s="40"/>
      <c r="Q25" s="40"/>
      <c r="R25" s="40"/>
      <c r="S25" s="40"/>
      <c r="T25" s="40"/>
      <c r="U25" s="40"/>
      <c r="V25" s="40"/>
      <c r="W25" s="38">
        <v>24</v>
      </c>
    </row>
    <row r="26" ht="125" customHeight="1" spans="1:23 16348:16351">
      <c r="B26" s="38">
        <v>25</v>
      </c>
      <c r="C26" s="39" t="str">
        <f>IFERROR(IF(IF($F$4&lt;&gt;"",VLOOKUP($F$4,法术书目录!$AK$75:$BP$180,B26,FALSE),VLOOKUP($F$3,法术书目录!$AK$75:$BP$180,B26,FALSE))=0,"",IF($F$4&lt;&gt;"",VLOOKUP($F$4,法术书目录!$AK$75:$BP$180,B26,FALSE),VLOOKUP($F$3,法术书目录!$AK$75:$BP$180,B26,FALSE))),"")</f>
        <v>光辉灵魂</v>
      </c>
      <c r="D26" s="39"/>
      <c r="E26" s="39"/>
      <c r="F26" s="39"/>
      <c r="G26" s="39"/>
      <c r="H26" s="40" t="str">
        <f>IFERROR(IF(IF($F$4&lt;&gt;"",VLOOKUP($F$4,法术书目录!$AK$75:$BP$180,W26,FALSE),VLOOKUP($F$3,法术书目录!$AK$75:$BP$180,W26,FALSE))=0,"",IF($F$4&lt;&gt;"",VLOOKUP($F$4,法术书目录!$AK$75:$BP$180,W26,FALSE),VLOOKUP($F$3,法术书目录!$AK$75:$BP$180,W26,FALSE))),"")</f>
        <v>从3级起，你可以使用一个动作来释放你内在的神圣能量。这将使你的眼睛闪烁，并且会有两条辉煌的纯能量光翼从你的后背延展。
你的转变持续一分钟或直到你以一个附赠动作中止。在这期间，你得到30尺的飞行速度，并且每个你的回合中一次，当你的攻击或法术成功造成伤害，你将对一个目标造成额外的光耀伤害等同于你的人物等级。
一旦你使用这个特性，在下次长休息完成之前你不能再次使用。</v>
      </c>
      <c r="I26" s="40"/>
      <c r="J26" s="40"/>
      <c r="K26" s="40"/>
      <c r="L26" s="40"/>
      <c r="M26" s="40"/>
      <c r="N26" s="40"/>
      <c r="O26" s="40"/>
      <c r="P26" s="40"/>
      <c r="Q26" s="40"/>
      <c r="R26" s="40"/>
      <c r="S26" s="40"/>
      <c r="T26" s="40"/>
      <c r="U26" s="40"/>
      <c r="V26" s="40"/>
      <c r="W26" s="38">
        <v>26</v>
      </c>
    </row>
    <row r="27" ht="125" customHeight="1" spans="1:23 16348:16351">
      <c r="B27" s="38">
        <v>27</v>
      </c>
      <c r="C27" s="39" t="str">
        <f>IFERROR(IF(IF($F$4&lt;&gt;"",VLOOKUP($F$4,法术书目录!$AK$75:$BP$180,B27,FALSE),VLOOKUP($F$3,法术书目录!$AK$75:$BP$180,B27,FALSE))=0,"",IF($F$4&lt;&gt;"",VLOOKUP($F$4,法术书目录!$AK$75:$BP$180,B27,FALSE),VLOOKUP($F$3,法术书目录!$AK$75:$BP$180,B27,FALSE))),"")</f>
        <v/>
      </c>
      <c r="D27" s="39"/>
      <c r="E27" s="39"/>
      <c r="F27" s="39"/>
      <c r="G27" s="39"/>
      <c r="H27" s="40" t="str">
        <f>IFERROR(IF(IF($F$4&lt;&gt;"",VLOOKUP($F$4,法术书目录!$AK$75:$BP$180,W27,FALSE),VLOOKUP($F$3,法术书目录!$AK$75:$BP$180,W27,FALSE))=0,"",IF($F$4&lt;&gt;"",VLOOKUP($F$4,法术书目录!$AK$75:$BP$180,W27,FALSE),VLOOKUP($F$3,法术书目录!$AK$75:$BP$180,W27,FALSE))),"")</f>
        <v/>
      </c>
      <c r="I27" s="40"/>
      <c r="J27" s="40"/>
      <c r="K27" s="40"/>
      <c r="L27" s="40"/>
      <c r="M27" s="40"/>
      <c r="N27" s="40"/>
      <c r="O27" s="40"/>
      <c r="P27" s="40"/>
      <c r="Q27" s="40"/>
      <c r="R27" s="40"/>
      <c r="S27" s="40"/>
      <c r="T27" s="40"/>
      <c r="U27" s="40"/>
      <c r="V27" s="40"/>
      <c r="W27" s="38">
        <v>28</v>
      </c>
    </row>
    <row r="28" ht="125" customHeight="1" spans="1:23 16348:16351">
      <c r="B28" s="38">
        <v>29</v>
      </c>
      <c r="C28" s="39" t="str">
        <f>IFERROR(IF(IF($F$4&lt;&gt;"",VLOOKUP($F$4,法术书目录!$AK$75:$BP$180,B28,FALSE),VLOOKUP($F$3,法术书目录!$AK$75:$BP$180,B28,FALSE))=0,"",IF($F$4&lt;&gt;"",VLOOKUP($F$4,法术书目录!$AK$75:$BP$180,B28,FALSE),VLOOKUP($F$3,法术书目录!$AK$75:$BP$180,B28,FALSE))),"")</f>
        <v/>
      </c>
      <c r="D28" s="39"/>
      <c r="E28" s="39"/>
      <c r="F28" s="39"/>
      <c r="G28" s="39"/>
      <c r="H28" s="40" t="str">
        <f>IFERROR(IF(IF($F$4&lt;&gt;"",VLOOKUP($F$4,法术书目录!$AK$75:$BP$180,W28,FALSE),VLOOKUP($F$3,法术书目录!$AK$75:$BP$180,W28,FALSE))=0,"",IF($F$4&lt;&gt;"",VLOOKUP($F$4,法术书目录!$AK$75:$BP$180,W28,FALSE),VLOOKUP($F$3,法术书目录!$AK$75:$BP$180,W28,FALSE))),"")</f>
        <v/>
      </c>
      <c r="I28" s="40"/>
      <c r="J28" s="40"/>
      <c r="K28" s="40"/>
      <c r="L28" s="40"/>
      <c r="M28" s="40"/>
      <c r="N28" s="40"/>
      <c r="O28" s="40"/>
      <c r="P28" s="40"/>
      <c r="Q28" s="40"/>
      <c r="R28" s="40"/>
      <c r="S28" s="40"/>
      <c r="T28" s="40"/>
      <c r="U28" s="40"/>
      <c r="V28" s="40"/>
      <c r="W28" s="38">
        <v>30</v>
      </c>
    </row>
    <row r="29" ht="125" customHeight="1" spans="1:23 16348:16351">
      <c r="B29" s="38">
        <v>31</v>
      </c>
      <c r="C29" s="39" t="str">
        <f>IFERROR(IF(IF($F$4&lt;&gt;"",VLOOKUP($F$4,法术书目录!$AK$75:$BP$180,B29,FALSE),VLOOKUP($F$3,法术书目录!$AK$75:$BP$180,B29,FALSE))=0,"",IF($F$4&lt;&gt;"",VLOOKUP($F$4,法术书目录!$AK$75:$BP$180,B29,FALSE),VLOOKUP($F$3,法术书目录!$AK$75:$BP$180,B29,FALSE))),"")</f>
        <v/>
      </c>
      <c r="D29" s="39"/>
      <c r="E29" s="39"/>
      <c r="F29" s="39"/>
      <c r="G29" s="39"/>
      <c r="H29" s="40" t="str">
        <f>IFERROR(IF(IF($F$4&lt;&gt;"",VLOOKUP($F$4,法术书目录!$AK$75:$BP$180,W29,FALSE),VLOOKUP($F$3,法术书目录!$AK$75:$BP$180,W29,FALSE))=0,"",IF($F$4&lt;&gt;"",VLOOKUP($F$4,法术书目录!$AK$75:$BP$180,W29,FALSE),VLOOKUP($F$3,法术书目录!$AK$75:$BP$180,W29,FALSE))),"")</f>
        <v/>
      </c>
      <c r="I29" s="40"/>
      <c r="J29" s="40"/>
      <c r="K29" s="40"/>
      <c r="L29" s="40"/>
      <c r="M29" s="40"/>
      <c r="N29" s="40"/>
      <c r="O29" s="40"/>
      <c r="P29" s="40"/>
      <c r="Q29" s="40"/>
      <c r="R29" s="40"/>
      <c r="S29" s="40"/>
      <c r="T29" s="40"/>
      <c r="U29" s="40"/>
      <c r="V29" s="40"/>
      <c r="W29" s="38">
        <v>32</v>
      </c>
    </row>
    <row r="30" ht="125" customHeight="1" spans="1:23 16348:16351">
      <c r="B30" s="38">
        <v>33</v>
      </c>
      <c r="C30" s="39" t="str">
        <f>IFERROR(IF(IF($F$4&lt;&gt;"",VLOOKUP($F$4,法术书目录!$AK$75:$BP$180,B30,FALSE),VLOOKUP($F$3,法术书目录!$AK$75:$BP$180,B30,FALSE))=0,"",IF($F$4&lt;&gt;"",VLOOKUP($F$4,法术书目录!$AK$75:$BP$180,B30,FALSE),VLOOKUP($F$3,法术书目录!$AK$75:$BP$180,B30,FALSE))),"")</f>
        <v/>
      </c>
      <c r="D30" s="39"/>
      <c r="E30" s="39"/>
      <c r="F30" s="39"/>
      <c r="G30" s="39"/>
      <c r="H30" s="40" t="str">
        <f>IFERROR(IF(IF($F$4&lt;&gt;"",VLOOKUP($F$4,法术书目录!$AK$75:$BP$180,W30,FALSE),VLOOKUP($F$3,法术书目录!$AK$75:$BP$180,W30,FALSE))=0,"",IF($F$4&lt;&gt;"",VLOOKUP($F$4,法术书目录!$AK$75:$BP$180,W30,FALSE),VLOOKUP($F$3,法术书目录!$AK$75:$BP$180,W30,FALSE))),"")</f>
        <v/>
      </c>
      <c r="I30" s="40"/>
      <c r="J30" s="40"/>
      <c r="K30" s="40"/>
      <c r="L30" s="40"/>
      <c r="M30" s="40"/>
      <c r="N30" s="40"/>
      <c r="O30" s="40"/>
      <c r="P30" s="40"/>
      <c r="Q30" s="40"/>
      <c r="R30" s="40"/>
      <c r="S30" s="40"/>
      <c r="T30" s="40"/>
      <c r="U30" s="40"/>
      <c r="V30" s="40"/>
      <c r="W30" s="38">
        <v>34</v>
      </c>
    </row>
    <row r="31" ht="125" customHeight="1" spans="1:23 16348:16351">
      <c r="B31" s="38">
        <v>35</v>
      </c>
      <c r="C31" s="39" t="str">
        <f>IFERROR(IF(IF($F$4&lt;&gt;"",VLOOKUP($F$4,法术书目录!$AK$75:$BP$180,B31,FALSE),VLOOKUP($F$3,法术书目录!$AK$75:$BP$180,B31,FALSE))=0,"",IF($F$4&lt;&gt;"",VLOOKUP($F$4,法术书目录!$AK$75:$BP$180,B31,FALSE),VLOOKUP($F$3,法术书目录!$AK$75:$BP$180,B31,FALSE))),"")</f>
        <v/>
      </c>
      <c r="D31" s="39"/>
      <c r="E31" s="39"/>
      <c r="F31" s="39"/>
      <c r="G31" s="39"/>
      <c r="H31" s="40" t="str">
        <f>IFERROR(IF(IF($F$4&lt;&gt;"",VLOOKUP($F$4,法术书目录!$AK$75:$BP$180,W31,FALSE),VLOOKUP($F$3,法术书目录!$AK$75:$BP$180,W31,FALSE))=0,"",IF($F$4&lt;&gt;"",VLOOKUP($F$4,法术书目录!$AK$75:$BP$180,W31,FALSE),VLOOKUP($F$3,法术书目录!$AK$75:$BP$180,W31,FALSE))),"")</f>
        <v/>
      </c>
      <c r="I31" s="40"/>
      <c r="J31" s="40"/>
      <c r="K31" s="40"/>
      <c r="L31" s="40"/>
      <c r="M31" s="40"/>
      <c r="N31" s="40"/>
      <c r="O31" s="40"/>
      <c r="P31" s="40"/>
      <c r="Q31" s="40"/>
      <c r="R31" s="40"/>
      <c r="S31" s="40"/>
      <c r="T31" s="40"/>
      <c r="U31" s="40"/>
      <c r="V31" s="40"/>
      <c r="W31" s="38">
        <v>36</v>
      </c>
    </row>
  </sheetData>
  <sheetProtection sheet="1" selectLockedCells="1"/>
  <mergeCells count="98">
    <mergeCell ref="C1:V1"/>
    <mergeCell ref="C3:E3"/>
    <mergeCell ref="F3:I3"/>
    <mergeCell ref="C4:E4"/>
    <mergeCell ref="F4:I4"/>
    <mergeCell ref="C6:E6"/>
    <mergeCell ref="F6:G6"/>
    <mergeCell ref="H6:K6"/>
    <mergeCell ref="L6:M6"/>
    <mergeCell ref="O6:P6"/>
    <mergeCell ref="L19:M19"/>
    <mergeCell ref="C20:D20"/>
    <mergeCell ref="F20:J20"/>
    <mergeCell ref="C22:G22"/>
    <mergeCell ref="H22:V22"/>
    <mergeCell ref="C23:G23"/>
    <mergeCell ref="H23:V23"/>
    <mergeCell ref="C24:G24"/>
    <mergeCell ref="H24:V24"/>
    <mergeCell ref="C25:G25"/>
    <mergeCell ref="H25:V25"/>
    <mergeCell ref="C26:G26"/>
    <mergeCell ref="H26:V26"/>
    <mergeCell ref="C27:G27"/>
    <mergeCell ref="H27:V27"/>
    <mergeCell ref="C28:G28"/>
    <mergeCell ref="H28:V28"/>
    <mergeCell ref="C29:G29"/>
    <mergeCell ref="H29:V29"/>
    <mergeCell ref="C30:G30"/>
    <mergeCell ref="H30:V30"/>
    <mergeCell ref="C31:G31"/>
    <mergeCell ref="H31:V31"/>
    <mergeCell ref="B7:B8"/>
    <mergeCell ref="B9:B10"/>
    <mergeCell ref="B11:B12"/>
    <mergeCell ref="B13:B14"/>
    <mergeCell ref="B15:B16"/>
    <mergeCell ref="B17:B18"/>
    <mergeCell ref="H7:H8"/>
    <mergeCell ref="H9:H10"/>
    <mergeCell ref="H11:H12"/>
    <mergeCell ref="H13:H14"/>
    <mergeCell ref="H15:H16"/>
    <mergeCell ref="H17:H18"/>
    <mergeCell ref="K7:K8"/>
    <mergeCell ref="K9:K10"/>
    <mergeCell ref="K11:K12"/>
    <mergeCell ref="K13:K14"/>
    <mergeCell ref="K15:K16"/>
    <mergeCell ref="K17:K18"/>
    <mergeCell ref="N7:N8"/>
    <mergeCell ref="N9:N10"/>
    <mergeCell ref="N11:N12"/>
    <mergeCell ref="N13:N14"/>
    <mergeCell ref="N15:N16"/>
    <mergeCell ref="N17:N18"/>
    <mergeCell ref="R3:R5"/>
    <mergeCell ref="R6:R8"/>
    <mergeCell ref="R9:R11"/>
    <mergeCell ref="R12:R14"/>
    <mergeCell ref="R15:R17"/>
    <mergeCell ref="C7:E8"/>
    <mergeCell ref="F7:G8"/>
    <mergeCell ref="L7:M8"/>
    <mergeCell ref="C9:E10"/>
    <mergeCell ref="F9:G10"/>
    <mergeCell ref="L9:M10"/>
    <mergeCell ref="C11:E12"/>
    <mergeCell ref="F11:G12"/>
    <mergeCell ref="L11:M12"/>
    <mergeCell ref="C13:E14"/>
    <mergeCell ref="F13:G14"/>
    <mergeCell ref="L13:M14"/>
    <mergeCell ref="C15:E16"/>
    <mergeCell ref="F15:G16"/>
    <mergeCell ref="L15:M16"/>
    <mergeCell ref="C17:E18"/>
    <mergeCell ref="F17:G18"/>
    <mergeCell ref="L17:M18"/>
    <mergeCell ref="I7:J8"/>
    <mergeCell ref="O7:P8"/>
    <mergeCell ref="I9:J10"/>
    <mergeCell ref="O9:P10"/>
    <mergeCell ref="I11:J12"/>
    <mergeCell ref="O11:P12"/>
    <mergeCell ref="I13:J14"/>
    <mergeCell ref="O13:P14"/>
    <mergeCell ref="I15:J16"/>
    <mergeCell ref="O15:P16"/>
    <mergeCell ref="I17:J18"/>
    <mergeCell ref="O17:P18"/>
    <mergeCell ref="Q19:V20"/>
    <mergeCell ref="S3:V5"/>
    <mergeCell ref="S6:V8"/>
    <mergeCell ref="S9:V11"/>
    <mergeCell ref="S12:V14"/>
    <mergeCell ref="S15:V17"/>
  </mergeCells>
  <conditionalFormatting sqref="C7">
    <cfRule type="expression" dxfId="0" priority="6">
      <formula>$A$12=TRUE</formula>
    </cfRule>
  </conditionalFormatting>
  <conditionalFormatting sqref="C9">
    <cfRule type="expression" dxfId="0" priority="5">
      <formula>$A$14=TRUE</formula>
    </cfRule>
  </conditionalFormatting>
  <conditionalFormatting sqref="C11">
    <cfRule type="expression" dxfId="0" priority="4">
      <formula>$A$16=TRUE</formula>
    </cfRule>
  </conditionalFormatting>
  <conditionalFormatting sqref="C13">
    <cfRule type="expression" dxfId="0" priority="3">
      <formula>$A$18=TRUE</formula>
    </cfRule>
  </conditionalFormatting>
  <conditionalFormatting sqref="C15">
    <cfRule type="expression" dxfId="0" priority="2">
      <formula>$A$20=TRUE</formula>
    </cfRule>
  </conditionalFormatting>
  <conditionalFormatting sqref="C17">
    <cfRule type="expression" dxfId="0" priority="1">
      <formula>$A$22=TRUE</formula>
    </cfRule>
  </conditionalFormatting>
  <dataValidations count="2">
    <dataValidation type="list" allowBlank="1" showInputMessage="1" sqref="F3:I3">
      <formula1>法术书目录!$AL$42:$AL$73</formula1>
    </dataValidation>
    <dataValidation type="list" allowBlank="1" showInputMessage="1" sqref="F4:I4">
      <formula1>INDIRECT(F3)</formula1>
    </dataValidation>
  </dataValidation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4"/>
  <sheetViews>
    <sheetView topLeftCell="M24" workbookViewId="0">
      <selection activeCell="R45" sqref="R45"/>
    </sheetView>
  </sheetViews>
  <sheetFormatPr defaultColWidth="9" defaultRowHeight="17" customHeight="1"/>
  <cols>
    <col min="1" max="16384" width="9" style="17"/>
  </cols>
  <sheetData>
    <row r="1" customHeight="1" spans="1:20">
      <c r="A1" s="17" t="s">
        <v>1796</v>
      </c>
      <c r="I1" s="17" t="s">
        <v>1797</v>
      </c>
      <c r="Q1" s="17" t="s">
        <v>1798</v>
      </c>
    </row>
    <row r="2" customHeight="1" spans="1:20">
      <c r="A2" s="490" t="s">
        <v>1799</v>
      </c>
      <c r="B2" s="17" t="s">
        <v>67</v>
      </c>
      <c r="C2" s="17" t="s">
        <v>202</v>
      </c>
      <c r="D2" s="17" t="s">
        <v>1800</v>
      </c>
      <c r="E2" s="17" t="s">
        <v>38</v>
      </c>
      <c r="F2" s="17" t="s">
        <v>88</v>
      </c>
      <c r="G2" s="17" t="s">
        <v>1801</v>
      </c>
      <c r="J2" s="17" t="s">
        <v>68</v>
      </c>
      <c r="K2" s="17" t="s">
        <v>202</v>
      </c>
      <c r="L2" s="17" t="s">
        <v>203</v>
      </c>
      <c r="M2" s="17" t="s">
        <v>1801</v>
      </c>
      <c r="N2" s="17" t="s">
        <v>30</v>
      </c>
    </row>
    <row r="3" customHeight="1" spans="1:20">
      <c r="A3" s="17" t="s">
        <v>1802</v>
      </c>
      <c r="B3" s="17" t="s">
        <v>1803</v>
      </c>
      <c r="C3" s="17" t="s">
        <v>264</v>
      </c>
      <c r="D3" s="17" t="s">
        <v>1804</v>
      </c>
      <c r="E3" s="17" t="s">
        <v>816</v>
      </c>
      <c r="F3" s="17" t="s">
        <v>1805</v>
      </c>
      <c r="G3" s="17">
        <v>8</v>
      </c>
      <c r="I3" s="17" t="s">
        <v>1806</v>
      </c>
      <c r="J3" s="17" t="s">
        <v>219</v>
      </c>
      <c r="K3" s="17" t="s">
        <v>220</v>
      </c>
      <c r="L3" s="17" t="s">
        <v>221</v>
      </c>
      <c r="M3" s="17">
        <v>2</v>
      </c>
      <c r="N3" s="17" t="s">
        <v>208</v>
      </c>
      <c r="Q3" s="17" t="s">
        <v>702</v>
      </c>
      <c r="R3" s="17" t="str">
        <f>LEFT(Q3,LENB(Q3)-LEN(Q3))</f>
        <v>物品</v>
      </c>
      <c r="S3" s="17" t="s">
        <v>202</v>
      </c>
      <c r="T3" s="17" t="s">
        <v>71</v>
      </c>
    </row>
    <row r="4" customHeight="1" spans="1:20">
      <c r="B4" s="17" t="s">
        <v>1807</v>
      </c>
      <c r="C4" s="17" t="s">
        <v>387</v>
      </c>
      <c r="D4" s="17" t="s">
        <v>1804</v>
      </c>
      <c r="E4" s="17" t="s">
        <v>816</v>
      </c>
      <c r="F4" s="17" t="s">
        <v>816</v>
      </c>
      <c r="G4" s="17">
        <v>10</v>
      </c>
      <c r="J4" s="17" t="s">
        <v>234</v>
      </c>
      <c r="K4" s="17" t="s">
        <v>235</v>
      </c>
      <c r="L4" s="17" t="s">
        <v>236</v>
      </c>
      <c r="M4" s="17">
        <v>1</v>
      </c>
      <c r="N4" s="17" t="s">
        <v>1808</v>
      </c>
      <c r="Q4" s="17" t="s">
        <v>1809</v>
      </c>
      <c r="R4" s="17" t="str">
        <f t="shared" ref="R4:R35" si="0">LEFT(Q4,LENB(Q4)-LEN(Q4))</f>
        <v>算盘</v>
      </c>
      <c r="S4" s="17" t="s">
        <v>865</v>
      </c>
      <c r="T4" s="17" t="s">
        <v>779</v>
      </c>
    </row>
    <row r="5" customHeight="1" spans="1:20">
      <c r="B5" s="17" t="s">
        <v>1810</v>
      </c>
      <c r="C5" s="17" t="s">
        <v>1811</v>
      </c>
      <c r="D5" s="17" t="s">
        <v>1812</v>
      </c>
      <c r="E5" s="17" t="s">
        <v>816</v>
      </c>
      <c r="F5" s="17" t="s">
        <v>816</v>
      </c>
      <c r="G5" s="17">
        <v>13</v>
      </c>
      <c r="J5" s="17" t="s">
        <v>248</v>
      </c>
      <c r="K5" s="17" t="s">
        <v>249</v>
      </c>
      <c r="L5" s="17" t="s">
        <v>250</v>
      </c>
      <c r="M5" s="17">
        <v>10</v>
      </c>
      <c r="N5" s="17" t="s">
        <v>252</v>
      </c>
      <c r="Q5" s="17" t="s">
        <v>1813</v>
      </c>
      <c r="R5" s="17" t="str">
        <f t="shared" si="0"/>
        <v>强酸acid</v>
      </c>
      <c r="S5" s="17" t="s">
        <v>778</v>
      </c>
      <c r="T5" s="17" t="s">
        <v>866</v>
      </c>
    </row>
    <row r="6" customHeight="1" spans="1:20">
      <c r="A6" s="17" t="s">
        <v>1814</v>
      </c>
      <c r="B6" s="17" t="s">
        <v>1815</v>
      </c>
      <c r="C6" s="17" t="s">
        <v>387</v>
      </c>
      <c r="D6" s="17" t="s">
        <v>1816</v>
      </c>
      <c r="E6" s="17" t="s">
        <v>816</v>
      </c>
      <c r="F6" s="17" t="s">
        <v>816</v>
      </c>
      <c r="G6" s="17">
        <v>12</v>
      </c>
      <c r="J6" s="17" t="s">
        <v>263</v>
      </c>
      <c r="K6" s="17" t="s">
        <v>264</v>
      </c>
      <c r="L6" s="17" t="s">
        <v>265</v>
      </c>
      <c r="M6" s="17">
        <v>2</v>
      </c>
      <c r="N6" s="17" t="s">
        <v>1817</v>
      </c>
      <c r="Q6" s="17" t="s">
        <v>1818</v>
      </c>
      <c r="R6" s="17" t="str">
        <f t="shared" si="0"/>
        <v>炽火胶al</v>
      </c>
      <c r="S6" s="17" t="s">
        <v>718</v>
      </c>
      <c r="T6" s="17" t="s">
        <v>866</v>
      </c>
    </row>
    <row r="7" customHeight="1" spans="1:20">
      <c r="B7" s="17" t="s">
        <v>1819</v>
      </c>
      <c r="C7" s="17" t="s">
        <v>425</v>
      </c>
      <c r="D7" s="17" t="s">
        <v>1820</v>
      </c>
      <c r="E7" s="17" t="s">
        <v>816</v>
      </c>
      <c r="F7" s="17" t="s">
        <v>816</v>
      </c>
      <c r="G7" s="17">
        <v>20</v>
      </c>
      <c r="J7" s="17" t="s">
        <v>277</v>
      </c>
      <c r="K7" s="17" t="s">
        <v>278</v>
      </c>
      <c r="L7" s="17" t="s">
        <v>279</v>
      </c>
      <c r="M7" s="17">
        <v>2</v>
      </c>
      <c r="N7" s="17" t="s">
        <v>280</v>
      </c>
      <c r="Q7" s="17" t="s">
        <v>1821</v>
      </c>
      <c r="R7" s="17" t="str">
        <f t="shared" si="0"/>
        <v>弹药</v>
      </c>
    </row>
    <row r="8" customHeight="1" spans="1:20">
      <c r="B8" s="17" t="s">
        <v>1822</v>
      </c>
      <c r="C8" s="17" t="s">
        <v>425</v>
      </c>
      <c r="D8" s="17" t="s">
        <v>1823</v>
      </c>
      <c r="E8" s="17" t="s">
        <v>816</v>
      </c>
      <c r="F8" s="17" t="s">
        <v>1805</v>
      </c>
      <c r="G8" s="17">
        <v>45</v>
      </c>
      <c r="J8" s="17" t="s">
        <v>291</v>
      </c>
      <c r="K8" s="17" t="s">
        <v>235</v>
      </c>
      <c r="L8" s="17" t="s">
        <v>221</v>
      </c>
      <c r="M8" s="17">
        <v>2</v>
      </c>
      <c r="N8" s="17" t="s">
        <v>1817</v>
      </c>
      <c r="Q8" s="17" t="s">
        <v>1824</v>
      </c>
      <c r="R8" s="17" t="str">
        <f t="shared" si="0"/>
        <v>箭</v>
      </c>
      <c r="S8" s="17" t="s">
        <v>762</v>
      </c>
      <c r="T8" s="17" t="s">
        <v>866</v>
      </c>
    </row>
    <row r="9" customHeight="1" spans="1:20">
      <c r="B9" s="17" t="s">
        <v>1825</v>
      </c>
      <c r="C9" s="17" t="s">
        <v>1826</v>
      </c>
      <c r="D9" s="17" t="s">
        <v>1823</v>
      </c>
      <c r="E9" s="17" t="s">
        <v>816</v>
      </c>
      <c r="F9" s="17" t="s">
        <v>816</v>
      </c>
      <c r="G9" s="17">
        <v>20</v>
      </c>
      <c r="J9" s="17" t="s">
        <v>302</v>
      </c>
      <c r="K9" s="17" t="s">
        <v>264</v>
      </c>
      <c r="L9" s="17" t="s">
        <v>303</v>
      </c>
      <c r="M9" s="17">
        <v>4</v>
      </c>
      <c r="N9" s="17" t="s">
        <v>816</v>
      </c>
      <c r="Q9" s="17" t="s">
        <v>1827</v>
      </c>
      <c r="R9" s="17" t="str">
        <f t="shared" si="0"/>
        <v>吹矢</v>
      </c>
      <c r="S9" s="17" t="s">
        <v>762</v>
      </c>
      <c r="T9" s="17" t="s">
        <v>866</v>
      </c>
    </row>
    <row r="10" customHeight="1" spans="1:20">
      <c r="B10" s="17" t="s">
        <v>1828</v>
      </c>
      <c r="C10" s="17" t="s">
        <v>1829</v>
      </c>
      <c r="D10" s="17" t="s">
        <v>1830</v>
      </c>
      <c r="E10" s="17" t="s">
        <v>816</v>
      </c>
      <c r="F10" s="17" t="s">
        <v>1805</v>
      </c>
      <c r="G10" s="17">
        <v>40</v>
      </c>
      <c r="J10" s="17" t="s">
        <v>1831</v>
      </c>
      <c r="K10" s="17" t="s">
        <v>249</v>
      </c>
      <c r="L10" s="17" t="s">
        <v>303</v>
      </c>
      <c r="M10" s="17">
        <v>4</v>
      </c>
      <c r="N10" s="17" t="s">
        <v>1832</v>
      </c>
      <c r="Q10" s="17" t="s">
        <v>1833</v>
      </c>
      <c r="R10" s="17" t="str">
        <f t="shared" si="0"/>
        <v>弩矢</v>
      </c>
      <c r="S10" s="17" t="s">
        <v>762</v>
      </c>
      <c r="T10" s="17" t="s">
        <v>1834</v>
      </c>
    </row>
    <row r="11" customHeight="1" spans="1:20">
      <c r="A11" s="17" t="s">
        <v>1835</v>
      </c>
      <c r="B11" s="17" t="s">
        <v>1836</v>
      </c>
      <c r="C11" s="17" t="s">
        <v>414</v>
      </c>
      <c r="D11" s="17">
        <v>14</v>
      </c>
      <c r="E11" s="17" t="s">
        <v>816</v>
      </c>
      <c r="F11" s="17" t="s">
        <v>1805</v>
      </c>
      <c r="G11" s="17">
        <v>40</v>
      </c>
      <c r="J11" s="17" t="s">
        <v>322</v>
      </c>
      <c r="K11" s="17" t="s">
        <v>323</v>
      </c>
      <c r="L11" s="17" t="s">
        <v>324</v>
      </c>
      <c r="M11" s="17">
        <v>2</v>
      </c>
      <c r="N11" s="17" t="s">
        <v>208</v>
      </c>
      <c r="Q11" s="17" t="s">
        <v>1837</v>
      </c>
      <c r="R11" s="17" t="str">
        <f t="shared" si="0"/>
        <v>投石索弹丸</v>
      </c>
      <c r="S11" s="17" t="s">
        <v>1838</v>
      </c>
      <c r="T11" s="17" t="s">
        <v>1834</v>
      </c>
    </row>
    <row r="12" customHeight="1" spans="1:20">
      <c r="B12" s="17" t="s">
        <v>1839</v>
      </c>
      <c r="C12" s="17" t="s">
        <v>507</v>
      </c>
      <c r="D12" s="17">
        <v>16</v>
      </c>
      <c r="E12" s="17" t="s">
        <v>1840</v>
      </c>
      <c r="F12" s="17" t="s">
        <v>1805</v>
      </c>
      <c r="G12" s="17">
        <v>55</v>
      </c>
      <c r="J12" s="17" t="s">
        <v>335</v>
      </c>
      <c r="K12" s="17" t="s">
        <v>323</v>
      </c>
      <c r="L12" s="17" t="s">
        <v>279</v>
      </c>
      <c r="M12" s="17">
        <v>3</v>
      </c>
      <c r="N12" s="17" t="s">
        <v>1841</v>
      </c>
      <c r="Q12" s="17" t="s">
        <v>1842</v>
      </c>
      <c r="R12" s="17" t="str">
        <f t="shared" si="0"/>
        <v>抗毒剂anti</v>
      </c>
      <c r="S12" s="17" t="s">
        <v>718</v>
      </c>
      <c r="T12" s="17" t="s">
        <v>816</v>
      </c>
    </row>
    <row r="13" customHeight="1" spans="1:20">
      <c r="B13" s="17" t="s">
        <v>1843</v>
      </c>
      <c r="C13" s="17" t="s">
        <v>1844</v>
      </c>
      <c r="D13" s="17">
        <v>17</v>
      </c>
      <c r="E13" s="17" t="s">
        <v>1845</v>
      </c>
      <c r="F13" s="17" t="s">
        <v>1805</v>
      </c>
      <c r="G13" s="17">
        <v>60</v>
      </c>
      <c r="I13" s="17" t="s">
        <v>1846</v>
      </c>
      <c r="J13" s="17" t="s">
        <v>347</v>
      </c>
      <c r="K13" s="17" t="s">
        <v>348</v>
      </c>
      <c r="L13" s="17" t="s">
        <v>349</v>
      </c>
      <c r="M13" s="17">
        <v>5</v>
      </c>
      <c r="N13" s="17" t="s">
        <v>351</v>
      </c>
      <c r="Q13" s="17" t="s">
        <v>1847</v>
      </c>
      <c r="R13" s="17" t="str">
        <f t="shared" si="0"/>
        <v>奥术法器</v>
      </c>
    </row>
    <row r="14" customHeight="1" spans="1:20">
      <c r="B14" s="17" t="s">
        <v>1848</v>
      </c>
      <c r="C14" s="17" t="s">
        <v>1849</v>
      </c>
      <c r="D14" s="17">
        <v>18</v>
      </c>
      <c r="E14" s="17" t="s">
        <v>1845</v>
      </c>
      <c r="F14" s="17" t="s">
        <v>1805</v>
      </c>
      <c r="G14" s="17">
        <v>65</v>
      </c>
      <c r="J14" s="17" t="s">
        <v>362</v>
      </c>
      <c r="K14" s="17" t="s">
        <v>363</v>
      </c>
      <c r="L14" s="17" t="s">
        <v>236</v>
      </c>
      <c r="M14" s="18">
        <v>43469</v>
      </c>
      <c r="N14" s="17" t="s">
        <v>1850</v>
      </c>
      <c r="Q14" s="17" t="s">
        <v>1851</v>
      </c>
      <c r="R14" s="17" t="str">
        <f t="shared" si="0"/>
        <v>水晶</v>
      </c>
      <c r="S14" s="17" t="s">
        <v>728</v>
      </c>
      <c r="T14" s="17" t="s">
        <v>866</v>
      </c>
    </row>
    <row r="15" customHeight="1" spans="1:20">
      <c r="A15" s="17" t="s">
        <v>73</v>
      </c>
      <c r="B15" s="17" t="s">
        <v>73</v>
      </c>
      <c r="C15" s="17" t="s">
        <v>387</v>
      </c>
      <c r="D15" s="17">
        <v>2</v>
      </c>
      <c r="E15" s="17" t="s">
        <v>816</v>
      </c>
      <c r="F15" s="17" t="s">
        <v>816</v>
      </c>
      <c r="G15" s="17">
        <v>6</v>
      </c>
      <c r="J15" s="17" t="s">
        <v>376</v>
      </c>
      <c r="K15" s="17" t="s">
        <v>348</v>
      </c>
      <c r="L15" s="17" t="s">
        <v>279</v>
      </c>
      <c r="M15" s="17">
        <v>2</v>
      </c>
      <c r="N15" s="17" t="s">
        <v>377</v>
      </c>
      <c r="Q15" s="17" t="s">
        <v>1852</v>
      </c>
      <c r="R15" s="17" t="str">
        <f t="shared" si="0"/>
        <v>法球</v>
      </c>
      <c r="S15" s="17" t="s">
        <v>723</v>
      </c>
      <c r="T15" s="17" t="s">
        <v>786</v>
      </c>
    </row>
    <row r="16" customHeight="1" spans="1:20">
      <c r="J16" s="17" t="s">
        <v>381</v>
      </c>
      <c r="K16" s="17" t="s">
        <v>220</v>
      </c>
      <c r="L16" s="17" t="s">
        <v>221</v>
      </c>
      <c r="M16" s="17" t="s">
        <v>1853</v>
      </c>
      <c r="N16" s="17" t="s">
        <v>382</v>
      </c>
      <c r="Q16" s="17" t="s">
        <v>1854</v>
      </c>
      <c r="R16" s="17" t="str">
        <f t="shared" si="0"/>
        <v>权杖</v>
      </c>
      <c r="S16" s="17" t="s">
        <v>728</v>
      </c>
      <c r="T16" s="17" t="s">
        <v>779</v>
      </c>
    </row>
    <row r="17" customHeight="1" spans="9:20">
      <c r="I17" s="17" t="s">
        <v>385</v>
      </c>
      <c r="J17" s="17" t="s">
        <v>386</v>
      </c>
      <c r="K17" s="17" t="s">
        <v>387</v>
      </c>
      <c r="L17" s="17" t="s">
        <v>388</v>
      </c>
      <c r="M17" s="17">
        <v>4</v>
      </c>
      <c r="N17" s="17" t="s">
        <v>1855</v>
      </c>
      <c r="Q17" s="17" t="s">
        <v>1856</v>
      </c>
      <c r="R17" s="17" t="str">
        <f t="shared" si="0"/>
        <v>法杖</v>
      </c>
      <c r="S17" s="17" t="s">
        <v>754</v>
      </c>
      <c r="T17" s="17" t="s">
        <v>1857</v>
      </c>
    </row>
    <row r="18" customHeight="1" spans="9:20">
      <c r="J18" s="17" t="s">
        <v>399</v>
      </c>
      <c r="K18" s="17" t="s">
        <v>387</v>
      </c>
      <c r="L18" s="17" t="s">
        <v>250</v>
      </c>
      <c r="M18" s="17">
        <v>2</v>
      </c>
      <c r="N18" s="17" t="s">
        <v>816</v>
      </c>
      <c r="Q18" s="17" t="s">
        <v>1858</v>
      </c>
      <c r="R18" s="17" t="str">
        <f t="shared" si="0"/>
        <v>魔杖</v>
      </c>
      <c r="S18" s="17" t="s">
        <v>728</v>
      </c>
      <c r="T18" s="17" t="s">
        <v>866</v>
      </c>
    </row>
    <row r="19" customHeight="1" spans="9:20">
      <c r="J19" s="17" t="s">
        <v>401</v>
      </c>
      <c r="K19" s="17" t="s">
        <v>402</v>
      </c>
      <c r="L19" s="17" t="s">
        <v>403</v>
      </c>
      <c r="M19" s="17">
        <v>6</v>
      </c>
      <c r="N19" s="17" t="s">
        <v>405</v>
      </c>
      <c r="Q19" s="17" t="s">
        <v>1859</v>
      </c>
      <c r="R19" s="17" t="str">
        <f t="shared" si="0"/>
        <v>背包</v>
      </c>
      <c r="S19" s="17" t="s">
        <v>865</v>
      </c>
      <c r="T19" s="17" t="s">
        <v>729</v>
      </c>
    </row>
    <row r="20" customHeight="1" spans="9:20">
      <c r="J20" s="17" t="s">
        <v>413</v>
      </c>
      <c r="K20" s="17" t="s">
        <v>414</v>
      </c>
      <c r="L20" s="17" t="s">
        <v>415</v>
      </c>
      <c r="M20" s="17">
        <v>7</v>
      </c>
      <c r="N20" s="17" t="s">
        <v>417</v>
      </c>
      <c r="Q20" s="17" t="s">
        <v>1860</v>
      </c>
      <c r="R20" s="17" t="str">
        <f t="shared" si="0"/>
        <v>滚珠（一包10</v>
      </c>
      <c r="S20" s="17" t="s">
        <v>762</v>
      </c>
      <c r="T20" s="17" t="s">
        <v>779</v>
      </c>
    </row>
    <row r="21" customHeight="1" spans="9:20">
      <c r="J21" s="17" t="s">
        <v>424</v>
      </c>
      <c r="K21" s="17" t="s">
        <v>425</v>
      </c>
      <c r="L21" s="17" t="s">
        <v>426</v>
      </c>
      <c r="M21" s="17">
        <v>6</v>
      </c>
      <c r="N21" s="17" t="s">
        <v>417</v>
      </c>
      <c r="Q21" s="17" t="s">
        <v>1861</v>
      </c>
      <c r="R21" s="17" t="str">
        <f t="shared" si="0"/>
        <v>木桶</v>
      </c>
      <c r="S21" s="17" t="s">
        <v>865</v>
      </c>
      <c r="T21" s="17" t="s">
        <v>1862</v>
      </c>
    </row>
    <row r="22" customHeight="1" spans="9:20">
      <c r="J22" s="17" t="s">
        <v>434</v>
      </c>
      <c r="K22" s="17" t="s">
        <v>402</v>
      </c>
      <c r="L22" s="17" t="s">
        <v>403</v>
      </c>
      <c r="M22" s="17">
        <v>6</v>
      </c>
      <c r="N22" s="17" t="s">
        <v>405</v>
      </c>
      <c r="Q22" s="17" t="s">
        <v>1863</v>
      </c>
      <c r="R22" s="17" t="str">
        <f t="shared" si="0"/>
        <v>篮子</v>
      </c>
      <c r="S22" s="17" t="s">
        <v>1864</v>
      </c>
      <c r="T22" s="17" t="s">
        <v>779</v>
      </c>
    </row>
    <row r="23" customHeight="1" spans="9:20">
      <c r="J23" s="17" t="s">
        <v>442</v>
      </c>
      <c r="K23" s="17" t="s">
        <v>387</v>
      </c>
      <c r="L23" s="17" t="s">
        <v>443</v>
      </c>
      <c r="M23" s="17">
        <v>6</v>
      </c>
      <c r="N23" s="17" t="s">
        <v>444</v>
      </c>
      <c r="Q23" s="17" t="s">
        <v>1865</v>
      </c>
      <c r="R23" s="17" t="str">
        <f t="shared" si="0"/>
        <v>铺盖</v>
      </c>
      <c r="S23" s="17" t="s">
        <v>762</v>
      </c>
      <c r="T23" s="17" t="s">
        <v>1866</v>
      </c>
    </row>
    <row r="24" customHeight="1" spans="9:20">
      <c r="J24" s="17" t="s">
        <v>452</v>
      </c>
      <c r="K24" s="17" t="s">
        <v>453</v>
      </c>
      <c r="L24" s="17" t="s">
        <v>388</v>
      </c>
      <c r="M24" s="17">
        <v>3</v>
      </c>
      <c r="N24" s="17" t="s">
        <v>1855</v>
      </c>
      <c r="Q24" s="17" t="s">
        <v>1867</v>
      </c>
      <c r="R24" s="17" t="str">
        <f t="shared" si="0"/>
        <v>铃铛</v>
      </c>
      <c r="S24" s="17" t="s">
        <v>762</v>
      </c>
      <c r="T24" s="17" t="s">
        <v>816</v>
      </c>
    </row>
    <row r="25" customHeight="1" spans="9:20">
      <c r="J25" s="17" t="s">
        <v>462</v>
      </c>
      <c r="K25" s="17" t="s">
        <v>387</v>
      </c>
      <c r="L25" s="17" t="s">
        <v>463</v>
      </c>
      <c r="M25" s="17">
        <v>10</v>
      </c>
      <c r="N25" s="17" t="s">
        <v>417</v>
      </c>
      <c r="Q25" s="17" t="s">
        <v>1868</v>
      </c>
      <c r="R25" s="17" t="str">
        <f t="shared" si="0"/>
        <v>毛毯</v>
      </c>
      <c r="S25" s="17" t="s">
        <v>822</v>
      </c>
      <c r="T25" s="17" t="s">
        <v>786</v>
      </c>
    </row>
    <row r="26" customHeight="1" spans="9:20">
      <c r="J26" s="17" t="s">
        <v>470</v>
      </c>
      <c r="K26" s="17" t="s">
        <v>453</v>
      </c>
      <c r="L26" s="17" t="s">
        <v>349</v>
      </c>
      <c r="M26" s="17">
        <v>4</v>
      </c>
      <c r="N26" s="17" t="s">
        <v>816</v>
      </c>
      <c r="Q26" s="17" t="s">
        <v>1869</v>
      </c>
      <c r="R26" s="17" t="str">
        <f t="shared" si="0"/>
        <v>滑轮组</v>
      </c>
      <c r="S26" s="17" t="s">
        <v>754</v>
      </c>
      <c r="T26" s="17" t="s">
        <v>729</v>
      </c>
    </row>
    <row r="27" customHeight="1" spans="9:20">
      <c r="J27" s="17" t="s">
        <v>477</v>
      </c>
      <c r="K27" s="17" t="s">
        <v>264</v>
      </c>
      <c r="L27" s="17" t="s">
        <v>478</v>
      </c>
      <c r="M27" s="17">
        <v>18</v>
      </c>
      <c r="N27" s="17" t="s">
        <v>405</v>
      </c>
      <c r="Q27" s="17" t="s">
        <v>1870</v>
      </c>
      <c r="R27" s="17" t="str">
        <f t="shared" si="0"/>
        <v>书</v>
      </c>
      <c r="S27" s="17" t="s">
        <v>1871</v>
      </c>
      <c r="T27" s="17" t="s">
        <v>729</v>
      </c>
    </row>
    <row r="28" customHeight="1" spans="9:20">
      <c r="J28" s="17" t="s">
        <v>480</v>
      </c>
      <c r="K28" s="17" t="s">
        <v>348</v>
      </c>
      <c r="L28" s="17" t="s">
        <v>349</v>
      </c>
      <c r="M28" s="17">
        <v>2</v>
      </c>
      <c r="N28" s="17" t="s">
        <v>481</v>
      </c>
      <c r="Q28" s="17" t="s">
        <v>1872</v>
      </c>
      <c r="R28" s="17" t="str">
        <f t="shared" si="0"/>
        <v>玻璃瓶</v>
      </c>
      <c r="S28" s="17" t="s">
        <v>865</v>
      </c>
      <c r="T28" s="17" t="s">
        <v>779</v>
      </c>
    </row>
    <row r="29" customHeight="1" spans="9:20">
      <c r="J29" s="17" t="s">
        <v>482</v>
      </c>
      <c r="K29" s="17" t="s">
        <v>348</v>
      </c>
      <c r="L29" s="17" t="s">
        <v>265</v>
      </c>
      <c r="M29" s="17">
        <v>3</v>
      </c>
      <c r="N29" s="17" t="s">
        <v>1873</v>
      </c>
      <c r="Q29" s="17" t="s">
        <v>1874</v>
      </c>
      <c r="R29" s="17" t="str">
        <f t="shared" si="0"/>
        <v>水桶</v>
      </c>
      <c r="S29" s="17" t="s">
        <v>1875</v>
      </c>
      <c r="T29" s="17" t="s">
        <v>779</v>
      </c>
    </row>
    <row r="30" customHeight="1" spans="9:20">
      <c r="J30" s="17" t="s">
        <v>484</v>
      </c>
      <c r="K30" s="17" t="s">
        <v>387</v>
      </c>
      <c r="L30" s="17" t="s">
        <v>279</v>
      </c>
      <c r="M30" s="17">
        <v>2</v>
      </c>
      <c r="N30" s="17" t="s">
        <v>1873</v>
      </c>
      <c r="Q30" s="17" t="s">
        <v>1876</v>
      </c>
      <c r="R30" s="17" t="str">
        <f t="shared" si="0"/>
        <v>铁蒺藜caltr</v>
      </c>
      <c r="S30" s="17" t="s">
        <v>762</v>
      </c>
      <c r="T30" s="17" t="s">
        <v>779</v>
      </c>
    </row>
    <row r="31" customHeight="1" spans="9:20">
      <c r="J31" s="17" t="s">
        <v>486</v>
      </c>
      <c r="K31" s="17" t="s">
        <v>264</v>
      </c>
      <c r="L31" s="17" t="s">
        <v>279</v>
      </c>
      <c r="M31" s="17">
        <v>4</v>
      </c>
      <c r="N31" s="17" t="s">
        <v>1841</v>
      </c>
      <c r="Q31" s="17" t="s">
        <v>1877</v>
      </c>
      <c r="R31" s="17" t="str">
        <f t="shared" si="0"/>
        <v>蜡烛</v>
      </c>
      <c r="S31" s="17" t="s">
        <v>1878</v>
      </c>
      <c r="T31" s="17" t="s">
        <v>816</v>
      </c>
    </row>
    <row r="32" customHeight="1" spans="9:20">
      <c r="J32" s="17" t="s">
        <v>488</v>
      </c>
      <c r="K32" s="17" t="s">
        <v>264</v>
      </c>
      <c r="L32" s="17" t="s">
        <v>349</v>
      </c>
      <c r="M32" s="17">
        <v>2</v>
      </c>
      <c r="N32" s="17" t="s">
        <v>1853</v>
      </c>
      <c r="Q32" s="17" t="s">
        <v>1879</v>
      </c>
      <c r="R32" s="17" t="str">
        <f t="shared" si="0"/>
        <v>弩矢匣</v>
      </c>
      <c r="S32" s="17" t="s">
        <v>762</v>
      </c>
      <c r="T32" s="17" t="s">
        <v>866</v>
      </c>
    </row>
    <row r="33" customHeight="1" spans="9:20">
      <c r="J33" s="17" t="s">
        <v>489</v>
      </c>
      <c r="K33" s="17" t="s">
        <v>453</v>
      </c>
      <c r="L33" s="17" t="s">
        <v>250</v>
      </c>
      <c r="M33" s="17">
        <v>2</v>
      </c>
      <c r="N33" s="17" t="s">
        <v>1855</v>
      </c>
      <c r="Q33" s="17" t="s">
        <v>1880</v>
      </c>
      <c r="R33" s="17" t="str">
        <f t="shared" si="0"/>
        <v>地图或卷轴匣</v>
      </c>
      <c r="S33" s="17" t="s">
        <v>762</v>
      </c>
      <c r="T33" s="17" t="s">
        <v>866</v>
      </c>
    </row>
    <row r="34" customHeight="1" spans="9:20">
      <c r="J34" s="17" t="s">
        <v>492</v>
      </c>
      <c r="K34" s="17" t="s">
        <v>235</v>
      </c>
      <c r="L34" s="17" t="s">
        <v>324</v>
      </c>
      <c r="M34" s="17">
        <v>3</v>
      </c>
      <c r="N34" s="17" t="s">
        <v>493</v>
      </c>
      <c r="Q34" s="17" t="s">
        <v>1881</v>
      </c>
      <c r="R34" s="17" t="str">
        <f t="shared" si="0"/>
        <v>链条cha</v>
      </c>
      <c r="S34" s="17" t="s">
        <v>754</v>
      </c>
      <c r="T34" s="17" t="s">
        <v>792</v>
      </c>
    </row>
    <row r="35" customHeight="1" spans="9:20">
      <c r="I35" s="17" t="s">
        <v>497</v>
      </c>
      <c r="J35" s="17" t="s">
        <v>498</v>
      </c>
      <c r="K35" s="17" t="s">
        <v>387</v>
      </c>
      <c r="L35" s="17" t="s">
        <v>499</v>
      </c>
      <c r="M35" s="17">
        <v>1</v>
      </c>
      <c r="N35" s="17" t="s">
        <v>1882</v>
      </c>
      <c r="Q35" s="17" t="s">
        <v>1883</v>
      </c>
      <c r="R35" s="17" t="str">
        <f t="shared" si="0"/>
        <v>粉笔cha</v>
      </c>
      <c r="S35" s="17" t="s">
        <v>1878</v>
      </c>
      <c r="T35" s="17" t="s">
        <v>816</v>
      </c>
    </row>
    <row r="36" customHeight="1" spans="9:20">
      <c r="J36" s="17" t="s">
        <v>506</v>
      </c>
      <c r="K36" s="17" t="s">
        <v>507</v>
      </c>
      <c r="L36" s="17" t="s">
        <v>279</v>
      </c>
      <c r="M36" s="17">
        <v>3</v>
      </c>
      <c r="N36" s="17" t="s">
        <v>1884</v>
      </c>
      <c r="Q36" s="17" t="s">
        <v>1885</v>
      </c>
      <c r="R36" s="17" t="str">
        <f t="shared" ref="R36:R54" si="1">LEFT(Q36,LENB(Q36)-LEN(Q36))</f>
        <v>木箱</v>
      </c>
      <c r="S36" s="17" t="s">
        <v>754</v>
      </c>
      <c r="T36" s="17" t="s">
        <v>1886</v>
      </c>
    </row>
    <row r="37" customHeight="1" spans="9:20">
      <c r="J37" s="17" t="s">
        <v>521</v>
      </c>
      <c r="K37" s="17" t="s">
        <v>425</v>
      </c>
      <c r="L37" s="17" t="s">
        <v>478</v>
      </c>
      <c r="M37" s="17">
        <v>18</v>
      </c>
      <c r="N37" s="17" t="s">
        <v>1887</v>
      </c>
      <c r="Q37" s="17" t="s">
        <v>1888</v>
      </c>
      <c r="R37" s="17" t="str">
        <f t="shared" si="1"/>
        <v>攀爬工具</v>
      </c>
      <c r="S37" s="17" t="s">
        <v>778</v>
      </c>
      <c r="T37" s="17" t="s">
        <v>1889</v>
      </c>
    </row>
    <row r="38" customHeight="1" spans="9:20">
      <c r="J38" s="17" t="s">
        <v>530</v>
      </c>
      <c r="K38" s="17" t="s">
        <v>425</v>
      </c>
      <c r="L38" s="17" t="s">
        <v>349</v>
      </c>
      <c r="M38" s="17">
        <v>2</v>
      </c>
      <c r="N38" s="17" t="s">
        <v>1890</v>
      </c>
      <c r="Q38" s="17" t="s">
        <v>1891</v>
      </c>
      <c r="R38" s="17" t="str">
        <f t="shared" si="1"/>
        <v>普通服装</v>
      </c>
      <c r="S38" s="17" t="s">
        <v>822</v>
      </c>
      <c r="T38" s="17" t="s">
        <v>786</v>
      </c>
    </row>
    <row r="39" customHeight="1" spans="9:20">
      <c r="J39" s="17" t="s">
        <v>539</v>
      </c>
      <c r="K39" s="17" t="s">
        <v>323</v>
      </c>
      <c r="L39" s="17" t="s">
        <v>1853</v>
      </c>
      <c r="M39" s="17">
        <v>3</v>
      </c>
      <c r="N39" s="17" t="s">
        <v>540</v>
      </c>
      <c r="Q39" s="17" t="s">
        <v>1892</v>
      </c>
      <c r="R39" s="17" t="str">
        <f t="shared" si="1"/>
        <v>表演服装</v>
      </c>
      <c r="S39" s="17" t="s">
        <v>754</v>
      </c>
      <c r="T39" s="17" t="s">
        <v>1857</v>
      </c>
    </row>
    <row r="40" customHeight="1" spans="9:20">
      <c r="Q40" s="17" t="s">
        <v>1893</v>
      </c>
      <c r="R40" s="17" t="str">
        <f t="shared" si="1"/>
        <v>高档服装</v>
      </c>
      <c r="S40" s="17" t="s">
        <v>750</v>
      </c>
      <c r="T40" s="17" t="s">
        <v>746</v>
      </c>
    </row>
    <row r="41" customHeight="1" spans="9:20">
      <c r="Q41" s="17" t="s">
        <v>1894</v>
      </c>
      <c r="R41" s="17" t="str">
        <f t="shared" si="1"/>
        <v>旅行者服装</v>
      </c>
      <c r="S41" s="17" t="s">
        <v>865</v>
      </c>
      <c r="T41" s="17" t="s">
        <v>1857</v>
      </c>
    </row>
    <row r="42" customHeight="1" spans="9:20">
      <c r="Q42" s="17" t="s">
        <v>1895</v>
      </c>
      <c r="R42" s="17" t="str">
        <f t="shared" si="1"/>
        <v>材料包</v>
      </c>
      <c r="S42" s="17" t="s">
        <v>778</v>
      </c>
      <c r="T42" s="17" t="s">
        <v>779</v>
      </c>
    </row>
    <row r="43" customHeight="1" spans="9:20">
      <c r="Q43" s="17" t="s">
        <v>1896</v>
      </c>
      <c r="R43" s="17" t="str">
        <f t="shared" si="1"/>
        <v>撬棍</v>
      </c>
      <c r="S43" s="17" t="s">
        <v>865</v>
      </c>
      <c r="T43" s="17" t="s">
        <v>729</v>
      </c>
    </row>
    <row r="44" customHeight="1" spans="9:20">
      <c r="Q44" s="17" t="s">
        <v>1897</v>
      </c>
      <c r="R44" s="17" t="str">
        <f t="shared" si="1"/>
        <v>德鲁伊法器</v>
      </c>
    </row>
    <row r="45" customHeight="1" spans="9:20">
      <c r="Q45" s="17" t="s">
        <v>1898</v>
      </c>
      <c r="R45" s="17" t="str">
        <f t="shared" si="1"/>
        <v>槲寄生枝条</v>
      </c>
      <c r="S45" s="17" t="s">
        <v>762</v>
      </c>
      <c r="T45" s="17" t="s">
        <v>816</v>
      </c>
    </row>
    <row r="46" customHeight="1" spans="9:20">
      <c r="Q46" s="17" t="s">
        <v>1899</v>
      </c>
      <c r="R46" s="17" t="str">
        <f t="shared" si="1"/>
        <v>图腾</v>
      </c>
      <c r="S46" s="17" t="s">
        <v>762</v>
      </c>
      <c r="T46" s="17" t="s">
        <v>816</v>
      </c>
    </row>
    <row r="47" customHeight="1" spans="9:20">
      <c r="Q47" s="17" t="s">
        <v>1900</v>
      </c>
      <c r="R47" s="17" t="str">
        <f t="shared" si="1"/>
        <v>木制法杖</v>
      </c>
      <c r="S47" s="17" t="s">
        <v>754</v>
      </c>
      <c r="T47" s="17" t="s">
        <v>1857</v>
      </c>
    </row>
    <row r="48" customHeight="1" spans="9:20">
      <c r="Q48" s="17" t="s">
        <v>1901</v>
      </c>
      <c r="R48" s="17" t="str">
        <f t="shared" si="1"/>
        <v>紫衫魔杖</v>
      </c>
      <c r="S48" s="17" t="s">
        <v>728</v>
      </c>
      <c r="T48" s="17" t="s">
        <v>866</v>
      </c>
    </row>
    <row r="49" customHeight="1" spans="17:20">
      <c r="Q49" s="17" t="s">
        <v>1902</v>
      </c>
      <c r="R49" s="17" t="str">
        <f t="shared" si="1"/>
        <v>渔具</v>
      </c>
      <c r="S49" s="17" t="s">
        <v>762</v>
      </c>
      <c r="T49" s="17" t="s">
        <v>1857</v>
      </c>
    </row>
    <row r="50" customHeight="1" spans="17:20">
      <c r="Q50" s="17" t="s">
        <v>1903</v>
      </c>
      <c r="R50" s="17" t="str">
        <f t="shared" si="1"/>
        <v>扁瓶fla</v>
      </c>
      <c r="S50" s="17" t="s">
        <v>1904</v>
      </c>
      <c r="T50" s="17" t="s">
        <v>866</v>
      </c>
    </row>
    <row r="51" customHeight="1" spans="17:20">
      <c r="Q51" s="17" t="s">
        <v>1905</v>
      </c>
      <c r="R51" s="17" t="str">
        <f t="shared" si="1"/>
        <v>爪钩</v>
      </c>
      <c r="S51" s="17" t="s">
        <v>865</v>
      </c>
      <c r="T51" s="17" t="s">
        <v>1857</v>
      </c>
    </row>
    <row r="52" customHeight="1" spans="17:20">
      <c r="Q52" s="17" t="s">
        <v>1906</v>
      </c>
      <c r="R52" s="17" t="str">
        <f t="shared" si="1"/>
        <v>铁锤</v>
      </c>
      <c r="S52" s="17" t="s">
        <v>762</v>
      </c>
      <c r="T52" s="17" t="s">
        <v>786</v>
      </c>
    </row>
    <row r="53" customHeight="1" spans="17:20">
      <c r="Q53" s="17" t="s">
        <v>1907</v>
      </c>
      <c r="R53" s="17" t="str">
        <f t="shared" si="1"/>
        <v>大铁锤</v>
      </c>
      <c r="S53" s="17" t="s">
        <v>865</v>
      </c>
      <c r="T53" s="17" t="s">
        <v>792</v>
      </c>
    </row>
    <row r="54" customHeight="1" spans="17:20">
      <c r="Q54" s="17" t="s">
        <v>1908</v>
      </c>
      <c r="R54" s="17" t="str">
        <f t="shared" si="1"/>
        <v>医疗包</v>
      </c>
      <c r="S54" s="17" t="s">
        <v>754</v>
      </c>
      <c r="T54" s="17" t="s">
        <v>786</v>
      </c>
    </row>
  </sheetData>
  <mergeCells count="9">
    <mergeCell ref="A1:G1"/>
    <mergeCell ref="I1:N1"/>
    <mergeCell ref="A3:A5"/>
    <mergeCell ref="A6:A10"/>
    <mergeCell ref="A11:A14"/>
    <mergeCell ref="I3:I12"/>
    <mergeCell ref="I13:I16"/>
    <mergeCell ref="I17:I34"/>
    <mergeCell ref="I35:I3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7"/>
  <sheetViews>
    <sheetView workbookViewId="0">
      <pane ySplit="2" topLeftCell="A492" activePane="bottomLeft" state="frozen"/>
      <selection/>
      <selection pane="bottomLeft" activeCell="J561" sqref="J561"/>
    </sheetView>
  </sheetViews>
  <sheetFormatPr defaultColWidth="9" defaultRowHeight="14"/>
  <cols>
    <col min="1" max="2" width="9" style="10"/>
    <col min="3" max="3" width="12.7727272727273" style="10" customWidth="1"/>
    <col min="4" max="4" width="40.7727272727273" style="10" customWidth="1"/>
    <col min="5" max="5" width="10.7727272727273" style="10" customWidth="1"/>
    <col min="6" max="7" width="9" style="10"/>
    <col min="8" max="8" width="50.7727272727273" style="10" customWidth="1"/>
    <col min="9" max="10" width="9" style="10"/>
    <col min="11" max="11" width="9" style="11"/>
    <col min="12" max="13" width="9" style="10"/>
    <col min="14" max="14" width="10.7727272727273" style="10" customWidth="1"/>
    <col min="15" max="16" width="9" style="11"/>
    <col min="17" max="17" width="9" style="12"/>
    <col min="18" max="16384" width="9" style="11"/>
  </cols>
  <sheetData>
    <row r="1" spans="1:20">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row>
    <row r="2" ht="13.5" customHeight="1" spans="1:20">
      <c r="A2" s="13" t="s">
        <v>1909</v>
      </c>
      <c r="B2" s="13"/>
      <c r="C2" s="13" t="s">
        <v>1910</v>
      </c>
      <c r="D2" s="13" t="s">
        <v>1911</v>
      </c>
      <c r="E2" s="13" t="s">
        <v>1912</v>
      </c>
      <c r="F2" s="13" t="s">
        <v>1913</v>
      </c>
      <c r="G2" s="13" t="s">
        <v>147</v>
      </c>
      <c r="H2" s="13" t="s">
        <v>149</v>
      </c>
      <c r="I2" s="13" t="s">
        <v>148</v>
      </c>
      <c r="J2" s="13" t="s">
        <v>1914</v>
      </c>
      <c r="K2" s="14">
        <v>1</v>
      </c>
      <c r="L2" s="13"/>
      <c r="M2" s="13" t="s">
        <v>1909</v>
      </c>
      <c r="N2" s="13" t="s">
        <v>143</v>
      </c>
      <c r="O2" s="14" t="s">
        <v>1915</v>
      </c>
      <c r="P2" s="14" t="s">
        <v>149</v>
      </c>
      <c r="Q2" s="14" t="s">
        <v>1916</v>
      </c>
      <c r="R2" s="14" t="s">
        <v>1767</v>
      </c>
      <c r="S2" s="14"/>
      <c r="T2" s="14"/>
    </row>
    <row r="3" ht="13.5" customHeight="1" spans="1:20">
      <c r="A3" s="13" t="s">
        <v>1917</v>
      </c>
      <c r="B3" s="13" t="s">
        <v>1265</v>
      </c>
      <c r="C3" s="13" t="s">
        <v>1918</v>
      </c>
      <c r="D3" s="13" t="s">
        <v>318</v>
      </c>
      <c r="E3" s="13" t="s">
        <v>1919</v>
      </c>
      <c r="F3" s="13" t="s">
        <v>1920</v>
      </c>
      <c r="G3" s="13" t="s">
        <v>1921</v>
      </c>
      <c r="H3" s="13" t="s">
        <v>1922</v>
      </c>
      <c r="I3" s="13" t="s">
        <v>1923</v>
      </c>
      <c r="J3" s="13" t="s">
        <v>1924</v>
      </c>
      <c r="K3" s="14">
        <v>1</v>
      </c>
      <c r="L3" s="13" t="s">
        <v>1265</v>
      </c>
      <c r="M3" s="13" t="s">
        <v>1917</v>
      </c>
      <c r="N3" s="13" t="s">
        <v>189</v>
      </c>
      <c r="O3" s="14" t="s">
        <v>1925</v>
      </c>
      <c r="P3" s="14" t="s">
        <v>1926</v>
      </c>
      <c r="Q3" s="14"/>
      <c r="R3" s="14" t="s">
        <v>1927</v>
      </c>
      <c r="S3" s="14"/>
      <c r="T3" s="14"/>
    </row>
    <row r="4" ht="13.5" customHeight="1" spans="1:20">
      <c r="A4" s="13" t="s">
        <v>1928</v>
      </c>
      <c r="B4" s="13" t="s">
        <v>1280</v>
      </c>
      <c r="C4" s="13" t="s">
        <v>1918</v>
      </c>
      <c r="D4" s="13" t="s">
        <v>1929</v>
      </c>
      <c r="E4" s="13" t="s">
        <v>1930</v>
      </c>
      <c r="F4" s="13" t="s">
        <v>1931</v>
      </c>
      <c r="G4" s="13" t="s">
        <v>1932</v>
      </c>
      <c r="H4" s="13" t="s">
        <v>1933</v>
      </c>
      <c r="I4" s="13" t="s">
        <v>1934</v>
      </c>
      <c r="J4" s="13" t="s">
        <v>1935</v>
      </c>
      <c r="K4" s="14">
        <v>1</v>
      </c>
      <c r="L4" s="13" t="s">
        <v>1280</v>
      </c>
      <c r="M4" s="13" t="s">
        <v>1928</v>
      </c>
      <c r="N4" s="13" t="s">
        <v>189</v>
      </c>
      <c r="O4" s="14" t="s">
        <v>1936</v>
      </c>
      <c r="P4" s="14" t="s">
        <v>1937</v>
      </c>
      <c r="Q4" s="14" t="s">
        <v>1938</v>
      </c>
      <c r="R4" s="14" t="s">
        <v>1939</v>
      </c>
      <c r="S4" s="14"/>
      <c r="T4" s="14"/>
    </row>
    <row r="5" ht="13.5" customHeight="1" spans="1:20">
      <c r="A5" s="13" t="s">
        <v>1940</v>
      </c>
      <c r="B5" s="13" t="s">
        <v>1281</v>
      </c>
      <c r="C5" s="13" t="s">
        <v>1918</v>
      </c>
      <c r="D5" s="13" t="s">
        <v>1929</v>
      </c>
      <c r="E5" s="13" t="s">
        <v>1919</v>
      </c>
      <c r="F5" s="13" t="s">
        <v>1931</v>
      </c>
      <c r="G5" s="13" t="s">
        <v>1941</v>
      </c>
      <c r="H5" s="13" t="s">
        <v>1942</v>
      </c>
      <c r="I5" s="13" t="s">
        <v>1934</v>
      </c>
      <c r="J5" s="13" t="s">
        <v>1943</v>
      </c>
      <c r="K5" s="14">
        <v>1</v>
      </c>
      <c r="L5" s="13" t="s">
        <v>1281</v>
      </c>
      <c r="M5" s="13" t="s">
        <v>1940</v>
      </c>
      <c r="N5" s="13" t="s">
        <v>189</v>
      </c>
      <c r="O5" s="14" t="s">
        <v>1925</v>
      </c>
      <c r="P5" s="14" t="s">
        <v>1944</v>
      </c>
      <c r="Q5" s="14"/>
      <c r="R5" s="14" t="s">
        <v>1939</v>
      </c>
      <c r="S5" s="14"/>
      <c r="T5" s="14"/>
    </row>
    <row r="6" ht="13.5" customHeight="1" spans="1:20">
      <c r="A6" s="13" t="s">
        <v>1945</v>
      </c>
      <c r="B6" s="13" t="s">
        <v>1289</v>
      </c>
      <c r="C6" s="13" t="s">
        <v>1918</v>
      </c>
      <c r="D6" s="13" t="s">
        <v>287</v>
      </c>
      <c r="E6" s="13" t="s">
        <v>1930</v>
      </c>
      <c r="F6" s="13" t="s">
        <v>1931</v>
      </c>
      <c r="G6" s="13" t="s">
        <v>1946</v>
      </c>
      <c r="H6" s="13" t="s">
        <v>1947</v>
      </c>
      <c r="I6" s="13" t="s">
        <v>1934</v>
      </c>
      <c r="J6" s="13" t="s">
        <v>1948</v>
      </c>
      <c r="K6" s="14">
        <v>1</v>
      </c>
      <c r="L6" s="13" t="s">
        <v>1289</v>
      </c>
      <c r="M6" s="13" t="s">
        <v>1945</v>
      </c>
      <c r="N6" s="13" t="s">
        <v>189</v>
      </c>
      <c r="O6" s="14" t="s">
        <v>1936</v>
      </c>
      <c r="P6" s="14" t="s">
        <v>1949</v>
      </c>
      <c r="Q6" s="14"/>
      <c r="R6" s="14" t="s">
        <v>1939</v>
      </c>
      <c r="S6" s="14"/>
      <c r="T6" s="14"/>
    </row>
    <row r="7" ht="13.5" customHeight="1" spans="1:20">
      <c r="A7" s="13" t="s">
        <v>1950</v>
      </c>
      <c r="B7" s="13" t="s">
        <v>1298</v>
      </c>
      <c r="C7" s="13" t="s">
        <v>1918</v>
      </c>
      <c r="D7" s="13" t="s">
        <v>1951</v>
      </c>
      <c r="E7" s="13" t="s">
        <v>1930</v>
      </c>
      <c r="F7" s="13" t="s">
        <v>1931</v>
      </c>
      <c r="G7" s="13" t="s">
        <v>1952</v>
      </c>
      <c r="H7" s="13" t="s">
        <v>1947</v>
      </c>
      <c r="I7" s="13" t="s">
        <v>1934</v>
      </c>
      <c r="J7" s="13" t="s">
        <v>1953</v>
      </c>
      <c r="K7" s="14">
        <v>1</v>
      </c>
      <c r="L7" s="13" t="s">
        <v>1298</v>
      </c>
      <c r="M7" s="13" t="s">
        <v>1950</v>
      </c>
      <c r="N7" s="13" t="s">
        <v>189</v>
      </c>
      <c r="O7" s="14" t="s">
        <v>1936</v>
      </c>
      <c r="P7" s="14" t="s">
        <v>1949</v>
      </c>
      <c r="Q7" s="14"/>
      <c r="R7" s="14" t="s">
        <v>1939</v>
      </c>
      <c r="S7" s="14"/>
      <c r="T7" s="14"/>
    </row>
    <row r="8" ht="13.5" customHeight="1" spans="1:20">
      <c r="A8" s="13" t="s">
        <v>1954</v>
      </c>
      <c r="B8" s="13" t="s">
        <v>1302</v>
      </c>
      <c r="C8" s="13" t="s">
        <v>1918</v>
      </c>
      <c r="D8" s="13" t="s">
        <v>1955</v>
      </c>
      <c r="E8" s="13" t="s">
        <v>1956</v>
      </c>
      <c r="F8" s="13" t="s">
        <v>1957</v>
      </c>
      <c r="G8" s="13" t="s">
        <v>1958</v>
      </c>
      <c r="H8" s="13" t="s">
        <v>1959</v>
      </c>
      <c r="I8" s="13" t="s">
        <v>1934</v>
      </c>
      <c r="J8" s="13" t="s">
        <v>1960</v>
      </c>
      <c r="K8" s="14">
        <v>1</v>
      </c>
      <c r="L8" s="13" t="s">
        <v>1302</v>
      </c>
      <c r="M8" s="13" t="s">
        <v>1954</v>
      </c>
      <c r="N8" s="13" t="s">
        <v>189</v>
      </c>
      <c r="O8" s="14" t="s">
        <v>1961</v>
      </c>
      <c r="P8" s="14" t="s">
        <v>1937</v>
      </c>
      <c r="Q8" s="14" t="s">
        <v>1962</v>
      </c>
      <c r="R8" s="14" t="s">
        <v>1939</v>
      </c>
      <c r="S8" s="14"/>
      <c r="T8" s="14"/>
    </row>
    <row r="9" ht="13.5" customHeight="1" spans="1:20">
      <c r="A9" s="13" t="s">
        <v>1963</v>
      </c>
      <c r="B9" s="13" t="s">
        <v>1309</v>
      </c>
      <c r="C9" s="13" t="s">
        <v>1918</v>
      </c>
      <c r="D9" s="13" t="s">
        <v>1964</v>
      </c>
      <c r="E9" s="13" t="s">
        <v>1965</v>
      </c>
      <c r="F9" s="13" t="s">
        <v>1966</v>
      </c>
      <c r="G9" s="13" t="s">
        <v>1921</v>
      </c>
      <c r="H9" s="13" t="s">
        <v>1942</v>
      </c>
      <c r="I9" s="13" t="s">
        <v>1967</v>
      </c>
      <c r="J9" s="13" t="s">
        <v>1968</v>
      </c>
      <c r="K9" s="14">
        <v>1</v>
      </c>
      <c r="L9" s="13" t="s">
        <v>1309</v>
      </c>
      <c r="M9" s="13" t="s">
        <v>1963</v>
      </c>
      <c r="N9" s="13" t="s">
        <v>189</v>
      </c>
      <c r="O9" s="14" t="s">
        <v>1969</v>
      </c>
      <c r="P9" s="14" t="s">
        <v>1944</v>
      </c>
      <c r="Q9" s="14"/>
      <c r="R9" s="14" t="s">
        <v>1939</v>
      </c>
      <c r="S9" s="14"/>
      <c r="T9" s="14"/>
    </row>
    <row r="10" ht="13.5" customHeight="1" spans="1:20">
      <c r="A10" s="13" t="s">
        <v>1970</v>
      </c>
      <c r="B10" s="13" t="s">
        <v>1310</v>
      </c>
      <c r="C10" s="13" t="s">
        <v>1918</v>
      </c>
      <c r="D10" s="13" t="s">
        <v>1971</v>
      </c>
      <c r="E10" s="13" t="s">
        <v>1972</v>
      </c>
      <c r="F10" s="13" t="s">
        <v>1931</v>
      </c>
      <c r="G10" s="13" t="s">
        <v>1941</v>
      </c>
      <c r="H10" s="13" t="s">
        <v>1922</v>
      </c>
      <c r="I10" s="13" t="s">
        <v>1923</v>
      </c>
      <c r="J10" s="13" t="s">
        <v>1973</v>
      </c>
      <c r="K10" s="14">
        <v>1</v>
      </c>
      <c r="L10" s="13" t="s">
        <v>1310</v>
      </c>
      <c r="M10" s="13" t="s">
        <v>1970</v>
      </c>
      <c r="N10" s="13" t="s">
        <v>189</v>
      </c>
      <c r="O10" s="14" t="s">
        <v>1974</v>
      </c>
      <c r="P10" s="14" t="s">
        <v>1926</v>
      </c>
      <c r="Q10" s="14"/>
      <c r="R10" s="14" t="s">
        <v>1927</v>
      </c>
      <c r="S10" s="14"/>
      <c r="T10" s="14"/>
    </row>
    <row r="11" ht="13.5" customHeight="1" spans="1:20">
      <c r="A11" s="13" t="s">
        <v>1975</v>
      </c>
      <c r="B11" s="13" t="s">
        <v>1326</v>
      </c>
      <c r="C11" s="13" t="s">
        <v>1918</v>
      </c>
      <c r="D11" s="13" t="s">
        <v>1976</v>
      </c>
      <c r="E11" s="13" t="s">
        <v>1965</v>
      </c>
      <c r="F11" s="13" t="s">
        <v>1977</v>
      </c>
      <c r="G11" s="13" t="s">
        <v>1958</v>
      </c>
      <c r="H11" s="13" t="s">
        <v>1978</v>
      </c>
      <c r="I11" s="13" t="s">
        <v>1979</v>
      </c>
      <c r="J11" s="13" t="s">
        <v>1980</v>
      </c>
      <c r="K11" s="14">
        <v>1</v>
      </c>
      <c r="L11" s="13" t="s">
        <v>1326</v>
      </c>
      <c r="M11" s="13" t="s">
        <v>1975</v>
      </c>
      <c r="N11" s="13" t="s">
        <v>189</v>
      </c>
      <c r="O11" s="14" t="s">
        <v>1969</v>
      </c>
      <c r="P11" s="14" t="s">
        <v>1981</v>
      </c>
      <c r="Q11" s="14" t="s">
        <v>1982</v>
      </c>
      <c r="R11" s="14" t="s">
        <v>1939</v>
      </c>
      <c r="S11" s="14"/>
      <c r="T11" s="14"/>
    </row>
    <row r="12" ht="13.5" customHeight="1" spans="1:20">
      <c r="A12" s="13" t="s">
        <v>1983</v>
      </c>
      <c r="B12" s="13" t="s">
        <v>1327</v>
      </c>
      <c r="C12" s="13" t="s">
        <v>1918</v>
      </c>
      <c r="D12" s="13" t="s">
        <v>1984</v>
      </c>
      <c r="E12" s="13" t="s">
        <v>1985</v>
      </c>
      <c r="F12" s="13" t="s">
        <v>1931</v>
      </c>
      <c r="G12" s="13" t="s">
        <v>1958</v>
      </c>
      <c r="H12" s="13" t="s">
        <v>1986</v>
      </c>
      <c r="I12" s="13" t="s">
        <v>1987</v>
      </c>
      <c r="J12" s="13" t="s">
        <v>1988</v>
      </c>
      <c r="K12" s="14">
        <v>1</v>
      </c>
      <c r="L12" s="13" t="s">
        <v>1327</v>
      </c>
      <c r="M12" s="13" t="s">
        <v>1983</v>
      </c>
      <c r="N12" s="13" t="s">
        <v>189</v>
      </c>
      <c r="O12" s="14" t="s">
        <v>1989</v>
      </c>
      <c r="P12" s="14" t="s">
        <v>1937</v>
      </c>
      <c r="Q12" s="14" t="s">
        <v>1990</v>
      </c>
      <c r="R12" s="14" t="s">
        <v>1927</v>
      </c>
      <c r="S12" s="14"/>
      <c r="T12" s="14"/>
    </row>
    <row r="13" ht="13.5" customHeight="1" spans="1:20">
      <c r="A13" s="13" t="s">
        <v>1991</v>
      </c>
      <c r="B13" s="13" t="s">
        <v>1343</v>
      </c>
      <c r="C13" s="13" t="s">
        <v>1918</v>
      </c>
      <c r="D13" s="13" t="s">
        <v>1992</v>
      </c>
      <c r="E13" s="13" t="s">
        <v>1993</v>
      </c>
      <c r="F13" s="13" t="s">
        <v>1931</v>
      </c>
      <c r="G13" s="13" t="s">
        <v>1941</v>
      </c>
      <c r="H13" s="13" t="s">
        <v>1994</v>
      </c>
      <c r="I13" s="13" t="s">
        <v>1934</v>
      </c>
      <c r="J13" s="13" t="s">
        <v>1995</v>
      </c>
      <c r="K13" s="14">
        <v>1</v>
      </c>
      <c r="L13" s="13" t="s">
        <v>1343</v>
      </c>
      <c r="M13" s="13" t="s">
        <v>1991</v>
      </c>
      <c r="N13" s="13" t="s">
        <v>189</v>
      </c>
      <c r="O13" s="14" t="s">
        <v>1996</v>
      </c>
      <c r="P13" s="14" t="s">
        <v>1981</v>
      </c>
      <c r="Q13" s="14" t="s">
        <v>1997</v>
      </c>
      <c r="R13" s="14" t="s">
        <v>1939</v>
      </c>
      <c r="S13" s="14"/>
      <c r="T13" s="14"/>
    </row>
    <row r="14" ht="13.5" customHeight="1" spans="1:20">
      <c r="A14" s="13" t="s">
        <v>1998</v>
      </c>
      <c r="B14" s="13" t="s">
        <v>1363</v>
      </c>
      <c r="C14" s="13" t="s">
        <v>1999</v>
      </c>
      <c r="D14" s="13" t="s">
        <v>2000</v>
      </c>
      <c r="E14" s="13" t="s">
        <v>1956</v>
      </c>
      <c r="F14" s="13" t="s">
        <v>1977</v>
      </c>
      <c r="G14" s="13" t="s">
        <v>1932</v>
      </c>
      <c r="H14" s="13" t="s">
        <v>2001</v>
      </c>
      <c r="I14" s="13" t="s">
        <v>1979</v>
      </c>
      <c r="J14" s="13" t="s">
        <v>2002</v>
      </c>
      <c r="K14" s="14">
        <v>1</v>
      </c>
      <c r="L14" s="13" t="s">
        <v>1363</v>
      </c>
      <c r="M14" s="13" t="s">
        <v>1998</v>
      </c>
      <c r="N14" s="13" t="s">
        <v>189</v>
      </c>
      <c r="O14" s="14" t="s">
        <v>1961</v>
      </c>
      <c r="P14" s="14" t="s">
        <v>1937</v>
      </c>
      <c r="Q14" s="14" t="s">
        <v>2003</v>
      </c>
      <c r="R14" s="14" t="s">
        <v>1939</v>
      </c>
      <c r="S14" s="14"/>
      <c r="T14" s="14"/>
    </row>
    <row r="15" ht="13.5" customHeight="1" spans="1:20">
      <c r="A15" s="13" t="s">
        <v>2004</v>
      </c>
      <c r="B15" s="13" t="s">
        <v>1367</v>
      </c>
      <c r="C15" s="13" t="s">
        <v>1999</v>
      </c>
      <c r="D15" s="13" t="s">
        <v>318</v>
      </c>
      <c r="E15" s="13" t="s">
        <v>1993</v>
      </c>
      <c r="F15" s="13" t="s">
        <v>1920</v>
      </c>
      <c r="G15" s="13" t="s">
        <v>1921</v>
      </c>
      <c r="H15" s="13" t="s">
        <v>1922</v>
      </c>
      <c r="I15" s="13" t="s">
        <v>1923</v>
      </c>
      <c r="J15" s="13" t="s">
        <v>2005</v>
      </c>
      <c r="K15" s="14">
        <v>1</v>
      </c>
      <c r="L15" s="13" t="s">
        <v>1367</v>
      </c>
      <c r="M15" s="13" t="s">
        <v>2004</v>
      </c>
      <c r="N15" s="13" t="s">
        <v>189</v>
      </c>
      <c r="O15" s="14" t="s">
        <v>1996</v>
      </c>
      <c r="P15" s="14" t="s">
        <v>1926</v>
      </c>
      <c r="Q15" s="14"/>
      <c r="R15" s="14" t="s">
        <v>1927</v>
      </c>
      <c r="S15" s="14"/>
      <c r="T15" s="14"/>
    </row>
    <row r="16" ht="13.5" customHeight="1" spans="1:20">
      <c r="A16" s="13" t="s">
        <v>2006</v>
      </c>
      <c r="B16" s="13" t="s">
        <v>1368</v>
      </c>
      <c r="C16" s="13" t="s">
        <v>1999</v>
      </c>
      <c r="D16" s="13" t="s">
        <v>318</v>
      </c>
      <c r="E16" s="13" t="s">
        <v>1993</v>
      </c>
      <c r="F16" s="13" t="s">
        <v>1920</v>
      </c>
      <c r="G16" s="13" t="s">
        <v>1921</v>
      </c>
      <c r="H16" s="13" t="s">
        <v>1922</v>
      </c>
      <c r="I16" s="13" t="s">
        <v>1923</v>
      </c>
      <c r="J16" s="13" t="s">
        <v>2007</v>
      </c>
      <c r="K16" s="14">
        <v>1</v>
      </c>
      <c r="L16" s="13" t="s">
        <v>1368</v>
      </c>
      <c r="M16" s="13" t="s">
        <v>2006</v>
      </c>
      <c r="N16" s="13" t="s">
        <v>189</v>
      </c>
      <c r="O16" s="14" t="s">
        <v>1996</v>
      </c>
      <c r="P16" s="14" t="s">
        <v>1926</v>
      </c>
      <c r="Q16" s="14"/>
      <c r="R16" s="14" t="s">
        <v>1927</v>
      </c>
      <c r="S16" s="14"/>
      <c r="T16" s="14"/>
    </row>
    <row r="17" ht="13.5" customHeight="1" spans="1:20">
      <c r="A17" s="13" t="s">
        <v>2008</v>
      </c>
      <c r="B17" s="13" t="s">
        <v>1369</v>
      </c>
      <c r="C17" s="13" t="s">
        <v>1999</v>
      </c>
      <c r="D17" s="13" t="s">
        <v>318</v>
      </c>
      <c r="E17" s="13" t="s">
        <v>1985</v>
      </c>
      <c r="F17" s="13" t="s">
        <v>1920</v>
      </c>
      <c r="G17" s="13" t="s">
        <v>2009</v>
      </c>
      <c r="H17" s="13" t="s">
        <v>1922</v>
      </c>
      <c r="I17" s="13" t="s">
        <v>2010</v>
      </c>
      <c r="J17" s="13" t="s">
        <v>2011</v>
      </c>
      <c r="K17" s="14">
        <v>1</v>
      </c>
      <c r="L17" s="13" t="s">
        <v>1369</v>
      </c>
      <c r="M17" s="13" t="s">
        <v>2008</v>
      </c>
      <c r="N17" s="13" t="s">
        <v>189</v>
      </c>
      <c r="O17" s="14" t="s">
        <v>1989</v>
      </c>
      <c r="P17" s="14" t="s">
        <v>1926</v>
      </c>
      <c r="Q17" s="14"/>
      <c r="R17" s="14" t="s">
        <v>1927</v>
      </c>
      <c r="S17" s="14"/>
      <c r="T17" s="14"/>
    </row>
    <row r="18" ht="13.5" customHeight="1" spans="1:20">
      <c r="A18" s="13" t="s">
        <v>2012</v>
      </c>
      <c r="B18" s="13" t="s">
        <v>1378</v>
      </c>
      <c r="C18" s="13" t="s">
        <v>1999</v>
      </c>
      <c r="D18" s="13" t="s">
        <v>331</v>
      </c>
      <c r="E18" s="13" t="s">
        <v>1965</v>
      </c>
      <c r="F18" s="13" t="s">
        <v>1931</v>
      </c>
      <c r="G18" s="13" t="s">
        <v>1921</v>
      </c>
      <c r="H18" s="13" t="s">
        <v>2013</v>
      </c>
      <c r="I18" s="13" t="s">
        <v>2014</v>
      </c>
      <c r="J18" s="13" t="s">
        <v>2015</v>
      </c>
      <c r="K18" s="14">
        <v>1</v>
      </c>
      <c r="L18" s="13" t="s">
        <v>1378</v>
      </c>
      <c r="M18" s="13" t="s">
        <v>2012</v>
      </c>
      <c r="N18" s="13" t="s">
        <v>189</v>
      </c>
      <c r="O18" s="14" t="s">
        <v>1969</v>
      </c>
      <c r="P18" s="14" t="s">
        <v>1937</v>
      </c>
      <c r="Q18" s="14" t="s">
        <v>2016</v>
      </c>
      <c r="R18" s="14" t="s">
        <v>1939</v>
      </c>
      <c r="S18" s="14"/>
      <c r="T18" s="14"/>
    </row>
    <row r="19" ht="13.5" customHeight="1" spans="1:20">
      <c r="A19" s="13" t="s">
        <v>2017</v>
      </c>
      <c r="B19" s="13" t="s">
        <v>1379</v>
      </c>
      <c r="C19" s="13" t="s">
        <v>1999</v>
      </c>
      <c r="D19" s="13" t="s">
        <v>331</v>
      </c>
      <c r="E19" s="13" t="s">
        <v>1993</v>
      </c>
      <c r="F19" s="13" t="s">
        <v>1931</v>
      </c>
      <c r="G19" s="13" t="s">
        <v>2018</v>
      </c>
      <c r="H19" s="13" t="s">
        <v>1947</v>
      </c>
      <c r="I19" s="13" t="s">
        <v>1934</v>
      </c>
      <c r="J19" s="13" t="s">
        <v>2019</v>
      </c>
      <c r="K19" s="14">
        <v>1</v>
      </c>
      <c r="L19" s="13" t="s">
        <v>1379</v>
      </c>
      <c r="M19" s="13" t="s">
        <v>2017</v>
      </c>
      <c r="N19" s="13" t="s">
        <v>189</v>
      </c>
      <c r="O19" s="14" t="s">
        <v>1996</v>
      </c>
      <c r="P19" s="14" t="s">
        <v>1949</v>
      </c>
      <c r="Q19" s="14"/>
      <c r="R19" s="14" t="s">
        <v>1939</v>
      </c>
      <c r="S19" s="14"/>
      <c r="T19" s="14"/>
    </row>
    <row r="20" ht="13.5" customHeight="1" spans="1:20">
      <c r="A20" s="13" t="s">
        <v>2020</v>
      </c>
      <c r="B20" s="13" t="s">
        <v>1381</v>
      </c>
      <c r="C20" s="13" t="s">
        <v>1999</v>
      </c>
      <c r="D20" s="13" t="s">
        <v>331</v>
      </c>
      <c r="E20" s="13" t="s">
        <v>1930</v>
      </c>
      <c r="F20" s="13" t="s">
        <v>2021</v>
      </c>
      <c r="G20" s="13" t="s">
        <v>1941</v>
      </c>
      <c r="H20" s="13" t="s">
        <v>1947</v>
      </c>
      <c r="I20" s="13" t="s">
        <v>1934</v>
      </c>
      <c r="J20" s="13" t="s">
        <v>2022</v>
      </c>
      <c r="K20" s="14">
        <v>1</v>
      </c>
      <c r="L20" s="13" t="s">
        <v>1381</v>
      </c>
      <c r="M20" s="13" t="s">
        <v>2020</v>
      </c>
      <c r="N20" s="13" t="s">
        <v>189</v>
      </c>
      <c r="O20" s="14" t="s">
        <v>1936</v>
      </c>
      <c r="P20" s="14" t="s">
        <v>1949</v>
      </c>
      <c r="Q20" s="14"/>
      <c r="R20" s="14" t="s">
        <v>1939</v>
      </c>
      <c r="S20" s="14"/>
      <c r="T20" s="14"/>
    </row>
    <row r="21" ht="13.5" customHeight="1" spans="1:20">
      <c r="A21" s="13" t="s">
        <v>2023</v>
      </c>
      <c r="B21" s="13" t="s">
        <v>1382</v>
      </c>
      <c r="C21" s="13" t="s">
        <v>1999</v>
      </c>
      <c r="D21" s="13" t="s">
        <v>331</v>
      </c>
      <c r="E21" s="13" t="s">
        <v>2024</v>
      </c>
      <c r="F21" s="13" t="s">
        <v>1920</v>
      </c>
      <c r="G21" s="13" t="s">
        <v>2025</v>
      </c>
      <c r="H21" s="13" t="s">
        <v>2026</v>
      </c>
      <c r="I21" s="13" t="s">
        <v>2010</v>
      </c>
      <c r="J21" s="13" t="s">
        <v>2027</v>
      </c>
      <c r="K21" s="14">
        <v>1</v>
      </c>
      <c r="L21" s="13" t="s">
        <v>1382</v>
      </c>
      <c r="M21" s="13" t="s">
        <v>2023</v>
      </c>
      <c r="N21" s="13" t="s">
        <v>189</v>
      </c>
      <c r="O21" s="14" t="s">
        <v>2028</v>
      </c>
      <c r="P21" s="14" t="s">
        <v>1937</v>
      </c>
      <c r="Q21" s="14" t="s">
        <v>2029</v>
      </c>
      <c r="R21" s="14" t="s">
        <v>1927</v>
      </c>
      <c r="S21" s="14"/>
      <c r="T21" s="14"/>
    </row>
    <row r="22" ht="13.5" customHeight="1" spans="1:20">
      <c r="A22" s="13" t="s">
        <v>2030</v>
      </c>
      <c r="B22" s="13" t="s">
        <v>1391</v>
      </c>
      <c r="C22" s="13" t="s">
        <v>1999</v>
      </c>
      <c r="D22" s="13" t="s">
        <v>2031</v>
      </c>
      <c r="E22" s="13" t="s">
        <v>1919</v>
      </c>
      <c r="F22" s="13" t="s">
        <v>1920</v>
      </c>
      <c r="G22" s="13" t="s">
        <v>1921</v>
      </c>
      <c r="H22" s="13" t="s">
        <v>1947</v>
      </c>
      <c r="I22" s="13" t="s">
        <v>1987</v>
      </c>
      <c r="J22" s="13" t="s">
        <v>2032</v>
      </c>
      <c r="K22" s="14">
        <v>1</v>
      </c>
      <c r="L22" s="13" t="s">
        <v>1391</v>
      </c>
      <c r="M22" s="13" t="s">
        <v>2030</v>
      </c>
      <c r="N22" s="13" t="s">
        <v>189</v>
      </c>
      <c r="O22" s="14" t="s">
        <v>1925</v>
      </c>
      <c r="P22" s="14" t="s">
        <v>1949</v>
      </c>
      <c r="Q22" s="14"/>
      <c r="R22" s="14" t="s">
        <v>1927</v>
      </c>
      <c r="S22" s="14"/>
      <c r="T22" s="14"/>
    </row>
    <row r="23" ht="13.5" customHeight="1" spans="1:20">
      <c r="A23" s="13" t="s">
        <v>2033</v>
      </c>
      <c r="B23" s="13" t="s">
        <v>1398</v>
      </c>
      <c r="C23" s="13" t="s">
        <v>1999</v>
      </c>
      <c r="D23" s="13" t="s">
        <v>2031</v>
      </c>
      <c r="E23" s="13" t="s">
        <v>1930</v>
      </c>
      <c r="F23" s="13" t="s">
        <v>1931</v>
      </c>
      <c r="G23" s="13" t="s">
        <v>1932</v>
      </c>
      <c r="H23" s="13" t="s">
        <v>2034</v>
      </c>
      <c r="I23" s="13" t="s">
        <v>1923</v>
      </c>
      <c r="J23" s="13" t="s">
        <v>2035</v>
      </c>
      <c r="K23" s="14">
        <v>1</v>
      </c>
      <c r="L23" s="13" t="s">
        <v>1398</v>
      </c>
      <c r="M23" s="13" t="s">
        <v>2033</v>
      </c>
      <c r="N23" s="13" t="s">
        <v>189</v>
      </c>
      <c r="O23" s="14" t="s">
        <v>1936</v>
      </c>
      <c r="P23" s="14" t="s">
        <v>1937</v>
      </c>
      <c r="Q23" s="14" t="s">
        <v>2036</v>
      </c>
      <c r="R23" s="14" t="s">
        <v>1927</v>
      </c>
      <c r="S23" s="14"/>
      <c r="T23" s="14"/>
    </row>
    <row r="24" ht="13.5" customHeight="1" spans="1:20">
      <c r="A24" s="13" t="s">
        <v>2037</v>
      </c>
      <c r="B24" s="13" t="s">
        <v>1403</v>
      </c>
      <c r="C24" s="13" t="s">
        <v>1999</v>
      </c>
      <c r="D24" s="13" t="s">
        <v>1929</v>
      </c>
      <c r="E24" s="13" t="s">
        <v>1930</v>
      </c>
      <c r="F24" s="13" t="s">
        <v>1931</v>
      </c>
      <c r="G24" s="13" t="s">
        <v>2038</v>
      </c>
      <c r="H24" s="13" t="s">
        <v>2039</v>
      </c>
      <c r="I24" s="13" t="s">
        <v>1934</v>
      </c>
      <c r="J24" s="13" t="s">
        <v>2040</v>
      </c>
      <c r="K24" s="14">
        <v>1</v>
      </c>
      <c r="L24" s="13" t="s">
        <v>1403</v>
      </c>
      <c r="M24" s="13" t="s">
        <v>2037</v>
      </c>
      <c r="N24" s="13" t="s">
        <v>189</v>
      </c>
      <c r="O24" s="14" t="s">
        <v>1936</v>
      </c>
      <c r="P24" s="14" t="s">
        <v>1949</v>
      </c>
      <c r="Q24" s="14"/>
      <c r="R24" s="14" t="s">
        <v>1939</v>
      </c>
      <c r="S24" s="14"/>
      <c r="T24" s="14"/>
    </row>
    <row r="25" ht="13.5" customHeight="1" spans="1:20">
      <c r="A25" s="13" t="s">
        <v>2041</v>
      </c>
      <c r="B25" s="13" t="s">
        <v>1405</v>
      </c>
      <c r="C25" s="13" t="s">
        <v>1999</v>
      </c>
      <c r="D25" s="13" t="s">
        <v>1929</v>
      </c>
      <c r="E25" s="13" t="s">
        <v>1930</v>
      </c>
      <c r="F25" s="13" t="s">
        <v>1931</v>
      </c>
      <c r="G25" s="13" t="s">
        <v>2009</v>
      </c>
      <c r="H25" s="13" t="s">
        <v>2042</v>
      </c>
      <c r="I25" s="13" t="s">
        <v>1934</v>
      </c>
      <c r="J25" s="13" t="s">
        <v>2043</v>
      </c>
      <c r="K25" s="14">
        <v>1</v>
      </c>
      <c r="L25" s="13" t="s">
        <v>1405</v>
      </c>
      <c r="M25" s="13" t="s">
        <v>2041</v>
      </c>
      <c r="N25" s="13" t="s">
        <v>189</v>
      </c>
      <c r="O25" s="14" t="s">
        <v>1936</v>
      </c>
      <c r="P25" s="14" t="s">
        <v>1937</v>
      </c>
      <c r="Q25" s="14" t="s">
        <v>2044</v>
      </c>
      <c r="R25" s="14" t="s">
        <v>1939</v>
      </c>
      <c r="S25" s="14"/>
      <c r="T25" s="14"/>
    </row>
    <row r="26" ht="13.5" customHeight="1" spans="1:20">
      <c r="A26" s="13" t="s">
        <v>2045</v>
      </c>
      <c r="B26" s="13" t="s">
        <v>1407</v>
      </c>
      <c r="C26" s="13" t="s">
        <v>1999</v>
      </c>
      <c r="D26" s="13" t="s">
        <v>1929</v>
      </c>
      <c r="E26" s="13" t="s">
        <v>2046</v>
      </c>
      <c r="F26" s="13" t="s">
        <v>1931</v>
      </c>
      <c r="G26" s="13" t="s">
        <v>2038</v>
      </c>
      <c r="H26" s="13" t="s">
        <v>2047</v>
      </c>
      <c r="I26" s="13" t="s">
        <v>1967</v>
      </c>
      <c r="J26" s="13" t="s">
        <v>2048</v>
      </c>
      <c r="K26" s="14">
        <v>1</v>
      </c>
      <c r="L26" s="13" t="s">
        <v>1407</v>
      </c>
      <c r="M26" s="13" t="s">
        <v>2045</v>
      </c>
      <c r="N26" s="13" t="s">
        <v>189</v>
      </c>
      <c r="O26" s="14" t="s">
        <v>2049</v>
      </c>
      <c r="P26" s="14" t="s">
        <v>1937</v>
      </c>
      <c r="Q26" s="14" t="s">
        <v>2050</v>
      </c>
      <c r="R26" s="14" t="s">
        <v>1939</v>
      </c>
      <c r="S26" s="14"/>
      <c r="T26" s="14"/>
    </row>
    <row r="27" ht="13.5" customHeight="1" spans="1:20">
      <c r="A27" s="13" t="s">
        <v>2051</v>
      </c>
      <c r="B27" s="13" t="s">
        <v>1412</v>
      </c>
      <c r="C27" s="13" t="s">
        <v>1999</v>
      </c>
      <c r="D27" s="13" t="s">
        <v>1929</v>
      </c>
      <c r="E27" s="13" t="s">
        <v>1972</v>
      </c>
      <c r="F27" s="13" t="s">
        <v>1931</v>
      </c>
      <c r="G27" s="13" t="s">
        <v>1921</v>
      </c>
      <c r="H27" s="13" t="s">
        <v>2052</v>
      </c>
      <c r="I27" s="13" t="s">
        <v>1957</v>
      </c>
      <c r="J27" s="13" t="s">
        <v>2053</v>
      </c>
      <c r="K27" s="14">
        <v>1</v>
      </c>
      <c r="L27" s="13" t="s">
        <v>1412</v>
      </c>
      <c r="M27" s="13" t="s">
        <v>2051</v>
      </c>
      <c r="N27" s="13" t="s">
        <v>189</v>
      </c>
      <c r="O27" s="14" t="s">
        <v>1974</v>
      </c>
      <c r="P27" s="14" t="s">
        <v>1937</v>
      </c>
      <c r="Q27" s="14" t="s">
        <v>2054</v>
      </c>
      <c r="R27" s="14" t="s">
        <v>1939</v>
      </c>
      <c r="S27" s="14"/>
      <c r="T27" s="14"/>
    </row>
    <row r="28" ht="13.5" customHeight="1" spans="1:20">
      <c r="A28" s="13" t="s">
        <v>2055</v>
      </c>
      <c r="B28" s="13" t="s">
        <v>1420</v>
      </c>
      <c r="C28" s="13" t="s">
        <v>1999</v>
      </c>
      <c r="D28" s="13" t="s">
        <v>1929</v>
      </c>
      <c r="E28" s="13" t="s">
        <v>1965</v>
      </c>
      <c r="F28" s="13" t="s">
        <v>1931</v>
      </c>
      <c r="G28" s="13" t="s">
        <v>2056</v>
      </c>
      <c r="H28" s="13" t="s">
        <v>2057</v>
      </c>
      <c r="I28" s="13" t="s">
        <v>1979</v>
      </c>
      <c r="J28" s="13" t="s">
        <v>2058</v>
      </c>
      <c r="K28" s="14">
        <v>1</v>
      </c>
      <c r="L28" s="13" t="s">
        <v>1420</v>
      </c>
      <c r="M28" s="13" t="s">
        <v>2055</v>
      </c>
      <c r="N28" s="13" t="s">
        <v>189</v>
      </c>
      <c r="O28" s="14" t="s">
        <v>1969</v>
      </c>
      <c r="P28" s="14" t="s">
        <v>1937</v>
      </c>
      <c r="Q28" s="14" t="s">
        <v>2059</v>
      </c>
      <c r="R28" s="14" t="s">
        <v>1939</v>
      </c>
      <c r="S28" s="14"/>
      <c r="T28" s="14"/>
    </row>
    <row r="29" ht="13.5" customHeight="1" spans="1:20">
      <c r="A29" s="13" t="s">
        <v>2060</v>
      </c>
      <c r="B29" s="13" t="s">
        <v>1421</v>
      </c>
      <c r="C29" s="13" t="s">
        <v>1999</v>
      </c>
      <c r="D29" s="13" t="s">
        <v>1929</v>
      </c>
      <c r="E29" s="13" t="s">
        <v>1930</v>
      </c>
      <c r="F29" s="13" t="s">
        <v>1931</v>
      </c>
      <c r="G29" s="13" t="s">
        <v>1946</v>
      </c>
      <c r="H29" s="13" t="s">
        <v>1947</v>
      </c>
      <c r="I29" s="13" t="s">
        <v>1934</v>
      </c>
      <c r="J29" s="13" t="s">
        <v>2061</v>
      </c>
      <c r="K29" s="14">
        <v>1</v>
      </c>
      <c r="L29" s="13" t="s">
        <v>1421</v>
      </c>
      <c r="M29" s="13" t="s">
        <v>2060</v>
      </c>
      <c r="N29" s="13" t="s">
        <v>189</v>
      </c>
      <c r="O29" s="14" t="s">
        <v>1936</v>
      </c>
      <c r="P29" s="14" t="s">
        <v>1949</v>
      </c>
      <c r="Q29" s="14"/>
      <c r="R29" s="14" t="s">
        <v>1939</v>
      </c>
      <c r="S29" s="14"/>
      <c r="T29" s="14"/>
    </row>
    <row r="30" ht="13.5" customHeight="1" spans="1:20">
      <c r="A30" s="13" t="s">
        <v>2062</v>
      </c>
      <c r="B30" s="13" t="s">
        <v>1425</v>
      </c>
      <c r="C30" s="13" t="s">
        <v>1999</v>
      </c>
      <c r="D30" s="13" t="s">
        <v>1929</v>
      </c>
      <c r="E30" s="13" t="s">
        <v>1972</v>
      </c>
      <c r="F30" s="13" t="s">
        <v>1931</v>
      </c>
      <c r="G30" s="13" t="s">
        <v>1941</v>
      </c>
      <c r="H30" s="13" t="s">
        <v>1947</v>
      </c>
      <c r="I30" s="13" t="s">
        <v>1934</v>
      </c>
      <c r="J30" s="13" t="s">
        <v>2063</v>
      </c>
      <c r="K30" s="14">
        <v>1</v>
      </c>
      <c r="L30" s="13" t="s">
        <v>1425</v>
      </c>
      <c r="M30" s="13" t="s">
        <v>2062</v>
      </c>
      <c r="N30" s="13" t="s">
        <v>189</v>
      </c>
      <c r="O30" s="14" t="s">
        <v>1974</v>
      </c>
      <c r="P30" s="14" t="s">
        <v>1949</v>
      </c>
      <c r="Q30" s="14"/>
      <c r="R30" s="14" t="s">
        <v>1939</v>
      </c>
      <c r="S30" s="14"/>
      <c r="T30" s="14"/>
    </row>
    <row r="31" ht="13.5" customHeight="1" spans="1:20">
      <c r="A31" s="13" t="s">
        <v>2064</v>
      </c>
      <c r="B31" s="13" t="s">
        <v>1426</v>
      </c>
      <c r="C31" s="13" t="s">
        <v>1999</v>
      </c>
      <c r="D31" s="13" t="s">
        <v>1929</v>
      </c>
      <c r="E31" s="13" t="s">
        <v>1965</v>
      </c>
      <c r="F31" s="13" t="s">
        <v>2065</v>
      </c>
      <c r="G31" s="13" t="s">
        <v>1921</v>
      </c>
      <c r="H31" s="13" t="s">
        <v>1947</v>
      </c>
      <c r="I31" s="13" t="s">
        <v>1967</v>
      </c>
      <c r="J31" s="13" t="s">
        <v>2066</v>
      </c>
      <c r="K31" s="14">
        <v>1</v>
      </c>
      <c r="L31" s="13" t="s">
        <v>1426</v>
      </c>
      <c r="M31" s="13" t="s">
        <v>2064</v>
      </c>
      <c r="N31" s="13" t="s">
        <v>189</v>
      </c>
      <c r="O31" s="14" t="s">
        <v>1969</v>
      </c>
      <c r="P31" s="14" t="s">
        <v>1949</v>
      </c>
      <c r="Q31" s="14"/>
      <c r="R31" s="14" t="s">
        <v>1939</v>
      </c>
      <c r="S31" s="14"/>
      <c r="T31" s="14"/>
    </row>
    <row r="32" ht="13.5" customHeight="1" spans="1:20">
      <c r="A32" s="13" t="s">
        <v>2067</v>
      </c>
      <c r="B32" s="13" t="s">
        <v>1436</v>
      </c>
      <c r="C32" s="13" t="s">
        <v>1999</v>
      </c>
      <c r="D32" s="13" t="s">
        <v>2068</v>
      </c>
      <c r="E32" s="13" t="s">
        <v>2069</v>
      </c>
      <c r="F32" s="13" t="s">
        <v>1977</v>
      </c>
      <c r="G32" s="13" t="s">
        <v>2056</v>
      </c>
      <c r="H32" s="13" t="s">
        <v>2070</v>
      </c>
      <c r="I32" s="13" t="s">
        <v>2071</v>
      </c>
      <c r="J32" s="13" t="s">
        <v>2072</v>
      </c>
      <c r="K32" s="14">
        <v>1</v>
      </c>
      <c r="L32" s="13" t="s">
        <v>1436</v>
      </c>
      <c r="M32" s="13" t="s">
        <v>2067</v>
      </c>
      <c r="N32" s="13" t="s">
        <v>189</v>
      </c>
      <c r="O32" s="14" t="s">
        <v>2073</v>
      </c>
      <c r="P32" s="14" t="s">
        <v>1981</v>
      </c>
      <c r="Q32" s="14" t="s">
        <v>2074</v>
      </c>
      <c r="R32" s="14" t="s">
        <v>1939</v>
      </c>
      <c r="S32" s="14"/>
      <c r="T32" s="14"/>
    </row>
    <row r="33" ht="13.5" customHeight="1" spans="1:20">
      <c r="A33" s="13" t="s">
        <v>2075</v>
      </c>
      <c r="B33" s="13" t="s">
        <v>1438</v>
      </c>
      <c r="C33" s="13" t="s">
        <v>1999</v>
      </c>
      <c r="D33" s="13" t="s">
        <v>2068</v>
      </c>
      <c r="E33" s="13" t="s">
        <v>2076</v>
      </c>
      <c r="F33" s="13" t="s">
        <v>1931</v>
      </c>
      <c r="G33" s="13" t="s">
        <v>1941</v>
      </c>
      <c r="H33" s="13" t="s">
        <v>2077</v>
      </c>
      <c r="I33" s="13" t="s">
        <v>1957</v>
      </c>
      <c r="J33" s="13" t="s">
        <v>2078</v>
      </c>
      <c r="K33" s="14">
        <v>1</v>
      </c>
      <c r="L33" s="13" t="s">
        <v>1438</v>
      </c>
      <c r="M33" s="13" t="s">
        <v>2075</v>
      </c>
      <c r="N33" s="13" t="s">
        <v>189</v>
      </c>
      <c r="O33" s="14" t="s">
        <v>2079</v>
      </c>
      <c r="P33" s="14" t="s">
        <v>1937</v>
      </c>
      <c r="Q33" s="14" t="s">
        <v>2080</v>
      </c>
      <c r="R33" s="14" t="s">
        <v>1939</v>
      </c>
      <c r="S33" s="14"/>
      <c r="T33" s="14"/>
    </row>
    <row r="34" ht="13.5" customHeight="1" spans="1:20">
      <c r="A34" s="13" t="s">
        <v>2081</v>
      </c>
      <c r="B34" s="13" t="s">
        <v>1443</v>
      </c>
      <c r="C34" s="13" t="s">
        <v>1999</v>
      </c>
      <c r="D34" s="13" t="s">
        <v>2082</v>
      </c>
      <c r="E34" s="13" t="s">
        <v>2083</v>
      </c>
      <c r="F34" s="13" t="s">
        <v>1931</v>
      </c>
      <c r="G34" s="13" t="s">
        <v>1921</v>
      </c>
      <c r="H34" s="13" t="s">
        <v>2084</v>
      </c>
      <c r="I34" s="13" t="s">
        <v>1957</v>
      </c>
      <c r="J34" s="13" t="s">
        <v>2085</v>
      </c>
      <c r="K34" s="14">
        <v>1</v>
      </c>
      <c r="L34" s="13" t="s">
        <v>1443</v>
      </c>
      <c r="M34" s="13" t="s">
        <v>2081</v>
      </c>
      <c r="N34" s="13" t="s">
        <v>189</v>
      </c>
      <c r="O34" s="14" t="s">
        <v>2086</v>
      </c>
      <c r="P34" s="14" t="s">
        <v>1937</v>
      </c>
      <c r="Q34" s="14" t="s">
        <v>2087</v>
      </c>
      <c r="R34" s="14" t="s">
        <v>1939</v>
      </c>
      <c r="S34" s="14"/>
      <c r="T34" s="14"/>
    </row>
    <row r="35" ht="13.5" customHeight="1" spans="1:20">
      <c r="A35" s="13" t="s">
        <v>2088</v>
      </c>
      <c r="B35" s="13" t="s">
        <v>1465</v>
      </c>
      <c r="C35" s="13" t="s">
        <v>1999</v>
      </c>
      <c r="D35" s="13" t="s">
        <v>2089</v>
      </c>
      <c r="E35" s="13" t="s">
        <v>2046</v>
      </c>
      <c r="F35" s="13" t="s">
        <v>1931</v>
      </c>
      <c r="G35" s="13" t="s">
        <v>1921</v>
      </c>
      <c r="H35" s="13" t="s">
        <v>1947</v>
      </c>
      <c r="I35" s="13" t="s">
        <v>1957</v>
      </c>
      <c r="J35" s="13" t="s">
        <v>2090</v>
      </c>
      <c r="K35" s="14">
        <v>1</v>
      </c>
      <c r="L35" s="13" t="s">
        <v>1465</v>
      </c>
      <c r="M35" s="13" t="s">
        <v>2088</v>
      </c>
      <c r="N35" s="13" t="s">
        <v>189</v>
      </c>
      <c r="O35" s="14" t="s">
        <v>2049</v>
      </c>
      <c r="P35" s="14" t="s">
        <v>1949</v>
      </c>
      <c r="Q35" s="14"/>
      <c r="R35" s="14" t="s">
        <v>1939</v>
      </c>
      <c r="S35" s="14"/>
      <c r="T35" s="14"/>
    </row>
    <row r="36" ht="13.5" customHeight="1" spans="1:20">
      <c r="A36" s="13" t="s">
        <v>2091</v>
      </c>
      <c r="B36" s="13" t="s">
        <v>1467</v>
      </c>
      <c r="C36" s="13" t="s">
        <v>1999</v>
      </c>
      <c r="D36" s="13" t="s">
        <v>2089</v>
      </c>
      <c r="E36" s="13" t="s">
        <v>1919</v>
      </c>
      <c r="F36" s="13" t="s">
        <v>2092</v>
      </c>
      <c r="G36" s="13" t="s">
        <v>1941</v>
      </c>
      <c r="H36" s="13" t="s">
        <v>2093</v>
      </c>
      <c r="I36" s="13" t="s">
        <v>1977</v>
      </c>
      <c r="J36" s="13" t="s">
        <v>2094</v>
      </c>
      <c r="K36" s="14">
        <v>1</v>
      </c>
      <c r="L36" s="13" t="s">
        <v>1467</v>
      </c>
      <c r="M36" s="13" t="s">
        <v>2091</v>
      </c>
      <c r="N36" s="13" t="s">
        <v>189</v>
      </c>
      <c r="O36" s="14" t="s">
        <v>1925</v>
      </c>
      <c r="P36" s="14" t="s">
        <v>2095</v>
      </c>
      <c r="Q36" s="14" t="s">
        <v>2096</v>
      </c>
      <c r="R36" s="14" t="s">
        <v>1939</v>
      </c>
      <c r="S36" s="14"/>
      <c r="T36" s="14"/>
    </row>
    <row r="37" ht="13.5" customHeight="1" spans="1:20">
      <c r="A37" s="13" t="s">
        <v>2097</v>
      </c>
      <c r="B37" s="13" t="s">
        <v>1474</v>
      </c>
      <c r="C37" s="13" t="s">
        <v>1999</v>
      </c>
      <c r="D37" s="13" t="s">
        <v>2089</v>
      </c>
      <c r="E37" s="13" t="s">
        <v>2046</v>
      </c>
      <c r="F37" s="13" t="s">
        <v>1931</v>
      </c>
      <c r="G37" s="13" t="s">
        <v>1941</v>
      </c>
      <c r="H37" s="13" t="s">
        <v>2098</v>
      </c>
      <c r="I37" s="13" t="s">
        <v>1987</v>
      </c>
      <c r="J37" s="13" t="s">
        <v>2099</v>
      </c>
      <c r="K37" s="14">
        <v>1</v>
      </c>
      <c r="L37" s="13" t="s">
        <v>1474</v>
      </c>
      <c r="M37" s="13" t="s">
        <v>2097</v>
      </c>
      <c r="N37" s="13" t="s">
        <v>189</v>
      </c>
      <c r="O37" s="14" t="s">
        <v>2049</v>
      </c>
      <c r="P37" s="14" t="s">
        <v>1937</v>
      </c>
      <c r="Q37" s="14" t="s">
        <v>2100</v>
      </c>
      <c r="R37" s="14" t="s">
        <v>1927</v>
      </c>
      <c r="S37" s="14"/>
      <c r="T37" s="14"/>
    </row>
    <row r="38" ht="13.5" customHeight="1" spans="1:20">
      <c r="A38" s="13" t="s">
        <v>2101</v>
      </c>
      <c r="B38" s="13" t="s">
        <v>1475</v>
      </c>
      <c r="C38" s="13" t="s">
        <v>1999</v>
      </c>
      <c r="D38" s="13" t="s">
        <v>2089</v>
      </c>
      <c r="E38" s="13" t="s">
        <v>2024</v>
      </c>
      <c r="F38" s="13" t="s">
        <v>1931</v>
      </c>
      <c r="G38" s="13" t="s">
        <v>2009</v>
      </c>
      <c r="H38" s="13" t="s">
        <v>2102</v>
      </c>
      <c r="I38" s="13" t="s">
        <v>1977</v>
      </c>
      <c r="J38" s="13" t="s">
        <v>2103</v>
      </c>
      <c r="K38" s="14">
        <v>1</v>
      </c>
      <c r="L38" s="13" t="s">
        <v>1475</v>
      </c>
      <c r="M38" s="13" t="s">
        <v>2101</v>
      </c>
      <c r="N38" s="13" t="s">
        <v>189</v>
      </c>
      <c r="O38" s="14" t="s">
        <v>2028</v>
      </c>
      <c r="P38" s="14" t="s">
        <v>1937</v>
      </c>
      <c r="Q38" s="14" t="s">
        <v>2104</v>
      </c>
      <c r="R38" s="14" t="s">
        <v>1939</v>
      </c>
      <c r="S38" s="14"/>
      <c r="T38" s="14"/>
    </row>
    <row r="39" ht="13.5" customHeight="1" spans="1:20">
      <c r="A39" s="13" t="s">
        <v>2105</v>
      </c>
      <c r="B39" s="13" t="s">
        <v>1479</v>
      </c>
      <c r="C39" s="13" t="s">
        <v>1999</v>
      </c>
      <c r="D39" s="13" t="s">
        <v>2106</v>
      </c>
      <c r="E39" s="13" t="s">
        <v>2024</v>
      </c>
      <c r="F39" s="13" t="s">
        <v>1931</v>
      </c>
      <c r="G39" s="13" t="s">
        <v>2056</v>
      </c>
      <c r="H39" s="13" t="s">
        <v>1947</v>
      </c>
      <c r="I39" s="13" t="s">
        <v>1923</v>
      </c>
      <c r="J39" s="13" t="s">
        <v>2107</v>
      </c>
      <c r="K39" s="14">
        <v>1</v>
      </c>
      <c r="L39" s="13" t="s">
        <v>1479</v>
      </c>
      <c r="M39" s="13" t="s">
        <v>2105</v>
      </c>
      <c r="N39" s="13" t="s">
        <v>189</v>
      </c>
      <c r="O39" s="14" t="s">
        <v>2028</v>
      </c>
      <c r="P39" s="14" t="s">
        <v>1949</v>
      </c>
      <c r="Q39" s="14"/>
      <c r="R39" s="14" t="s">
        <v>1927</v>
      </c>
      <c r="S39" s="14"/>
      <c r="T39" s="14"/>
    </row>
    <row r="40" ht="13.5" customHeight="1" spans="1:20">
      <c r="A40" s="13" t="s">
        <v>2108</v>
      </c>
      <c r="B40" s="13" t="s">
        <v>1499</v>
      </c>
      <c r="C40" s="13" t="s">
        <v>1999</v>
      </c>
      <c r="D40" s="13" t="s">
        <v>2109</v>
      </c>
      <c r="E40" s="13" t="s">
        <v>2083</v>
      </c>
      <c r="F40" s="13" t="s">
        <v>1931</v>
      </c>
      <c r="G40" s="13" t="s">
        <v>1921</v>
      </c>
      <c r="H40" s="13" t="s">
        <v>1947</v>
      </c>
      <c r="I40" s="13" t="s">
        <v>1987</v>
      </c>
      <c r="J40" s="13" t="s">
        <v>2110</v>
      </c>
      <c r="K40" s="14">
        <v>1</v>
      </c>
      <c r="L40" s="13" t="s">
        <v>1499</v>
      </c>
      <c r="M40" s="13" t="s">
        <v>2108</v>
      </c>
      <c r="N40" s="13" t="s">
        <v>189</v>
      </c>
      <c r="O40" s="14" t="s">
        <v>2086</v>
      </c>
      <c r="P40" s="14" t="s">
        <v>1949</v>
      </c>
      <c r="Q40" s="14"/>
      <c r="R40" s="14" t="s">
        <v>1927</v>
      </c>
      <c r="S40" s="14"/>
      <c r="T40" s="14"/>
    </row>
    <row r="41" ht="13.5" customHeight="1" spans="1:20">
      <c r="A41" s="13" t="s">
        <v>2111</v>
      </c>
      <c r="B41" s="13" t="s">
        <v>1502</v>
      </c>
      <c r="C41" s="13" t="s">
        <v>1999</v>
      </c>
      <c r="D41" s="13" t="s">
        <v>2112</v>
      </c>
      <c r="E41" s="13" t="s">
        <v>1930</v>
      </c>
      <c r="F41" s="13" t="s">
        <v>1931</v>
      </c>
      <c r="G41" s="13" t="s">
        <v>2056</v>
      </c>
      <c r="H41" s="13" t="s">
        <v>2039</v>
      </c>
      <c r="I41" s="13" t="s">
        <v>1934</v>
      </c>
      <c r="J41" s="13" t="s">
        <v>2113</v>
      </c>
      <c r="K41" s="14">
        <v>1</v>
      </c>
      <c r="L41" s="13" t="s">
        <v>1502</v>
      </c>
      <c r="M41" s="13" t="s">
        <v>2111</v>
      </c>
      <c r="N41" s="13" t="s">
        <v>189</v>
      </c>
      <c r="O41" s="14" t="s">
        <v>1936</v>
      </c>
      <c r="P41" s="14" t="s">
        <v>1949</v>
      </c>
      <c r="Q41" s="14"/>
      <c r="R41" s="14" t="s">
        <v>1939</v>
      </c>
      <c r="S41" s="14"/>
      <c r="T41" s="14"/>
    </row>
    <row r="42" ht="13.5" customHeight="1" spans="1:20">
      <c r="A42" s="13" t="s">
        <v>2114</v>
      </c>
      <c r="B42" s="13" t="s">
        <v>1510</v>
      </c>
      <c r="C42" s="13" t="s">
        <v>1999</v>
      </c>
      <c r="D42" s="13" t="s">
        <v>2115</v>
      </c>
      <c r="E42" s="13" t="s">
        <v>1930</v>
      </c>
      <c r="F42" s="13" t="s">
        <v>1920</v>
      </c>
      <c r="G42" s="13" t="s">
        <v>1941</v>
      </c>
      <c r="H42" s="13" t="s">
        <v>1922</v>
      </c>
      <c r="I42" s="13" t="s">
        <v>1934</v>
      </c>
      <c r="J42" s="13" t="s">
        <v>2116</v>
      </c>
      <c r="K42" s="14">
        <v>1</v>
      </c>
      <c r="L42" s="13" t="s">
        <v>1510</v>
      </c>
      <c r="M42" s="13" t="s">
        <v>2114</v>
      </c>
      <c r="N42" s="13" t="s">
        <v>189</v>
      </c>
      <c r="O42" s="14" t="s">
        <v>1936</v>
      </c>
      <c r="P42" s="14" t="s">
        <v>1926</v>
      </c>
      <c r="Q42" s="14"/>
      <c r="R42" s="14" t="s">
        <v>1939</v>
      </c>
      <c r="S42" s="14"/>
      <c r="T42" s="14"/>
    </row>
    <row r="43" ht="13.5" customHeight="1" spans="1:20">
      <c r="A43" s="13" t="s">
        <v>2117</v>
      </c>
      <c r="B43" s="13" t="s">
        <v>1513</v>
      </c>
      <c r="C43" s="13" t="s">
        <v>1999</v>
      </c>
      <c r="D43" s="13" t="s">
        <v>2118</v>
      </c>
      <c r="E43" s="13" t="s">
        <v>2024</v>
      </c>
      <c r="F43" s="13" t="s">
        <v>1931</v>
      </c>
      <c r="G43" s="13" t="s">
        <v>1932</v>
      </c>
      <c r="H43" s="13" t="s">
        <v>2119</v>
      </c>
      <c r="I43" s="13" t="s">
        <v>1923</v>
      </c>
      <c r="J43" s="13" t="s">
        <v>2120</v>
      </c>
      <c r="K43" s="14">
        <v>1</v>
      </c>
      <c r="L43" s="13" t="s">
        <v>1513</v>
      </c>
      <c r="M43" s="13" t="s">
        <v>2117</v>
      </c>
      <c r="N43" s="13" t="s">
        <v>189</v>
      </c>
      <c r="O43" s="14" t="s">
        <v>2028</v>
      </c>
      <c r="P43" s="14" t="s">
        <v>1937</v>
      </c>
      <c r="Q43" s="14" t="s">
        <v>2121</v>
      </c>
      <c r="R43" s="14" t="s">
        <v>1927</v>
      </c>
      <c r="S43" s="14"/>
      <c r="T43" s="14"/>
    </row>
    <row r="44" ht="13.5" customHeight="1" spans="1:20">
      <c r="A44" s="13" t="s">
        <v>2122</v>
      </c>
      <c r="B44" s="13" t="s">
        <v>1518</v>
      </c>
      <c r="C44" s="13" t="s">
        <v>1999</v>
      </c>
      <c r="D44" s="13" t="s">
        <v>2123</v>
      </c>
      <c r="E44" s="13" t="s">
        <v>2083</v>
      </c>
      <c r="F44" s="13" t="s">
        <v>1977</v>
      </c>
      <c r="G44" s="13" t="s">
        <v>2056</v>
      </c>
      <c r="H44" s="13" t="s">
        <v>2124</v>
      </c>
      <c r="I44" s="13" t="s">
        <v>1934</v>
      </c>
      <c r="J44" s="13" t="s">
        <v>2125</v>
      </c>
      <c r="K44" s="14">
        <v>1</v>
      </c>
      <c r="L44" s="13" t="s">
        <v>1518</v>
      </c>
      <c r="M44" s="13" t="s">
        <v>2122</v>
      </c>
      <c r="N44" s="13" t="s">
        <v>189</v>
      </c>
      <c r="O44" s="14" t="s">
        <v>2086</v>
      </c>
      <c r="P44" s="14" t="s">
        <v>1937</v>
      </c>
      <c r="Q44" s="14" t="s">
        <v>2126</v>
      </c>
      <c r="R44" s="14" t="s">
        <v>1939</v>
      </c>
      <c r="S44" s="14"/>
      <c r="T44" s="14"/>
    </row>
    <row r="45" ht="13.5" customHeight="1" spans="1:20">
      <c r="A45" s="13" t="s">
        <v>2127</v>
      </c>
      <c r="B45" s="13" t="s">
        <v>1529</v>
      </c>
      <c r="C45" s="13" t="s">
        <v>1999</v>
      </c>
      <c r="D45" s="13" t="s">
        <v>2123</v>
      </c>
      <c r="E45" s="13" t="s">
        <v>2024</v>
      </c>
      <c r="F45" s="13" t="s">
        <v>1931</v>
      </c>
      <c r="G45" s="13" t="s">
        <v>1932</v>
      </c>
      <c r="H45" s="13" t="s">
        <v>2128</v>
      </c>
      <c r="I45" s="13" t="s">
        <v>1923</v>
      </c>
      <c r="J45" s="13" t="s">
        <v>2129</v>
      </c>
      <c r="K45" s="14">
        <v>1</v>
      </c>
      <c r="L45" s="13" t="s">
        <v>1529</v>
      </c>
      <c r="M45" s="13" t="s">
        <v>2127</v>
      </c>
      <c r="N45" s="13" t="s">
        <v>189</v>
      </c>
      <c r="O45" s="14" t="s">
        <v>2028</v>
      </c>
      <c r="P45" s="14" t="s">
        <v>1937</v>
      </c>
      <c r="Q45" s="14" t="s">
        <v>2130</v>
      </c>
      <c r="R45" s="14" t="s">
        <v>1927</v>
      </c>
      <c r="S45" s="14"/>
      <c r="T45" s="14"/>
    </row>
    <row r="46" ht="13.5" customHeight="1" spans="1:20">
      <c r="A46" s="13" t="s">
        <v>2131</v>
      </c>
      <c r="B46" s="13" t="s">
        <v>1530</v>
      </c>
      <c r="C46" s="13" t="s">
        <v>1999</v>
      </c>
      <c r="D46" s="13" t="s">
        <v>2132</v>
      </c>
      <c r="E46" s="13" t="s">
        <v>1919</v>
      </c>
      <c r="F46" s="13" t="s">
        <v>1931</v>
      </c>
      <c r="G46" s="13" t="s">
        <v>2056</v>
      </c>
      <c r="H46" s="13" t="s">
        <v>2133</v>
      </c>
      <c r="I46" s="13" t="s">
        <v>1957</v>
      </c>
      <c r="J46" s="13" t="s">
        <v>2134</v>
      </c>
      <c r="K46" s="14">
        <v>1</v>
      </c>
      <c r="L46" s="13" t="s">
        <v>1530</v>
      </c>
      <c r="M46" s="13" t="s">
        <v>2131</v>
      </c>
      <c r="N46" s="13" t="s">
        <v>189</v>
      </c>
      <c r="O46" s="14" t="s">
        <v>1925</v>
      </c>
      <c r="P46" s="14" t="s">
        <v>1937</v>
      </c>
      <c r="Q46" s="14" t="s">
        <v>2135</v>
      </c>
      <c r="R46" s="14" t="s">
        <v>1939</v>
      </c>
      <c r="S46" s="14"/>
      <c r="T46" s="14"/>
    </row>
    <row r="47" ht="13.5" customHeight="1" spans="1:20">
      <c r="A47" s="13" t="s">
        <v>2136</v>
      </c>
      <c r="B47" s="13" t="s">
        <v>1531</v>
      </c>
      <c r="C47" s="13" t="s">
        <v>1999</v>
      </c>
      <c r="D47" s="13" t="s">
        <v>2137</v>
      </c>
      <c r="E47" s="13" t="s">
        <v>2024</v>
      </c>
      <c r="F47" s="13" t="s">
        <v>1931</v>
      </c>
      <c r="G47" s="13" t="s">
        <v>1932</v>
      </c>
      <c r="H47" s="13" t="s">
        <v>2138</v>
      </c>
      <c r="I47" s="13" t="s">
        <v>2139</v>
      </c>
      <c r="J47" s="13" t="s">
        <v>2140</v>
      </c>
      <c r="K47" s="14">
        <v>1</v>
      </c>
      <c r="L47" s="13" t="s">
        <v>1531</v>
      </c>
      <c r="M47" s="13" t="s">
        <v>2136</v>
      </c>
      <c r="N47" s="13" t="s">
        <v>189</v>
      </c>
      <c r="O47" s="14" t="s">
        <v>2028</v>
      </c>
      <c r="P47" s="14" t="s">
        <v>1937</v>
      </c>
      <c r="Q47" s="14" t="s">
        <v>2141</v>
      </c>
      <c r="R47" s="14" t="s">
        <v>1939</v>
      </c>
      <c r="S47" s="14"/>
      <c r="T47" s="14"/>
    </row>
    <row r="48" ht="13.5" customHeight="1" spans="1:20">
      <c r="A48" s="13" t="s">
        <v>2142</v>
      </c>
      <c r="B48" s="13" t="s">
        <v>1535</v>
      </c>
      <c r="C48" s="13" t="s">
        <v>1999</v>
      </c>
      <c r="D48" s="13" t="s">
        <v>2137</v>
      </c>
      <c r="E48" s="13" t="s">
        <v>2083</v>
      </c>
      <c r="F48" s="13" t="s">
        <v>1931</v>
      </c>
      <c r="G48" s="13" t="s">
        <v>1921</v>
      </c>
      <c r="H48" s="13" t="s">
        <v>1947</v>
      </c>
      <c r="I48" s="13" t="s">
        <v>2143</v>
      </c>
      <c r="J48" s="13" t="s">
        <v>2144</v>
      </c>
      <c r="K48" s="14">
        <v>1</v>
      </c>
      <c r="L48" s="13" t="s">
        <v>1535</v>
      </c>
      <c r="M48" s="13" t="s">
        <v>2142</v>
      </c>
      <c r="N48" s="13" t="s">
        <v>189</v>
      </c>
      <c r="O48" s="14" t="s">
        <v>2086</v>
      </c>
      <c r="P48" s="14" t="s">
        <v>1949</v>
      </c>
      <c r="Q48" s="14"/>
      <c r="R48" s="14" t="s">
        <v>1939</v>
      </c>
      <c r="S48" s="14"/>
      <c r="T48" s="14"/>
    </row>
    <row r="49" ht="13.5" customHeight="1" spans="1:20">
      <c r="A49" s="13" t="s">
        <v>2145</v>
      </c>
      <c r="B49" s="13" t="s">
        <v>1540</v>
      </c>
      <c r="C49" s="13" t="s">
        <v>1999</v>
      </c>
      <c r="D49" s="13" t="s">
        <v>2146</v>
      </c>
      <c r="E49" s="13" t="s">
        <v>2024</v>
      </c>
      <c r="F49" s="13" t="s">
        <v>1931</v>
      </c>
      <c r="G49" s="13" t="s">
        <v>1932</v>
      </c>
      <c r="H49" s="13" t="s">
        <v>2039</v>
      </c>
      <c r="I49" s="13" t="s">
        <v>1957</v>
      </c>
      <c r="J49" s="13" t="s">
        <v>2147</v>
      </c>
      <c r="K49" s="14">
        <v>1</v>
      </c>
      <c r="L49" s="13" t="s">
        <v>1540</v>
      </c>
      <c r="M49" s="13" t="s">
        <v>2145</v>
      </c>
      <c r="N49" s="13" t="s">
        <v>189</v>
      </c>
      <c r="O49" s="14" t="s">
        <v>2028</v>
      </c>
      <c r="P49" s="14" t="s">
        <v>1949</v>
      </c>
      <c r="Q49" s="14"/>
      <c r="R49" s="14" t="s">
        <v>1939</v>
      </c>
      <c r="S49" s="14"/>
      <c r="T49" s="14"/>
    </row>
    <row r="50" ht="13.5" customHeight="1" spans="1:20">
      <c r="A50" s="13" t="s">
        <v>2148</v>
      </c>
      <c r="B50" s="13" t="s">
        <v>1543</v>
      </c>
      <c r="C50" s="13" t="s">
        <v>1999</v>
      </c>
      <c r="D50" s="13" t="s">
        <v>1951</v>
      </c>
      <c r="E50" s="13" t="s">
        <v>1930</v>
      </c>
      <c r="F50" s="13" t="s">
        <v>1931</v>
      </c>
      <c r="G50" s="13" t="s">
        <v>2149</v>
      </c>
      <c r="H50" s="13" t="s">
        <v>1947</v>
      </c>
      <c r="I50" s="13" t="s">
        <v>1934</v>
      </c>
      <c r="J50" s="13" t="s">
        <v>2150</v>
      </c>
      <c r="K50" s="14">
        <v>1</v>
      </c>
      <c r="L50" s="13" t="s">
        <v>1543</v>
      </c>
      <c r="M50" s="13" t="s">
        <v>2148</v>
      </c>
      <c r="N50" s="13" t="s">
        <v>189</v>
      </c>
      <c r="O50" s="14" t="s">
        <v>1936</v>
      </c>
      <c r="P50" s="14" t="s">
        <v>1949</v>
      </c>
      <c r="Q50" s="14"/>
      <c r="R50" s="14" t="s">
        <v>1939</v>
      </c>
      <c r="S50" s="14"/>
      <c r="T50" s="14"/>
    </row>
    <row r="51" ht="13.5" customHeight="1" spans="1:20">
      <c r="A51" s="13" t="s">
        <v>2151</v>
      </c>
      <c r="B51" s="13" t="s">
        <v>1546</v>
      </c>
      <c r="C51" s="13" t="s">
        <v>1999</v>
      </c>
      <c r="D51" s="13" t="s">
        <v>2152</v>
      </c>
      <c r="E51" s="13" t="s">
        <v>1930</v>
      </c>
      <c r="F51" s="13" t="s">
        <v>1931</v>
      </c>
      <c r="G51" s="13" t="s">
        <v>1941</v>
      </c>
      <c r="H51" s="13" t="s">
        <v>1922</v>
      </c>
      <c r="I51" s="13" t="s">
        <v>1923</v>
      </c>
      <c r="J51" s="13" t="s">
        <v>2153</v>
      </c>
      <c r="K51" s="14">
        <v>1</v>
      </c>
      <c r="L51" s="13" t="s">
        <v>1546</v>
      </c>
      <c r="M51" s="13" t="s">
        <v>2151</v>
      </c>
      <c r="N51" s="13" t="s">
        <v>189</v>
      </c>
      <c r="O51" s="14" t="s">
        <v>1936</v>
      </c>
      <c r="P51" s="14" t="s">
        <v>1926</v>
      </c>
      <c r="Q51" s="14"/>
      <c r="R51" s="14" t="s">
        <v>1927</v>
      </c>
      <c r="S51" s="14"/>
      <c r="T51" s="14"/>
    </row>
    <row r="52" ht="13.5" customHeight="1" spans="1:20">
      <c r="A52" s="13" t="s">
        <v>2154</v>
      </c>
      <c r="B52" s="13" t="s">
        <v>1549</v>
      </c>
      <c r="C52" s="13" t="s">
        <v>1999</v>
      </c>
      <c r="D52" s="13" t="s">
        <v>2155</v>
      </c>
      <c r="E52" s="13" t="s">
        <v>2024</v>
      </c>
      <c r="F52" s="13" t="s">
        <v>1931</v>
      </c>
      <c r="G52" s="13" t="s">
        <v>1941</v>
      </c>
      <c r="H52" s="13" t="s">
        <v>1922</v>
      </c>
      <c r="I52" s="13" t="s">
        <v>1934</v>
      </c>
      <c r="J52" s="13" t="s">
        <v>2156</v>
      </c>
      <c r="K52" s="14">
        <v>1</v>
      </c>
      <c r="L52" s="13" t="s">
        <v>1549</v>
      </c>
      <c r="M52" s="13" t="s">
        <v>2154</v>
      </c>
      <c r="N52" s="13" t="s">
        <v>189</v>
      </c>
      <c r="O52" s="14" t="s">
        <v>2028</v>
      </c>
      <c r="P52" s="14" t="s">
        <v>1926</v>
      </c>
      <c r="Q52" s="14"/>
      <c r="R52" s="14" t="s">
        <v>1939</v>
      </c>
      <c r="S52" s="14"/>
      <c r="T52" s="14"/>
    </row>
    <row r="53" ht="13.5" customHeight="1" spans="1:20">
      <c r="A53" s="13" t="s">
        <v>2157</v>
      </c>
      <c r="B53" s="13" t="s">
        <v>1560</v>
      </c>
      <c r="C53" s="13" t="s">
        <v>1999</v>
      </c>
      <c r="D53" s="13" t="s">
        <v>245</v>
      </c>
      <c r="E53" s="13" t="s">
        <v>2024</v>
      </c>
      <c r="F53" s="13" t="s">
        <v>1920</v>
      </c>
      <c r="G53" s="13" t="s">
        <v>1932</v>
      </c>
      <c r="H53" s="13" t="s">
        <v>1922</v>
      </c>
      <c r="I53" s="13" t="s">
        <v>1923</v>
      </c>
      <c r="J53" s="13" t="s">
        <v>2158</v>
      </c>
      <c r="K53" s="14">
        <v>1</v>
      </c>
      <c r="L53" s="13" t="s">
        <v>1560</v>
      </c>
      <c r="M53" s="13" t="s">
        <v>2157</v>
      </c>
      <c r="N53" s="13" t="s">
        <v>189</v>
      </c>
      <c r="O53" s="14" t="s">
        <v>2028</v>
      </c>
      <c r="P53" s="14" t="s">
        <v>1926</v>
      </c>
      <c r="Q53" s="14"/>
      <c r="R53" s="14" t="s">
        <v>1927</v>
      </c>
      <c r="S53" s="14"/>
      <c r="T53" s="14"/>
    </row>
    <row r="54" ht="13.5" customHeight="1" spans="1:20">
      <c r="A54" s="13" t="s">
        <v>2159</v>
      </c>
      <c r="B54" s="13" t="s">
        <v>1563</v>
      </c>
      <c r="C54" s="13" t="s">
        <v>1999</v>
      </c>
      <c r="D54" s="13" t="s">
        <v>245</v>
      </c>
      <c r="E54" s="13" t="s">
        <v>1930</v>
      </c>
      <c r="F54" s="13" t="s">
        <v>1920</v>
      </c>
      <c r="G54" s="13" t="s">
        <v>1921</v>
      </c>
      <c r="H54" s="13" t="s">
        <v>1947</v>
      </c>
      <c r="I54" s="13" t="s">
        <v>1923</v>
      </c>
      <c r="J54" s="13" t="s">
        <v>2160</v>
      </c>
      <c r="K54" s="14">
        <v>1</v>
      </c>
      <c r="L54" s="13" t="s">
        <v>1563</v>
      </c>
      <c r="M54" s="13" t="s">
        <v>2159</v>
      </c>
      <c r="N54" s="13" t="s">
        <v>189</v>
      </c>
      <c r="O54" s="14" t="s">
        <v>1936</v>
      </c>
      <c r="P54" s="14" t="s">
        <v>1949</v>
      </c>
      <c r="Q54" s="14"/>
      <c r="R54" s="14" t="s">
        <v>1927</v>
      </c>
      <c r="S54" s="14"/>
      <c r="T54" s="14"/>
    </row>
    <row r="55" ht="13.5" customHeight="1" spans="1:20">
      <c r="A55" s="13" t="s">
        <v>2161</v>
      </c>
      <c r="B55" s="13" t="s">
        <v>1566</v>
      </c>
      <c r="C55" s="13" t="s">
        <v>1999</v>
      </c>
      <c r="D55" s="13" t="s">
        <v>245</v>
      </c>
      <c r="E55" s="13" t="s">
        <v>1930</v>
      </c>
      <c r="F55" s="13" t="s">
        <v>1920</v>
      </c>
      <c r="G55" s="13" t="s">
        <v>1921</v>
      </c>
      <c r="H55" s="13" t="s">
        <v>1922</v>
      </c>
      <c r="I55" s="13" t="s">
        <v>1923</v>
      </c>
      <c r="J55" s="13" t="s">
        <v>2162</v>
      </c>
      <c r="K55" s="14">
        <v>1</v>
      </c>
      <c r="L55" s="13" t="s">
        <v>1566</v>
      </c>
      <c r="M55" s="13" t="s">
        <v>2161</v>
      </c>
      <c r="N55" s="13" t="s">
        <v>189</v>
      </c>
      <c r="O55" s="14" t="s">
        <v>1936</v>
      </c>
      <c r="P55" s="14" t="s">
        <v>1926</v>
      </c>
      <c r="Q55" s="14"/>
      <c r="R55" s="14" t="s">
        <v>1927</v>
      </c>
      <c r="S55" s="14"/>
      <c r="T55" s="14"/>
    </row>
    <row r="56" ht="13.5" customHeight="1" spans="1:20">
      <c r="A56" s="13" t="s">
        <v>2163</v>
      </c>
      <c r="B56" s="13" t="s">
        <v>1568</v>
      </c>
      <c r="C56" s="13" t="s">
        <v>1999</v>
      </c>
      <c r="D56" s="13" t="s">
        <v>245</v>
      </c>
      <c r="E56" s="13" t="s">
        <v>1930</v>
      </c>
      <c r="F56" s="13" t="s">
        <v>1920</v>
      </c>
      <c r="G56" s="13" t="s">
        <v>1921</v>
      </c>
      <c r="H56" s="13" t="s">
        <v>1922</v>
      </c>
      <c r="I56" s="13" t="s">
        <v>1923</v>
      </c>
      <c r="J56" s="13" t="s">
        <v>2164</v>
      </c>
      <c r="K56" s="14">
        <v>1</v>
      </c>
      <c r="L56" s="13" t="s">
        <v>1568</v>
      </c>
      <c r="M56" s="13" t="s">
        <v>2163</v>
      </c>
      <c r="N56" s="13" t="s">
        <v>189</v>
      </c>
      <c r="O56" s="14" t="s">
        <v>1936</v>
      </c>
      <c r="P56" s="14" t="s">
        <v>1926</v>
      </c>
      <c r="Q56" s="14"/>
      <c r="R56" s="14" t="s">
        <v>1927</v>
      </c>
      <c r="S56" s="14"/>
      <c r="T56" s="14"/>
    </row>
    <row r="57" ht="13.5" customHeight="1" spans="1:20">
      <c r="A57" s="13" t="s">
        <v>2165</v>
      </c>
      <c r="B57" s="13" t="s">
        <v>1569</v>
      </c>
      <c r="C57" s="13" t="s">
        <v>1999</v>
      </c>
      <c r="D57" s="13" t="s">
        <v>245</v>
      </c>
      <c r="E57" s="13" t="s">
        <v>1930</v>
      </c>
      <c r="F57" s="13" t="s">
        <v>1920</v>
      </c>
      <c r="G57" s="13" t="s">
        <v>1921</v>
      </c>
      <c r="H57" s="13" t="s">
        <v>1922</v>
      </c>
      <c r="I57" s="13" t="s">
        <v>1923</v>
      </c>
      <c r="J57" s="13" t="s">
        <v>2166</v>
      </c>
      <c r="K57" s="14">
        <v>1</v>
      </c>
      <c r="L57" s="13" t="s">
        <v>1569</v>
      </c>
      <c r="M57" s="13" t="s">
        <v>2165</v>
      </c>
      <c r="N57" s="13" t="s">
        <v>189</v>
      </c>
      <c r="O57" s="14" t="s">
        <v>1936</v>
      </c>
      <c r="P57" s="14" t="s">
        <v>1926</v>
      </c>
      <c r="Q57" s="14"/>
      <c r="R57" s="14" t="s">
        <v>1927</v>
      </c>
      <c r="S57" s="14"/>
      <c r="T57" s="14"/>
    </row>
    <row r="58" ht="13.5" customHeight="1" spans="1:20">
      <c r="A58" s="13" t="s">
        <v>2167</v>
      </c>
      <c r="B58" s="13" t="s">
        <v>1574</v>
      </c>
      <c r="C58" s="13" t="s">
        <v>1999</v>
      </c>
      <c r="D58" s="13" t="s">
        <v>2168</v>
      </c>
      <c r="E58" s="13" t="s">
        <v>1965</v>
      </c>
      <c r="F58" s="13" t="s">
        <v>1931</v>
      </c>
      <c r="G58" s="13" t="s">
        <v>2056</v>
      </c>
      <c r="H58" s="13" t="s">
        <v>2169</v>
      </c>
      <c r="I58" s="13" t="s">
        <v>1987</v>
      </c>
      <c r="J58" s="13" t="s">
        <v>2170</v>
      </c>
      <c r="K58" s="14">
        <v>1</v>
      </c>
      <c r="L58" s="13" t="s">
        <v>1574</v>
      </c>
      <c r="M58" s="13" t="s">
        <v>2167</v>
      </c>
      <c r="N58" s="13" t="s">
        <v>189</v>
      </c>
      <c r="O58" s="14" t="s">
        <v>1969</v>
      </c>
      <c r="P58" s="14" t="s">
        <v>1937</v>
      </c>
      <c r="Q58" s="14" t="s">
        <v>2171</v>
      </c>
      <c r="R58" s="14" t="s">
        <v>1927</v>
      </c>
      <c r="S58" s="14"/>
      <c r="T58" s="14"/>
    </row>
    <row r="59" ht="13.5" customHeight="1" spans="1:20">
      <c r="A59" s="13" t="s">
        <v>2172</v>
      </c>
      <c r="B59" s="13" t="s">
        <v>1578</v>
      </c>
      <c r="C59" s="13" t="s">
        <v>1999</v>
      </c>
      <c r="D59" s="13" t="s">
        <v>1955</v>
      </c>
      <c r="E59" s="13" t="s">
        <v>2024</v>
      </c>
      <c r="F59" s="13" t="s">
        <v>1931</v>
      </c>
      <c r="G59" s="13" t="s">
        <v>1932</v>
      </c>
      <c r="H59" s="13" t="s">
        <v>2173</v>
      </c>
      <c r="I59" s="13" t="s">
        <v>1923</v>
      </c>
      <c r="J59" s="13" t="s">
        <v>2174</v>
      </c>
      <c r="K59" s="14">
        <v>1</v>
      </c>
      <c r="L59" s="13" t="s">
        <v>1578</v>
      </c>
      <c r="M59" s="13" t="s">
        <v>2172</v>
      </c>
      <c r="N59" s="13" t="s">
        <v>189</v>
      </c>
      <c r="O59" s="14" t="s">
        <v>2028</v>
      </c>
      <c r="P59" s="14" t="s">
        <v>1937</v>
      </c>
      <c r="Q59" s="14" t="s">
        <v>2175</v>
      </c>
      <c r="R59" s="14" t="s">
        <v>1927</v>
      </c>
      <c r="S59" s="14"/>
      <c r="T59" s="14"/>
    </row>
    <row r="60" ht="13.5" customHeight="1" spans="1:20">
      <c r="A60" s="13" t="s">
        <v>2176</v>
      </c>
      <c r="B60" s="13" t="s">
        <v>1579</v>
      </c>
      <c r="C60" s="13" t="s">
        <v>1999</v>
      </c>
      <c r="D60" s="13" t="s">
        <v>1955</v>
      </c>
      <c r="E60" s="13" t="s">
        <v>2024</v>
      </c>
      <c r="F60" s="13" t="s">
        <v>1931</v>
      </c>
      <c r="G60" s="13" t="s">
        <v>1941</v>
      </c>
      <c r="H60" s="13" t="s">
        <v>1922</v>
      </c>
      <c r="I60" s="13" t="s">
        <v>1967</v>
      </c>
      <c r="J60" s="13" t="s">
        <v>2177</v>
      </c>
      <c r="K60" s="14">
        <v>1</v>
      </c>
      <c r="L60" s="13" t="s">
        <v>1579</v>
      </c>
      <c r="M60" s="13" t="s">
        <v>2176</v>
      </c>
      <c r="N60" s="13" t="s">
        <v>189</v>
      </c>
      <c r="O60" s="14" t="s">
        <v>2028</v>
      </c>
      <c r="P60" s="14" t="s">
        <v>1926</v>
      </c>
      <c r="Q60" s="14"/>
      <c r="R60" s="14" t="s">
        <v>1939</v>
      </c>
      <c r="S60" s="14"/>
      <c r="T60" s="14"/>
    </row>
    <row r="61" ht="13.5" customHeight="1" spans="1:20">
      <c r="A61" s="13" t="s">
        <v>2178</v>
      </c>
      <c r="B61" s="13" t="s">
        <v>1582</v>
      </c>
      <c r="C61" s="13" t="s">
        <v>1999</v>
      </c>
      <c r="D61" s="13" t="s">
        <v>1955</v>
      </c>
      <c r="E61" s="13" t="s">
        <v>1985</v>
      </c>
      <c r="F61" s="13" t="s">
        <v>1931</v>
      </c>
      <c r="G61" s="13" t="s">
        <v>1921</v>
      </c>
      <c r="H61" s="13" t="s">
        <v>1947</v>
      </c>
      <c r="I61" s="13" t="s">
        <v>1987</v>
      </c>
      <c r="J61" s="13" t="s">
        <v>2179</v>
      </c>
      <c r="K61" s="14">
        <v>1</v>
      </c>
      <c r="L61" s="13" t="s">
        <v>1582</v>
      </c>
      <c r="M61" s="13" t="s">
        <v>2178</v>
      </c>
      <c r="N61" s="13" t="s">
        <v>189</v>
      </c>
      <c r="O61" s="14" t="s">
        <v>1989</v>
      </c>
      <c r="P61" s="14" t="s">
        <v>1949</v>
      </c>
      <c r="Q61" s="14"/>
      <c r="R61" s="14" t="s">
        <v>1927</v>
      </c>
      <c r="S61" s="14"/>
      <c r="T61" s="14"/>
    </row>
    <row r="62" ht="13.5" customHeight="1" spans="1:20">
      <c r="A62" s="13" t="s">
        <v>2180</v>
      </c>
      <c r="B62" s="13" t="s">
        <v>1585</v>
      </c>
      <c r="C62" s="13" t="s">
        <v>1999</v>
      </c>
      <c r="D62" s="13" t="s">
        <v>1955</v>
      </c>
      <c r="E62" s="13" t="s">
        <v>1965</v>
      </c>
      <c r="F62" s="13" t="s">
        <v>1920</v>
      </c>
      <c r="G62" s="13" t="s">
        <v>1941</v>
      </c>
      <c r="H62" s="13" t="s">
        <v>2181</v>
      </c>
      <c r="I62" s="13" t="s">
        <v>1987</v>
      </c>
      <c r="J62" s="13" t="s">
        <v>2182</v>
      </c>
      <c r="K62" s="14">
        <v>1</v>
      </c>
      <c r="L62" s="13" t="s">
        <v>1585</v>
      </c>
      <c r="M62" s="13" t="s">
        <v>2180</v>
      </c>
      <c r="N62" s="13" t="s">
        <v>189</v>
      </c>
      <c r="O62" s="14" t="s">
        <v>1969</v>
      </c>
      <c r="P62" s="14" t="s">
        <v>1937</v>
      </c>
      <c r="Q62" s="14" t="s">
        <v>2183</v>
      </c>
      <c r="R62" s="14" t="s">
        <v>1927</v>
      </c>
      <c r="S62" s="14"/>
      <c r="T62" s="14"/>
    </row>
    <row r="63" ht="13.5" customHeight="1" spans="1:20">
      <c r="A63" s="13" t="s">
        <v>2184</v>
      </c>
      <c r="B63" s="13" t="s">
        <v>1598</v>
      </c>
      <c r="C63" s="13" t="s">
        <v>1999</v>
      </c>
      <c r="D63" s="13" t="s">
        <v>2185</v>
      </c>
      <c r="E63" s="13" t="s">
        <v>2083</v>
      </c>
      <c r="F63" s="13" t="s">
        <v>1931</v>
      </c>
      <c r="G63" s="13" t="s">
        <v>1921</v>
      </c>
      <c r="H63" s="13" t="s">
        <v>2186</v>
      </c>
      <c r="I63" s="13" t="s">
        <v>1987</v>
      </c>
      <c r="J63" s="13" t="s">
        <v>2187</v>
      </c>
      <c r="K63" s="14">
        <v>1</v>
      </c>
      <c r="L63" s="13" t="s">
        <v>1598</v>
      </c>
      <c r="M63" s="13" t="s">
        <v>2184</v>
      </c>
      <c r="N63" s="13" t="s">
        <v>189</v>
      </c>
      <c r="O63" s="14" t="s">
        <v>2086</v>
      </c>
      <c r="P63" s="14" t="s">
        <v>1937</v>
      </c>
      <c r="Q63" s="14" t="s">
        <v>2188</v>
      </c>
      <c r="R63" s="14" t="s">
        <v>1927</v>
      </c>
      <c r="S63" s="14"/>
      <c r="T63" s="14"/>
    </row>
    <row r="64" ht="13.5" customHeight="1" spans="1:20">
      <c r="A64" s="13" t="s">
        <v>2189</v>
      </c>
      <c r="B64" s="13" t="s">
        <v>1600</v>
      </c>
      <c r="C64" s="13" t="s">
        <v>1999</v>
      </c>
      <c r="D64" s="13" t="s">
        <v>2190</v>
      </c>
      <c r="E64" s="13" t="s">
        <v>2191</v>
      </c>
      <c r="F64" s="13" t="s">
        <v>1931</v>
      </c>
      <c r="G64" s="13" t="s">
        <v>1952</v>
      </c>
      <c r="H64" s="13" t="s">
        <v>1947</v>
      </c>
      <c r="I64" s="13" t="s">
        <v>1934</v>
      </c>
      <c r="J64" s="13" t="s">
        <v>2192</v>
      </c>
      <c r="K64" s="14">
        <v>1</v>
      </c>
      <c r="L64" s="13" t="s">
        <v>1600</v>
      </c>
      <c r="M64" s="13" t="s">
        <v>2189</v>
      </c>
      <c r="N64" s="13" t="s">
        <v>189</v>
      </c>
      <c r="O64" s="14" t="s">
        <v>2193</v>
      </c>
      <c r="P64" s="14" t="s">
        <v>1949</v>
      </c>
      <c r="Q64" s="14"/>
      <c r="R64" s="14" t="s">
        <v>1939</v>
      </c>
      <c r="S64" s="14"/>
      <c r="T64" s="14"/>
    </row>
    <row r="65" ht="13.5" customHeight="1" spans="1:20">
      <c r="A65" s="13" t="s">
        <v>2194</v>
      </c>
      <c r="B65" s="13" t="s">
        <v>1605</v>
      </c>
      <c r="C65" s="13" t="s">
        <v>1999</v>
      </c>
      <c r="D65" s="13" t="s">
        <v>2195</v>
      </c>
      <c r="E65" s="13" t="s">
        <v>1919</v>
      </c>
      <c r="F65" s="13" t="s">
        <v>1931</v>
      </c>
      <c r="G65" s="13" t="s">
        <v>1932</v>
      </c>
      <c r="H65" s="13" t="s">
        <v>2196</v>
      </c>
      <c r="I65" s="13" t="s">
        <v>1934</v>
      </c>
      <c r="J65" s="13" t="s">
        <v>2197</v>
      </c>
      <c r="K65" s="14">
        <v>1</v>
      </c>
      <c r="L65" s="13" t="s">
        <v>1605</v>
      </c>
      <c r="M65" s="13" t="s">
        <v>2194</v>
      </c>
      <c r="N65" s="13" t="s">
        <v>189</v>
      </c>
      <c r="O65" s="14" t="s">
        <v>1925</v>
      </c>
      <c r="P65" s="14" t="s">
        <v>1937</v>
      </c>
      <c r="Q65" s="14" t="s">
        <v>2198</v>
      </c>
      <c r="R65" s="14" t="s">
        <v>1939</v>
      </c>
      <c r="S65" s="14"/>
      <c r="T65" s="14"/>
    </row>
    <row r="66" ht="13.5" customHeight="1" spans="1:20">
      <c r="A66" s="13" t="s">
        <v>2199</v>
      </c>
      <c r="B66" s="13" t="s">
        <v>1622</v>
      </c>
      <c r="C66" s="13" t="s">
        <v>1999</v>
      </c>
      <c r="D66" s="13" t="s">
        <v>230</v>
      </c>
      <c r="E66" s="13" t="s">
        <v>1930</v>
      </c>
      <c r="F66" s="13" t="s">
        <v>1931</v>
      </c>
      <c r="G66" s="13" t="s">
        <v>1946</v>
      </c>
      <c r="H66" s="13" t="s">
        <v>1947</v>
      </c>
      <c r="I66" s="13" t="s">
        <v>1967</v>
      </c>
      <c r="J66" s="13" t="s">
        <v>2200</v>
      </c>
      <c r="K66" s="14">
        <v>1</v>
      </c>
      <c r="L66" s="13" t="s">
        <v>1622</v>
      </c>
      <c r="M66" s="13" t="s">
        <v>2199</v>
      </c>
      <c r="N66" s="13" t="s">
        <v>189</v>
      </c>
      <c r="O66" s="14" t="s">
        <v>1936</v>
      </c>
      <c r="P66" s="14" t="s">
        <v>1949</v>
      </c>
      <c r="Q66" s="14"/>
      <c r="R66" s="14" t="s">
        <v>1939</v>
      </c>
      <c r="S66" s="14"/>
      <c r="T66" s="14"/>
    </row>
    <row r="67" ht="13.5" customHeight="1" spans="1:20">
      <c r="A67" s="13" t="s">
        <v>2201</v>
      </c>
      <c r="B67" s="13" t="s">
        <v>1626</v>
      </c>
      <c r="C67" s="13" t="s">
        <v>1999</v>
      </c>
      <c r="D67" s="13" t="s">
        <v>230</v>
      </c>
      <c r="E67" s="13" t="s">
        <v>1972</v>
      </c>
      <c r="F67" s="13" t="s">
        <v>1931</v>
      </c>
      <c r="G67" s="13" t="s">
        <v>2056</v>
      </c>
      <c r="H67" s="13" t="s">
        <v>1947</v>
      </c>
      <c r="I67" s="13" t="s">
        <v>1934</v>
      </c>
      <c r="J67" s="13" t="s">
        <v>2202</v>
      </c>
      <c r="K67" s="14">
        <v>1</v>
      </c>
      <c r="L67" s="13" t="s">
        <v>1626</v>
      </c>
      <c r="M67" s="13" t="s">
        <v>2201</v>
      </c>
      <c r="N67" s="13" t="s">
        <v>189</v>
      </c>
      <c r="O67" s="14" t="s">
        <v>1974</v>
      </c>
      <c r="P67" s="14" t="s">
        <v>1949</v>
      </c>
      <c r="Q67" s="14"/>
      <c r="R67" s="14" t="s">
        <v>1939</v>
      </c>
      <c r="S67" s="14"/>
      <c r="T67" s="14"/>
    </row>
    <row r="68" ht="13.5" customHeight="1" spans="1:20">
      <c r="A68" s="13" t="s">
        <v>2203</v>
      </c>
      <c r="B68" s="13" t="s">
        <v>1632</v>
      </c>
      <c r="C68" s="13" t="s">
        <v>1999</v>
      </c>
      <c r="D68" s="13" t="s">
        <v>230</v>
      </c>
      <c r="E68" s="13" t="s">
        <v>1965</v>
      </c>
      <c r="F68" s="13" t="s">
        <v>1920</v>
      </c>
      <c r="G68" s="13" t="s">
        <v>1932</v>
      </c>
      <c r="H68" s="13" t="s">
        <v>2204</v>
      </c>
      <c r="I68" s="13" t="s">
        <v>1977</v>
      </c>
      <c r="J68" s="13" t="s">
        <v>2205</v>
      </c>
      <c r="K68" s="14">
        <v>1</v>
      </c>
      <c r="L68" s="13" t="s">
        <v>1632</v>
      </c>
      <c r="M68" s="13" t="s">
        <v>2203</v>
      </c>
      <c r="N68" s="13" t="s">
        <v>189</v>
      </c>
      <c r="O68" s="14" t="s">
        <v>1969</v>
      </c>
      <c r="P68" s="14" t="s">
        <v>1937</v>
      </c>
      <c r="Q68" s="14" t="s">
        <v>2206</v>
      </c>
      <c r="R68" s="14" t="s">
        <v>1939</v>
      </c>
      <c r="S68" s="14"/>
      <c r="T68" s="14"/>
    </row>
    <row r="69" ht="13.5" customHeight="1" spans="1:20">
      <c r="A69" s="13" t="s">
        <v>2207</v>
      </c>
      <c r="B69" s="13" t="s">
        <v>1647</v>
      </c>
      <c r="C69" s="13" t="s">
        <v>1999</v>
      </c>
      <c r="D69" s="13" t="s">
        <v>311</v>
      </c>
      <c r="E69" s="13" t="s">
        <v>2076</v>
      </c>
      <c r="F69" s="13" t="s">
        <v>1957</v>
      </c>
      <c r="G69" s="13" t="s">
        <v>1952</v>
      </c>
      <c r="H69" s="13" t="s">
        <v>2208</v>
      </c>
      <c r="I69" s="13" t="s">
        <v>1934</v>
      </c>
      <c r="J69" s="13" t="s">
        <v>2209</v>
      </c>
      <c r="K69" s="14">
        <v>1</v>
      </c>
      <c r="L69" s="13" t="s">
        <v>1647</v>
      </c>
      <c r="M69" s="13" t="s">
        <v>2207</v>
      </c>
      <c r="N69" s="13" t="s">
        <v>189</v>
      </c>
      <c r="O69" s="14" t="s">
        <v>2079</v>
      </c>
      <c r="P69" s="14" t="s">
        <v>1937</v>
      </c>
      <c r="Q69" s="14" t="s">
        <v>2210</v>
      </c>
      <c r="R69" s="14" t="s">
        <v>1939</v>
      </c>
      <c r="S69" s="14"/>
      <c r="T69" s="14"/>
    </row>
    <row r="70" ht="13.5" customHeight="1" spans="1:20">
      <c r="A70" s="13" t="s">
        <v>2211</v>
      </c>
      <c r="B70" s="13" t="s">
        <v>1650</v>
      </c>
      <c r="C70" s="13" t="s">
        <v>1999</v>
      </c>
      <c r="D70" s="13" t="s">
        <v>311</v>
      </c>
      <c r="E70" s="13" t="s">
        <v>1993</v>
      </c>
      <c r="F70" s="13" t="s">
        <v>1931</v>
      </c>
      <c r="G70" s="13" t="s">
        <v>1941</v>
      </c>
      <c r="H70" s="13" t="s">
        <v>2212</v>
      </c>
      <c r="I70" s="13" t="s">
        <v>1977</v>
      </c>
      <c r="J70" s="13" t="s">
        <v>2213</v>
      </c>
      <c r="K70" s="14">
        <v>1</v>
      </c>
      <c r="L70" s="13" t="s">
        <v>1650</v>
      </c>
      <c r="M70" s="13" t="s">
        <v>2211</v>
      </c>
      <c r="N70" s="13" t="s">
        <v>189</v>
      </c>
      <c r="O70" s="14" t="s">
        <v>1996</v>
      </c>
      <c r="P70" s="14" t="s">
        <v>1937</v>
      </c>
      <c r="Q70" s="14" t="s">
        <v>2214</v>
      </c>
      <c r="R70" s="14" t="s">
        <v>1939</v>
      </c>
      <c r="S70" s="14"/>
      <c r="T70" s="14"/>
    </row>
    <row r="71" ht="13.5" customHeight="1" spans="1:20">
      <c r="A71" s="13" t="s">
        <v>2215</v>
      </c>
      <c r="B71" s="13" t="s">
        <v>1669</v>
      </c>
      <c r="C71" s="13" t="s">
        <v>1999</v>
      </c>
      <c r="D71" s="13" t="s">
        <v>311</v>
      </c>
      <c r="E71" s="13" t="s">
        <v>2076</v>
      </c>
      <c r="F71" s="13" t="s">
        <v>1931</v>
      </c>
      <c r="G71" s="13" t="s">
        <v>1932</v>
      </c>
      <c r="H71" s="13" t="s">
        <v>2216</v>
      </c>
      <c r="I71" s="13" t="s">
        <v>1957</v>
      </c>
      <c r="J71" s="13" t="s">
        <v>2217</v>
      </c>
      <c r="K71" s="14">
        <v>1</v>
      </c>
      <c r="L71" s="13" t="s">
        <v>1669</v>
      </c>
      <c r="M71" s="13" t="s">
        <v>2215</v>
      </c>
      <c r="N71" s="13" t="s">
        <v>189</v>
      </c>
      <c r="O71" s="14" t="s">
        <v>2079</v>
      </c>
      <c r="P71" s="14" t="s">
        <v>1937</v>
      </c>
      <c r="Q71" s="14" t="s">
        <v>2218</v>
      </c>
      <c r="R71" s="14" t="s">
        <v>1939</v>
      </c>
      <c r="S71" s="14"/>
      <c r="T71" s="14"/>
    </row>
    <row r="72" ht="13.5" customHeight="1" spans="1:20">
      <c r="A72" s="13" t="s">
        <v>2219</v>
      </c>
      <c r="B72" s="13" t="s">
        <v>1675</v>
      </c>
      <c r="C72" s="13" t="s">
        <v>1999</v>
      </c>
      <c r="D72" s="13" t="s">
        <v>2220</v>
      </c>
      <c r="E72" s="13" t="s">
        <v>1993</v>
      </c>
      <c r="F72" s="13" t="s">
        <v>1931</v>
      </c>
      <c r="G72" s="13" t="s">
        <v>1946</v>
      </c>
      <c r="H72" s="13" t="s">
        <v>1947</v>
      </c>
      <c r="I72" s="13" t="s">
        <v>2010</v>
      </c>
      <c r="J72" s="13" t="s">
        <v>2221</v>
      </c>
      <c r="K72" s="14">
        <v>1</v>
      </c>
      <c r="L72" s="13" t="s">
        <v>1675</v>
      </c>
      <c r="M72" s="13" t="s">
        <v>2219</v>
      </c>
      <c r="N72" s="13" t="s">
        <v>189</v>
      </c>
      <c r="O72" s="14" t="s">
        <v>1996</v>
      </c>
      <c r="P72" s="14" t="s">
        <v>1949</v>
      </c>
      <c r="Q72" s="14"/>
      <c r="R72" s="14" t="s">
        <v>1927</v>
      </c>
      <c r="S72" s="14"/>
      <c r="T72" s="14"/>
    </row>
    <row r="73" ht="13.5" customHeight="1" spans="1:20">
      <c r="A73" s="13" t="s">
        <v>2222</v>
      </c>
      <c r="B73" s="13" t="s">
        <v>1676</v>
      </c>
      <c r="C73" s="13" t="s">
        <v>1999</v>
      </c>
      <c r="D73" s="13" t="s">
        <v>2220</v>
      </c>
      <c r="E73" s="13" t="s">
        <v>1919</v>
      </c>
      <c r="F73" s="13" t="s">
        <v>1931</v>
      </c>
      <c r="G73" s="13" t="s">
        <v>2056</v>
      </c>
      <c r="H73" s="13" t="s">
        <v>2223</v>
      </c>
      <c r="I73" s="13" t="s">
        <v>1977</v>
      </c>
      <c r="J73" s="13" t="s">
        <v>2224</v>
      </c>
      <c r="K73" s="14">
        <v>1</v>
      </c>
      <c r="L73" s="13" t="s">
        <v>1676</v>
      </c>
      <c r="M73" s="13" t="s">
        <v>2222</v>
      </c>
      <c r="N73" s="13" t="s">
        <v>189</v>
      </c>
      <c r="O73" s="14" t="s">
        <v>1925</v>
      </c>
      <c r="P73" s="14" t="s">
        <v>1937</v>
      </c>
      <c r="Q73" s="14" t="s">
        <v>2225</v>
      </c>
      <c r="R73" s="14" t="s">
        <v>1939</v>
      </c>
      <c r="S73" s="14"/>
      <c r="T73" s="14"/>
    </row>
    <row r="74" ht="13.5" customHeight="1" spans="1:20">
      <c r="A74" s="13" t="s">
        <v>2226</v>
      </c>
      <c r="B74" s="13" t="s">
        <v>1684</v>
      </c>
      <c r="C74" s="13" t="s">
        <v>1999</v>
      </c>
      <c r="D74" s="13" t="s">
        <v>1984</v>
      </c>
      <c r="E74" s="13" t="s">
        <v>1919</v>
      </c>
      <c r="F74" s="13" t="s">
        <v>1931</v>
      </c>
      <c r="G74" s="13" t="s">
        <v>2056</v>
      </c>
      <c r="H74" s="13" t="s">
        <v>2227</v>
      </c>
      <c r="I74" s="13" t="s">
        <v>1934</v>
      </c>
      <c r="J74" s="13" t="s">
        <v>2228</v>
      </c>
      <c r="K74" s="14">
        <v>1</v>
      </c>
      <c r="L74" s="13" t="s">
        <v>1684</v>
      </c>
      <c r="M74" s="13" t="s">
        <v>2226</v>
      </c>
      <c r="N74" s="13" t="s">
        <v>189</v>
      </c>
      <c r="O74" s="14" t="s">
        <v>1925</v>
      </c>
      <c r="P74" s="14" t="s">
        <v>1937</v>
      </c>
      <c r="Q74" s="14" t="s">
        <v>2229</v>
      </c>
      <c r="R74" s="14" t="s">
        <v>1939</v>
      </c>
      <c r="S74" s="14"/>
      <c r="T74" s="14"/>
    </row>
    <row r="75" ht="13.5" customHeight="1" spans="1:20">
      <c r="A75" s="13" t="s">
        <v>2230</v>
      </c>
      <c r="B75" s="13" t="s">
        <v>1710</v>
      </c>
      <c r="C75" s="13" t="s">
        <v>1999</v>
      </c>
      <c r="D75" s="13" t="s">
        <v>259</v>
      </c>
      <c r="E75" s="13" t="s">
        <v>1993</v>
      </c>
      <c r="F75" s="13" t="s">
        <v>1931</v>
      </c>
      <c r="G75" s="13" t="s">
        <v>2009</v>
      </c>
      <c r="H75" s="13" t="s">
        <v>1947</v>
      </c>
      <c r="I75" s="13" t="s">
        <v>1923</v>
      </c>
      <c r="J75" s="13" t="s">
        <v>2231</v>
      </c>
      <c r="K75" s="14">
        <v>1</v>
      </c>
      <c r="L75" s="13" t="s">
        <v>1710</v>
      </c>
      <c r="M75" s="13" t="s">
        <v>2230</v>
      </c>
      <c r="N75" s="13" t="s">
        <v>189</v>
      </c>
      <c r="O75" s="14" t="s">
        <v>1996</v>
      </c>
      <c r="P75" s="14" t="s">
        <v>1949</v>
      </c>
      <c r="Q75" s="14"/>
      <c r="R75" s="14" t="s">
        <v>1927</v>
      </c>
      <c r="S75" s="14"/>
      <c r="T75" s="14"/>
    </row>
    <row r="76" ht="13.5" customHeight="1" spans="1:20">
      <c r="A76" s="13" t="s">
        <v>2232</v>
      </c>
      <c r="B76" s="13" t="s">
        <v>1722</v>
      </c>
      <c r="C76" s="13" t="s">
        <v>2233</v>
      </c>
      <c r="D76" s="13" t="s">
        <v>1929</v>
      </c>
      <c r="E76" s="13" t="s">
        <v>1919</v>
      </c>
      <c r="F76" s="13" t="s">
        <v>1931</v>
      </c>
      <c r="G76" s="13" t="s">
        <v>2234</v>
      </c>
      <c r="H76" s="13" t="s">
        <v>1942</v>
      </c>
      <c r="I76" s="13" t="s">
        <v>1934</v>
      </c>
      <c r="J76" s="13" t="s">
        <v>2235</v>
      </c>
      <c r="K76" s="14">
        <v>1</v>
      </c>
      <c r="L76" s="13" t="s">
        <v>1722</v>
      </c>
      <c r="M76" s="13" t="s">
        <v>2232</v>
      </c>
      <c r="N76" s="13" t="s">
        <v>189</v>
      </c>
      <c r="O76" s="14" t="s">
        <v>1925</v>
      </c>
      <c r="P76" s="14" t="s">
        <v>1944</v>
      </c>
      <c r="Q76" s="14"/>
      <c r="R76" s="14" t="s">
        <v>1939</v>
      </c>
      <c r="S76" s="14"/>
      <c r="T76" s="14"/>
    </row>
    <row r="77" ht="13.5" customHeight="1" spans="1:20">
      <c r="A77" s="13" t="s">
        <v>2236</v>
      </c>
      <c r="B77" s="13" t="s">
        <v>1729</v>
      </c>
      <c r="C77" s="13" t="s">
        <v>2233</v>
      </c>
      <c r="D77" s="13" t="s">
        <v>1929</v>
      </c>
      <c r="E77" s="13" t="s">
        <v>1930</v>
      </c>
      <c r="F77" s="13" t="s">
        <v>1931</v>
      </c>
      <c r="G77" s="13" t="s">
        <v>1932</v>
      </c>
      <c r="H77" s="13" t="s">
        <v>1933</v>
      </c>
      <c r="I77" s="13" t="s">
        <v>1934</v>
      </c>
      <c r="J77" s="13" t="s">
        <v>1935</v>
      </c>
      <c r="K77" s="14">
        <v>1</v>
      </c>
      <c r="L77" s="13" t="s">
        <v>1729</v>
      </c>
      <c r="M77" s="13" t="s">
        <v>2236</v>
      </c>
      <c r="N77" s="13" t="s">
        <v>189</v>
      </c>
      <c r="O77" s="14" t="s">
        <v>1936</v>
      </c>
      <c r="P77" s="14" t="s">
        <v>1937</v>
      </c>
      <c r="Q77" s="14" t="s">
        <v>1938</v>
      </c>
      <c r="R77" s="14" t="s">
        <v>1939</v>
      </c>
      <c r="S77" s="14"/>
      <c r="T77" s="14"/>
    </row>
    <row r="78" ht="13.5" customHeight="1" spans="1:20">
      <c r="A78" s="13" t="s">
        <v>2237</v>
      </c>
      <c r="B78" s="13" t="s">
        <v>1731</v>
      </c>
      <c r="C78" s="13" t="s">
        <v>2233</v>
      </c>
      <c r="D78" s="13" t="s">
        <v>1951</v>
      </c>
      <c r="E78" s="13" t="s">
        <v>1930</v>
      </c>
      <c r="F78" s="13" t="s">
        <v>1931</v>
      </c>
      <c r="G78" s="13" t="s">
        <v>2018</v>
      </c>
      <c r="H78" s="13" t="s">
        <v>1947</v>
      </c>
      <c r="I78" s="13" t="s">
        <v>1934</v>
      </c>
      <c r="J78" s="13" t="s">
        <v>2238</v>
      </c>
      <c r="K78" s="14">
        <v>1</v>
      </c>
      <c r="L78" s="13" t="s">
        <v>1731</v>
      </c>
      <c r="M78" s="13" t="s">
        <v>2237</v>
      </c>
      <c r="N78" s="13" t="s">
        <v>189</v>
      </c>
      <c r="O78" s="14" t="s">
        <v>1936</v>
      </c>
      <c r="P78" s="14" t="s">
        <v>1949</v>
      </c>
      <c r="Q78" s="14"/>
      <c r="R78" s="14" t="s">
        <v>1939</v>
      </c>
      <c r="S78" s="14"/>
      <c r="T78" s="14"/>
    </row>
    <row r="79" ht="13.5" customHeight="1" spans="1:20">
      <c r="A79" s="13" t="s">
        <v>2239</v>
      </c>
      <c r="B79" s="13" t="s">
        <v>1744</v>
      </c>
      <c r="C79" s="13" t="s">
        <v>2233</v>
      </c>
      <c r="D79" s="13" t="s">
        <v>1992</v>
      </c>
      <c r="E79" s="13" t="s">
        <v>1993</v>
      </c>
      <c r="F79" s="13" t="s">
        <v>1931</v>
      </c>
      <c r="G79" s="13" t="s">
        <v>1941</v>
      </c>
      <c r="H79" s="13" t="s">
        <v>1994</v>
      </c>
      <c r="I79" s="13" t="s">
        <v>1934</v>
      </c>
      <c r="J79" s="13" t="s">
        <v>2240</v>
      </c>
      <c r="K79" s="14">
        <v>1</v>
      </c>
      <c r="L79" s="13" t="s">
        <v>1744</v>
      </c>
      <c r="M79" s="13" t="s">
        <v>2239</v>
      </c>
      <c r="N79" s="13" t="s">
        <v>189</v>
      </c>
      <c r="O79" s="14" t="s">
        <v>1996</v>
      </c>
      <c r="P79" s="14" t="s">
        <v>1981</v>
      </c>
      <c r="Q79" s="14" t="s">
        <v>1997</v>
      </c>
      <c r="R79" s="14" t="s">
        <v>1939</v>
      </c>
      <c r="S79" s="14"/>
      <c r="T79" s="14"/>
    </row>
    <row r="80" ht="13.5" customHeight="1" spans="1:20">
      <c r="A80" s="13" t="s">
        <v>1963</v>
      </c>
      <c r="B80" s="13" t="s">
        <v>1309</v>
      </c>
      <c r="C80" s="13" t="s">
        <v>2233</v>
      </c>
      <c r="D80" s="13" t="s">
        <v>1976</v>
      </c>
      <c r="E80" s="13" t="s">
        <v>1965</v>
      </c>
      <c r="F80" s="13" t="s">
        <v>2241</v>
      </c>
      <c r="G80" s="13" t="s">
        <v>1921</v>
      </c>
      <c r="H80" s="13" t="s">
        <v>1942</v>
      </c>
      <c r="I80" s="13" t="s">
        <v>1967</v>
      </c>
      <c r="J80" s="13" t="s">
        <v>2242</v>
      </c>
      <c r="K80" s="14">
        <v>1</v>
      </c>
      <c r="L80" s="13" t="s">
        <v>1309</v>
      </c>
      <c r="M80" s="13" t="s">
        <v>1963</v>
      </c>
      <c r="N80" s="13" t="s">
        <v>189</v>
      </c>
      <c r="O80" s="14" t="s">
        <v>1969</v>
      </c>
      <c r="P80" s="14" t="s">
        <v>1944</v>
      </c>
      <c r="Q80" s="14"/>
      <c r="R80" s="14" t="s">
        <v>1939</v>
      </c>
      <c r="S80" s="14"/>
      <c r="T80" s="14"/>
    </row>
    <row r="81" ht="13.5" customHeight="1" spans="1:20">
      <c r="A81" s="13" t="s">
        <v>1983</v>
      </c>
      <c r="B81" s="13" t="s">
        <v>1757</v>
      </c>
      <c r="C81" s="13" t="s">
        <v>2233</v>
      </c>
      <c r="D81" s="13" t="s">
        <v>1984</v>
      </c>
      <c r="E81" s="13" t="s">
        <v>1985</v>
      </c>
      <c r="F81" s="13" t="s">
        <v>1931</v>
      </c>
      <c r="G81" s="13" t="s">
        <v>2056</v>
      </c>
      <c r="H81" s="13" t="s">
        <v>1986</v>
      </c>
      <c r="I81" s="13" t="s">
        <v>1987</v>
      </c>
      <c r="J81" s="13" t="s">
        <v>2243</v>
      </c>
      <c r="K81" s="14">
        <v>1</v>
      </c>
      <c r="L81" s="13" t="s">
        <v>1757</v>
      </c>
      <c r="M81" s="13" t="s">
        <v>1983</v>
      </c>
      <c r="N81" s="13" t="s">
        <v>189</v>
      </c>
      <c r="O81" s="14" t="s">
        <v>1989</v>
      </c>
      <c r="P81" s="14" t="s">
        <v>1937</v>
      </c>
      <c r="Q81" s="14" t="s">
        <v>1990</v>
      </c>
      <c r="R81" s="14" t="s">
        <v>1927</v>
      </c>
      <c r="S81" s="14"/>
      <c r="T81" s="14"/>
    </row>
    <row r="82" ht="13.5" customHeight="1" spans="1:20">
      <c r="A82" s="13" t="s">
        <v>2244</v>
      </c>
      <c r="B82" s="13" t="s">
        <v>1271</v>
      </c>
      <c r="C82" s="13" t="s">
        <v>1918</v>
      </c>
      <c r="D82" s="13" t="s">
        <v>2245</v>
      </c>
      <c r="E82" s="13" t="s">
        <v>2246</v>
      </c>
      <c r="F82" s="13" t="s">
        <v>1931</v>
      </c>
      <c r="G82" s="13" t="s">
        <v>1941</v>
      </c>
      <c r="H82" s="13" t="s">
        <v>1942</v>
      </c>
      <c r="I82" s="13" t="s">
        <v>2010</v>
      </c>
      <c r="J82" s="13" t="s">
        <v>2247</v>
      </c>
      <c r="K82" s="14">
        <v>1</v>
      </c>
      <c r="L82" s="13" t="s">
        <v>1271</v>
      </c>
      <c r="M82" s="13" t="s">
        <v>2244</v>
      </c>
      <c r="N82" s="13" t="s">
        <v>190</v>
      </c>
      <c r="O82" s="14" t="s">
        <v>1989</v>
      </c>
      <c r="P82" s="14" t="s">
        <v>1944</v>
      </c>
      <c r="Q82" s="14"/>
      <c r="R82" s="14" t="s">
        <v>1927</v>
      </c>
      <c r="S82" s="14"/>
      <c r="T82" s="14"/>
    </row>
    <row r="83" ht="13.5" customHeight="1" spans="1:20">
      <c r="A83" s="13" t="s">
        <v>2248</v>
      </c>
      <c r="B83" s="13" t="s">
        <v>1275</v>
      </c>
      <c r="C83" s="13" t="s">
        <v>1918</v>
      </c>
      <c r="D83" s="13" t="s">
        <v>2245</v>
      </c>
      <c r="E83" s="13" t="s">
        <v>2249</v>
      </c>
      <c r="F83" s="13" t="s">
        <v>1920</v>
      </c>
      <c r="G83" s="13" t="s">
        <v>1921</v>
      </c>
      <c r="H83" s="13" t="s">
        <v>1947</v>
      </c>
      <c r="I83" s="13" t="s">
        <v>1923</v>
      </c>
      <c r="J83" s="13" t="s">
        <v>2250</v>
      </c>
      <c r="K83" s="14">
        <v>1</v>
      </c>
      <c r="L83" s="13" t="s">
        <v>1275</v>
      </c>
      <c r="M83" s="13" t="s">
        <v>2248</v>
      </c>
      <c r="N83" s="13" t="s">
        <v>190</v>
      </c>
      <c r="O83" s="14" t="s">
        <v>2049</v>
      </c>
      <c r="P83" s="14" t="s">
        <v>1949</v>
      </c>
      <c r="Q83" s="14"/>
      <c r="R83" s="14" t="s">
        <v>1927</v>
      </c>
      <c r="S83" s="14"/>
      <c r="T83" s="14"/>
    </row>
    <row r="84" ht="13.5" customHeight="1" spans="1:20">
      <c r="A84" s="13" t="s">
        <v>2251</v>
      </c>
      <c r="B84" s="13" t="s">
        <v>1282</v>
      </c>
      <c r="C84" s="13" t="s">
        <v>1918</v>
      </c>
      <c r="D84" s="13" t="s">
        <v>1929</v>
      </c>
      <c r="E84" s="13" t="s">
        <v>2252</v>
      </c>
      <c r="F84" s="13" t="s">
        <v>1920</v>
      </c>
      <c r="G84" s="13" t="s">
        <v>1958</v>
      </c>
      <c r="H84" s="13" t="s">
        <v>2253</v>
      </c>
      <c r="I84" s="13" t="s">
        <v>1923</v>
      </c>
      <c r="J84" s="13" t="s">
        <v>2254</v>
      </c>
      <c r="K84" s="14">
        <v>1</v>
      </c>
      <c r="L84" s="13" t="s">
        <v>1282</v>
      </c>
      <c r="M84" s="13" t="s">
        <v>2251</v>
      </c>
      <c r="N84" s="13" t="s">
        <v>190</v>
      </c>
      <c r="O84" s="14" t="s">
        <v>1925</v>
      </c>
      <c r="P84" s="14" t="s">
        <v>1937</v>
      </c>
      <c r="Q84" s="14" t="s">
        <v>2255</v>
      </c>
      <c r="R84" s="14" t="s">
        <v>1927</v>
      </c>
      <c r="S84" s="14"/>
      <c r="T84" s="14"/>
    </row>
    <row r="85" ht="13.5" customHeight="1" spans="1:20">
      <c r="A85" s="13" t="s">
        <v>2256</v>
      </c>
      <c r="B85" s="13" t="s">
        <v>1284</v>
      </c>
      <c r="C85" s="13" t="s">
        <v>1918</v>
      </c>
      <c r="D85" s="13" t="s">
        <v>1929</v>
      </c>
      <c r="E85" s="13" t="s">
        <v>2252</v>
      </c>
      <c r="F85" s="13" t="s">
        <v>1931</v>
      </c>
      <c r="G85" s="13" t="s">
        <v>1932</v>
      </c>
      <c r="H85" s="13" t="s">
        <v>2257</v>
      </c>
      <c r="I85" s="13" t="s">
        <v>1923</v>
      </c>
      <c r="J85" s="13" t="s">
        <v>2258</v>
      </c>
      <c r="K85" s="14">
        <v>1</v>
      </c>
      <c r="L85" s="13" t="s">
        <v>1284</v>
      </c>
      <c r="M85" s="13" t="s">
        <v>2256</v>
      </c>
      <c r="N85" s="13" t="s">
        <v>190</v>
      </c>
      <c r="O85" s="14" t="s">
        <v>1925</v>
      </c>
      <c r="P85" s="14" t="s">
        <v>1937</v>
      </c>
      <c r="Q85" s="14" t="s">
        <v>2259</v>
      </c>
      <c r="R85" s="14" t="s">
        <v>1927</v>
      </c>
      <c r="S85" s="14"/>
      <c r="T85" s="14"/>
    </row>
    <row r="86" ht="13.5" customHeight="1" spans="1:20">
      <c r="A86" s="13" t="s">
        <v>2260</v>
      </c>
      <c r="B86" s="13" t="s">
        <v>1286</v>
      </c>
      <c r="C86" s="13" t="s">
        <v>1918</v>
      </c>
      <c r="D86" s="13" t="s">
        <v>1929</v>
      </c>
      <c r="E86" s="13" t="s">
        <v>2261</v>
      </c>
      <c r="F86" s="13" t="s">
        <v>1931</v>
      </c>
      <c r="G86" s="13" t="s">
        <v>2009</v>
      </c>
      <c r="H86" s="13" t="s">
        <v>2262</v>
      </c>
      <c r="I86" s="13" t="s">
        <v>1934</v>
      </c>
      <c r="J86" s="13" t="s">
        <v>2263</v>
      </c>
      <c r="K86" s="14">
        <v>1</v>
      </c>
      <c r="L86" s="13" t="s">
        <v>1286</v>
      </c>
      <c r="M86" s="13" t="s">
        <v>2260</v>
      </c>
      <c r="N86" s="13" t="s">
        <v>190</v>
      </c>
      <c r="O86" s="14" t="s">
        <v>1936</v>
      </c>
      <c r="P86" s="14" t="s">
        <v>1937</v>
      </c>
      <c r="Q86" s="14" t="s">
        <v>2264</v>
      </c>
      <c r="R86" s="14" t="s">
        <v>1939</v>
      </c>
      <c r="S86" s="14"/>
      <c r="T86" s="14"/>
    </row>
    <row r="87" ht="13.5" customHeight="1" spans="1:20">
      <c r="A87" s="13" t="s">
        <v>2265</v>
      </c>
      <c r="B87" s="13" t="s">
        <v>1294</v>
      </c>
      <c r="C87" s="13" t="s">
        <v>1918</v>
      </c>
      <c r="D87" s="13" t="s">
        <v>2089</v>
      </c>
      <c r="E87" s="13" t="s">
        <v>2252</v>
      </c>
      <c r="F87" s="13" t="s">
        <v>1931</v>
      </c>
      <c r="G87" s="13" t="s">
        <v>1941</v>
      </c>
      <c r="H87" s="13" t="s">
        <v>1947</v>
      </c>
      <c r="I87" s="13" t="s">
        <v>1934</v>
      </c>
      <c r="J87" s="13" t="s">
        <v>2266</v>
      </c>
      <c r="K87" s="14">
        <v>1</v>
      </c>
      <c r="L87" s="13" t="s">
        <v>1294</v>
      </c>
      <c r="M87" s="13" t="s">
        <v>2265</v>
      </c>
      <c r="N87" s="13" t="s">
        <v>190</v>
      </c>
      <c r="O87" s="14" t="s">
        <v>1925</v>
      </c>
      <c r="P87" s="14" t="s">
        <v>1949</v>
      </c>
      <c r="Q87" s="14"/>
      <c r="R87" s="14" t="s">
        <v>1939</v>
      </c>
      <c r="S87" s="14"/>
      <c r="T87" s="14"/>
    </row>
    <row r="88" ht="13.5" customHeight="1" spans="1:20">
      <c r="A88" s="13" t="s">
        <v>2267</v>
      </c>
      <c r="B88" s="13" t="s">
        <v>1299</v>
      </c>
      <c r="C88" s="13" t="s">
        <v>1918</v>
      </c>
      <c r="D88" s="13" t="s">
        <v>1951</v>
      </c>
      <c r="E88" s="13" t="s">
        <v>2261</v>
      </c>
      <c r="F88" s="13" t="s">
        <v>1931</v>
      </c>
      <c r="G88" s="13" t="s">
        <v>1921</v>
      </c>
      <c r="H88" s="13" t="s">
        <v>1922</v>
      </c>
      <c r="I88" s="13" t="s">
        <v>1987</v>
      </c>
      <c r="J88" s="13" t="s">
        <v>2268</v>
      </c>
      <c r="K88" s="14">
        <v>1</v>
      </c>
      <c r="L88" s="13" t="s">
        <v>1299</v>
      </c>
      <c r="M88" s="13" t="s">
        <v>2267</v>
      </c>
      <c r="N88" s="13" t="s">
        <v>190</v>
      </c>
      <c r="O88" s="14" t="s">
        <v>1936</v>
      </c>
      <c r="P88" s="14" t="s">
        <v>1926</v>
      </c>
      <c r="Q88" s="14"/>
      <c r="R88" s="14" t="s">
        <v>1927</v>
      </c>
      <c r="S88" s="14"/>
      <c r="T88" s="14"/>
    </row>
    <row r="89" ht="13.5" customHeight="1" spans="1:20">
      <c r="A89" s="13" t="s">
        <v>2269</v>
      </c>
      <c r="B89" s="13" t="s">
        <v>1300</v>
      </c>
      <c r="C89" s="13" t="s">
        <v>1918</v>
      </c>
      <c r="D89" s="13" t="s">
        <v>2270</v>
      </c>
      <c r="E89" s="13" t="s">
        <v>2271</v>
      </c>
      <c r="F89" s="13" t="s">
        <v>1931</v>
      </c>
      <c r="G89" s="13" t="s">
        <v>2272</v>
      </c>
      <c r="H89" s="13" t="s">
        <v>1947</v>
      </c>
      <c r="I89" s="13" t="s">
        <v>2010</v>
      </c>
      <c r="J89" s="13" t="s">
        <v>2273</v>
      </c>
      <c r="K89" s="14">
        <v>1</v>
      </c>
      <c r="L89" s="13" t="s">
        <v>1300</v>
      </c>
      <c r="M89" s="13" t="s">
        <v>2269</v>
      </c>
      <c r="N89" s="13" t="s">
        <v>190</v>
      </c>
      <c r="O89" s="14" t="s">
        <v>2193</v>
      </c>
      <c r="P89" s="14" t="s">
        <v>1949</v>
      </c>
      <c r="Q89" s="14"/>
      <c r="R89" s="14" t="s">
        <v>1927</v>
      </c>
      <c r="S89" s="14"/>
      <c r="T89" s="14"/>
    </row>
    <row r="90" ht="13.5" customHeight="1" spans="1:20">
      <c r="A90" s="13" t="s">
        <v>2274</v>
      </c>
      <c r="B90" s="13" t="s">
        <v>1329</v>
      </c>
      <c r="C90" s="13" t="s">
        <v>1918</v>
      </c>
      <c r="D90" s="13" t="s">
        <v>1984</v>
      </c>
      <c r="E90" s="13" t="s">
        <v>2275</v>
      </c>
      <c r="F90" s="13" t="s">
        <v>1920</v>
      </c>
      <c r="G90" s="13" t="s">
        <v>1941</v>
      </c>
      <c r="H90" s="13" t="s">
        <v>1947</v>
      </c>
      <c r="I90" s="13" t="s">
        <v>1923</v>
      </c>
      <c r="J90" s="13" t="s">
        <v>2276</v>
      </c>
      <c r="K90" s="14">
        <v>1</v>
      </c>
      <c r="L90" s="13" t="s">
        <v>1329</v>
      </c>
      <c r="M90" s="13" t="s">
        <v>2274</v>
      </c>
      <c r="N90" s="13" t="s">
        <v>190</v>
      </c>
      <c r="O90" s="14" t="s">
        <v>1996</v>
      </c>
      <c r="P90" s="14" t="s">
        <v>1949</v>
      </c>
      <c r="Q90" s="14"/>
      <c r="R90" s="14" t="s">
        <v>1927</v>
      </c>
      <c r="S90" s="14"/>
      <c r="T90" s="14"/>
    </row>
    <row r="91" ht="13.5" customHeight="1" spans="1:20">
      <c r="A91" s="13" t="s">
        <v>2277</v>
      </c>
      <c r="B91" s="13" t="s">
        <v>1333</v>
      </c>
      <c r="C91" s="13" t="s">
        <v>1918</v>
      </c>
      <c r="D91" s="13" t="s">
        <v>2278</v>
      </c>
      <c r="E91" s="13" t="s">
        <v>2252</v>
      </c>
      <c r="F91" s="13" t="s">
        <v>1931</v>
      </c>
      <c r="G91" s="13" t="s">
        <v>2279</v>
      </c>
      <c r="H91" s="13" t="s">
        <v>1922</v>
      </c>
      <c r="I91" s="13" t="s">
        <v>1923</v>
      </c>
      <c r="J91" s="13" t="s">
        <v>2280</v>
      </c>
      <c r="K91" s="14">
        <v>1</v>
      </c>
      <c r="L91" s="13" t="s">
        <v>1333</v>
      </c>
      <c r="M91" s="13" t="s">
        <v>2277</v>
      </c>
      <c r="N91" s="13" t="s">
        <v>190</v>
      </c>
      <c r="O91" s="14" t="s">
        <v>1925</v>
      </c>
      <c r="P91" s="14" t="s">
        <v>1926</v>
      </c>
      <c r="Q91" s="14"/>
      <c r="R91" s="14" t="s">
        <v>1927</v>
      </c>
      <c r="S91" s="14"/>
      <c r="T91" s="14"/>
    </row>
    <row r="92" ht="13.5" customHeight="1" spans="1:20">
      <c r="A92" s="13" t="s">
        <v>2281</v>
      </c>
      <c r="B92" s="13" t="s">
        <v>1340</v>
      </c>
      <c r="C92" s="13" t="s">
        <v>1918</v>
      </c>
      <c r="D92" s="13" t="s">
        <v>1992</v>
      </c>
      <c r="E92" s="13" t="s">
        <v>2275</v>
      </c>
      <c r="F92" s="13" t="s">
        <v>1931</v>
      </c>
      <c r="G92" s="13" t="s">
        <v>1941</v>
      </c>
      <c r="H92" s="13" t="s">
        <v>2282</v>
      </c>
      <c r="I92" s="13" t="s">
        <v>1923</v>
      </c>
      <c r="J92" s="13" t="s">
        <v>2283</v>
      </c>
      <c r="K92" s="14">
        <v>1</v>
      </c>
      <c r="L92" s="13" t="s">
        <v>1340</v>
      </c>
      <c r="M92" s="13" t="s">
        <v>2281</v>
      </c>
      <c r="N92" s="13" t="s">
        <v>190</v>
      </c>
      <c r="O92" s="14" t="s">
        <v>1996</v>
      </c>
      <c r="P92" s="14" t="s">
        <v>1937</v>
      </c>
      <c r="Q92" s="14" t="s">
        <v>2284</v>
      </c>
      <c r="R92" s="14" t="s">
        <v>1927</v>
      </c>
      <c r="S92" s="14"/>
      <c r="T92" s="14"/>
    </row>
    <row r="93" ht="13.5" customHeight="1" spans="1:20">
      <c r="A93" s="13" t="s">
        <v>2285</v>
      </c>
      <c r="B93" s="13" t="s">
        <v>1366</v>
      </c>
      <c r="C93" s="13" t="s">
        <v>1999</v>
      </c>
      <c r="D93" s="13" t="s">
        <v>318</v>
      </c>
      <c r="E93" s="13" t="s">
        <v>2252</v>
      </c>
      <c r="F93" s="13" t="s">
        <v>1931</v>
      </c>
      <c r="G93" s="13" t="s">
        <v>2286</v>
      </c>
      <c r="H93" s="13" t="s">
        <v>2287</v>
      </c>
      <c r="I93" s="13" t="s">
        <v>1979</v>
      </c>
      <c r="J93" s="13" t="s">
        <v>2288</v>
      </c>
      <c r="K93" s="14">
        <v>1</v>
      </c>
      <c r="L93" s="13" t="s">
        <v>1366</v>
      </c>
      <c r="M93" s="13" t="s">
        <v>2285</v>
      </c>
      <c r="N93" s="13" t="s">
        <v>190</v>
      </c>
      <c r="O93" s="14" t="s">
        <v>1925</v>
      </c>
      <c r="P93" s="14" t="s">
        <v>1937</v>
      </c>
      <c r="Q93" s="14" t="s">
        <v>2289</v>
      </c>
      <c r="R93" s="14" t="s">
        <v>1939</v>
      </c>
      <c r="S93" s="14"/>
      <c r="T93" s="14"/>
    </row>
    <row r="94" ht="13.5" customHeight="1" spans="1:20">
      <c r="A94" s="13" t="s">
        <v>2290</v>
      </c>
      <c r="B94" s="13" t="s">
        <v>1376</v>
      </c>
      <c r="C94" s="13" t="s">
        <v>1999</v>
      </c>
      <c r="D94" s="13" t="s">
        <v>2291</v>
      </c>
      <c r="E94" s="13" t="s">
        <v>2292</v>
      </c>
      <c r="F94" s="13" t="s">
        <v>1931</v>
      </c>
      <c r="G94" s="13" t="s">
        <v>1941</v>
      </c>
      <c r="H94" s="13" t="s">
        <v>1947</v>
      </c>
      <c r="I94" s="13" t="s">
        <v>1923</v>
      </c>
      <c r="J94" s="13" t="s">
        <v>2293</v>
      </c>
      <c r="K94" s="14">
        <v>1</v>
      </c>
      <c r="L94" s="13" t="s">
        <v>1376</v>
      </c>
      <c r="M94" s="13" t="s">
        <v>2290</v>
      </c>
      <c r="N94" s="13" t="s">
        <v>190</v>
      </c>
      <c r="O94" s="14" t="s">
        <v>1974</v>
      </c>
      <c r="P94" s="14" t="s">
        <v>1949</v>
      </c>
      <c r="Q94" s="14"/>
      <c r="R94" s="14" t="s">
        <v>1927</v>
      </c>
      <c r="S94" s="14"/>
      <c r="T94" s="14"/>
    </row>
    <row r="95" ht="13.5" customHeight="1" spans="1:20">
      <c r="A95" s="13" t="s">
        <v>2294</v>
      </c>
      <c r="B95" s="13" t="s">
        <v>1385</v>
      </c>
      <c r="C95" s="13" t="s">
        <v>1999</v>
      </c>
      <c r="D95" s="13" t="s">
        <v>1929</v>
      </c>
      <c r="E95" s="13" t="s">
        <v>2261</v>
      </c>
      <c r="F95" s="13" t="s">
        <v>1931</v>
      </c>
      <c r="G95" s="13" t="s">
        <v>1946</v>
      </c>
      <c r="H95" s="13" t="s">
        <v>1947</v>
      </c>
      <c r="I95" s="13" t="s">
        <v>1934</v>
      </c>
      <c r="J95" s="13" t="s">
        <v>2295</v>
      </c>
      <c r="K95" s="14">
        <v>1</v>
      </c>
      <c r="L95" s="13" t="s">
        <v>1385</v>
      </c>
      <c r="M95" s="13" t="s">
        <v>2294</v>
      </c>
      <c r="N95" s="13" t="s">
        <v>190</v>
      </c>
      <c r="O95" s="14" t="s">
        <v>1936</v>
      </c>
      <c r="P95" s="14" t="s">
        <v>1949</v>
      </c>
      <c r="Q95" s="14"/>
      <c r="R95" s="14" t="s">
        <v>1939</v>
      </c>
      <c r="S95" s="14"/>
      <c r="T95" s="14"/>
    </row>
    <row r="96" ht="13.5" customHeight="1" spans="1:20">
      <c r="A96" s="13" t="s">
        <v>2296</v>
      </c>
      <c r="B96" s="13" t="s">
        <v>1390</v>
      </c>
      <c r="C96" s="13" t="s">
        <v>1999</v>
      </c>
      <c r="D96" s="13" t="s">
        <v>2031</v>
      </c>
      <c r="E96" s="13" t="s">
        <v>2261</v>
      </c>
      <c r="F96" s="13" t="s">
        <v>1931</v>
      </c>
      <c r="G96" s="13" t="s">
        <v>1941</v>
      </c>
      <c r="H96" s="13" t="s">
        <v>2297</v>
      </c>
      <c r="I96" s="13" t="s">
        <v>1987</v>
      </c>
      <c r="J96" s="13" t="s">
        <v>2298</v>
      </c>
      <c r="K96" s="14">
        <v>1</v>
      </c>
      <c r="L96" s="13" t="s">
        <v>1390</v>
      </c>
      <c r="M96" s="13" t="s">
        <v>2296</v>
      </c>
      <c r="N96" s="13" t="s">
        <v>190</v>
      </c>
      <c r="O96" s="14" t="s">
        <v>1936</v>
      </c>
      <c r="P96" s="14" t="s">
        <v>2095</v>
      </c>
      <c r="Q96" s="14" t="s">
        <v>2299</v>
      </c>
      <c r="R96" s="14" t="s">
        <v>1927</v>
      </c>
      <c r="S96" s="14"/>
      <c r="T96" s="14"/>
    </row>
    <row r="97" ht="13.5" customHeight="1" spans="1:20">
      <c r="A97" s="13" t="s">
        <v>2300</v>
      </c>
      <c r="B97" s="13" t="s">
        <v>1395</v>
      </c>
      <c r="C97" s="13" t="s">
        <v>1999</v>
      </c>
      <c r="D97" s="13" t="s">
        <v>2031</v>
      </c>
      <c r="E97" s="13" t="s">
        <v>2249</v>
      </c>
      <c r="F97" s="13" t="s">
        <v>1931</v>
      </c>
      <c r="G97" s="13" t="s">
        <v>1921</v>
      </c>
      <c r="H97" s="13" t="s">
        <v>1947</v>
      </c>
      <c r="I97" s="13" t="s">
        <v>1977</v>
      </c>
      <c r="J97" s="13" t="s">
        <v>2301</v>
      </c>
      <c r="K97" s="14">
        <v>1</v>
      </c>
      <c r="L97" s="13" t="s">
        <v>1395</v>
      </c>
      <c r="M97" s="13" t="s">
        <v>2300</v>
      </c>
      <c r="N97" s="13" t="s">
        <v>190</v>
      </c>
      <c r="O97" s="14" t="s">
        <v>2049</v>
      </c>
      <c r="P97" s="14" t="s">
        <v>1949</v>
      </c>
      <c r="Q97" s="14"/>
      <c r="R97" s="14" t="s">
        <v>1939</v>
      </c>
      <c r="S97" s="14"/>
      <c r="T97" s="14"/>
    </row>
    <row r="98" ht="13.5" customHeight="1" spans="1:20">
      <c r="A98" s="13" t="s">
        <v>2302</v>
      </c>
      <c r="B98" s="13" t="s">
        <v>1396</v>
      </c>
      <c r="C98" s="13" t="s">
        <v>1999</v>
      </c>
      <c r="D98" s="13" t="s">
        <v>2031</v>
      </c>
      <c r="E98" s="13" t="s">
        <v>2275</v>
      </c>
      <c r="F98" s="13" t="s">
        <v>1920</v>
      </c>
      <c r="G98" s="13" t="s">
        <v>1921</v>
      </c>
      <c r="H98" s="13" t="s">
        <v>1922</v>
      </c>
      <c r="I98" s="13" t="s">
        <v>1934</v>
      </c>
      <c r="J98" s="13" t="s">
        <v>2303</v>
      </c>
      <c r="K98" s="14">
        <v>1</v>
      </c>
      <c r="L98" s="13" t="s">
        <v>1396</v>
      </c>
      <c r="M98" s="13" t="s">
        <v>2302</v>
      </c>
      <c r="N98" s="13" t="s">
        <v>190</v>
      </c>
      <c r="O98" s="14" t="s">
        <v>1996</v>
      </c>
      <c r="P98" s="14" t="s">
        <v>1926</v>
      </c>
      <c r="Q98" s="14"/>
      <c r="R98" s="14" t="s">
        <v>1939</v>
      </c>
      <c r="S98" s="14"/>
      <c r="T98" s="14"/>
    </row>
    <row r="99" ht="13.5" customHeight="1" spans="1:20">
      <c r="A99" s="13" t="s">
        <v>2304</v>
      </c>
      <c r="B99" s="13" t="s">
        <v>1397</v>
      </c>
      <c r="C99" s="13" t="s">
        <v>1999</v>
      </c>
      <c r="D99" s="13" t="s">
        <v>2031</v>
      </c>
      <c r="E99" s="13" t="s">
        <v>2252</v>
      </c>
      <c r="F99" s="13" t="s">
        <v>1931</v>
      </c>
      <c r="G99" s="13" t="s">
        <v>2056</v>
      </c>
      <c r="H99" s="13" t="s">
        <v>2305</v>
      </c>
      <c r="I99" s="13" t="s">
        <v>2010</v>
      </c>
      <c r="J99" s="13" t="s">
        <v>2306</v>
      </c>
      <c r="K99" s="14">
        <v>1</v>
      </c>
      <c r="L99" s="13" t="s">
        <v>1397</v>
      </c>
      <c r="M99" s="13" t="s">
        <v>2304</v>
      </c>
      <c r="N99" s="13" t="s">
        <v>190</v>
      </c>
      <c r="O99" s="14" t="s">
        <v>1925</v>
      </c>
      <c r="P99" s="14" t="s">
        <v>1937</v>
      </c>
      <c r="Q99" s="14" t="s">
        <v>2307</v>
      </c>
      <c r="R99" s="14" t="s">
        <v>1927</v>
      </c>
      <c r="S99" s="14"/>
      <c r="T99" s="14"/>
    </row>
    <row r="100" ht="13.5" customHeight="1" spans="1:20">
      <c r="A100" s="13" t="s">
        <v>2308</v>
      </c>
      <c r="B100" s="13" t="s">
        <v>1400</v>
      </c>
      <c r="C100" s="13" t="s">
        <v>1999</v>
      </c>
      <c r="D100" s="13" t="s">
        <v>1929</v>
      </c>
      <c r="E100" s="13" t="s">
        <v>2252</v>
      </c>
      <c r="F100" s="13" t="s">
        <v>1931</v>
      </c>
      <c r="G100" s="13" t="s">
        <v>1921</v>
      </c>
      <c r="H100" s="13" t="s">
        <v>1947</v>
      </c>
      <c r="I100" s="13" t="s">
        <v>2309</v>
      </c>
      <c r="J100" s="13" t="s">
        <v>2310</v>
      </c>
      <c r="K100" s="14">
        <v>1</v>
      </c>
      <c r="L100" s="13" t="s">
        <v>1400</v>
      </c>
      <c r="M100" s="13" t="s">
        <v>2308</v>
      </c>
      <c r="N100" s="13" t="s">
        <v>190</v>
      </c>
      <c r="O100" s="14" t="s">
        <v>1925</v>
      </c>
      <c r="P100" s="14" t="s">
        <v>1949</v>
      </c>
      <c r="Q100" s="14"/>
      <c r="R100" s="14" t="s">
        <v>1927</v>
      </c>
      <c r="S100" s="14"/>
      <c r="T100" s="14"/>
    </row>
    <row r="101" ht="13.5" customHeight="1" spans="1:20">
      <c r="A101" s="13" t="s">
        <v>2311</v>
      </c>
      <c r="B101" s="13" t="s">
        <v>1402</v>
      </c>
      <c r="C101" s="13" t="s">
        <v>1999</v>
      </c>
      <c r="D101" s="13" t="s">
        <v>1929</v>
      </c>
      <c r="E101" s="13" t="s">
        <v>2249</v>
      </c>
      <c r="F101" s="13" t="s">
        <v>1931</v>
      </c>
      <c r="G101" s="13" t="s">
        <v>1921</v>
      </c>
      <c r="H101" s="13" t="s">
        <v>1922</v>
      </c>
      <c r="I101" s="13" t="s">
        <v>1923</v>
      </c>
      <c r="J101" s="13" t="s">
        <v>2312</v>
      </c>
      <c r="K101" s="14">
        <v>1</v>
      </c>
      <c r="L101" s="13" t="s">
        <v>1402</v>
      </c>
      <c r="M101" s="13" t="s">
        <v>2311</v>
      </c>
      <c r="N101" s="13" t="s">
        <v>190</v>
      </c>
      <c r="O101" s="14" t="s">
        <v>2049</v>
      </c>
      <c r="P101" s="14" t="s">
        <v>1926</v>
      </c>
      <c r="Q101" s="14"/>
      <c r="R101" s="14" t="s">
        <v>1927</v>
      </c>
      <c r="S101" s="14"/>
      <c r="T101" s="14"/>
    </row>
    <row r="102" ht="13.5" customHeight="1" spans="1:20">
      <c r="A102" s="13" t="s">
        <v>2313</v>
      </c>
      <c r="B102" s="13" t="s">
        <v>1411</v>
      </c>
      <c r="C102" s="13" t="s">
        <v>1999</v>
      </c>
      <c r="D102" s="13" t="s">
        <v>1929</v>
      </c>
      <c r="E102" s="13" t="s">
        <v>2252</v>
      </c>
      <c r="F102" s="13" t="s">
        <v>1931</v>
      </c>
      <c r="G102" s="13" t="s">
        <v>1932</v>
      </c>
      <c r="H102" s="13" t="s">
        <v>2314</v>
      </c>
      <c r="I102" s="13" t="s">
        <v>1923</v>
      </c>
      <c r="J102" s="13" t="s">
        <v>2315</v>
      </c>
      <c r="K102" s="14">
        <v>1</v>
      </c>
      <c r="L102" s="13" t="s">
        <v>1411</v>
      </c>
      <c r="M102" s="13" t="s">
        <v>2313</v>
      </c>
      <c r="N102" s="13" t="s">
        <v>190</v>
      </c>
      <c r="O102" s="14" t="s">
        <v>1925</v>
      </c>
      <c r="P102" s="14" t="s">
        <v>1937</v>
      </c>
      <c r="Q102" s="14" t="s">
        <v>2316</v>
      </c>
      <c r="R102" s="14" t="s">
        <v>1927</v>
      </c>
      <c r="S102" s="14"/>
      <c r="T102" s="14"/>
    </row>
    <row r="103" ht="13.5" customHeight="1" spans="1:20">
      <c r="A103" s="13" t="s">
        <v>2317</v>
      </c>
      <c r="B103" s="13" t="s">
        <v>1418</v>
      </c>
      <c r="C103" s="13" t="s">
        <v>1999</v>
      </c>
      <c r="D103" s="13" t="s">
        <v>1929</v>
      </c>
      <c r="E103" s="13" t="s">
        <v>2252</v>
      </c>
      <c r="F103" s="13" t="s">
        <v>1931</v>
      </c>
      <c r="G103" s="13" t="s">
        <v>1941</v>
      </c>
      <c r="H103" s="13" t="s">
        <v>2318</v>
      </c>
      <c r="I103" s="13" t="s">
        <v>1987</v>
      </c>
      <c r="J103" s="13" t="s">
        <v>2319</v>
      </c>
      <c r="K103" s="14">
        <v>1</v>
      </c>
      <c r="L103" s="13" t="s">
        <v>1418</v>
      </c>
      <c r="M103" s="13" t="s">
        <v>2317</v>
      </c>
      <c r="N103" s="13" t="s">
        <v>190</v>
      </c>
      <c r="O103" s="14" t="s">
        <v>1925</v>
      </c>
      <c r="P103" s="14" t="s">
        <v>1937</v>
      </c>
      <c r="Q103" s="14" t="s">
        <v>2320</v>
      </c>
      <c r="R103" s="14" t="s">
        <v>1927</v>
      </c>
      <c r="S103" s="14"/>
      <c r="T103" s="14"/>
    </row>
    <row r="104" ht="13.5" customHeight="1" spans="1:20">
      <c r="A104" s="13" t="s">
        <v>2321</v>
      </c>
      <c r="B104" s="13" t="s">
        <v>1431</v>
      </c>
      <c r="C104" s="13" t="s">
        <v>1999</v>
      </c>
      <c r="D104" s="13" t="s">
        <v>1929</v>
      </c>
      <c r="E104" s="13" t="s">
        <v>2275</v>
      </c>
      <c r="F104" s="13" t="s">
        <v>1931</v>
      </c>
      <c r="G104" s="13" t="s">
        <v>1941</v>
      </c>
      <c r="H104" s="13" t="s">
        <v>2322</v>
      </c>
      <c r="I104" s="13" t="s">
        <v>2323</v>
      </c>
      <c r="J104" s="13" t="s">
        <v>2324</v>
      </c>
      <c r="K104" s="14">
        <v>1</v>
      </c>
      <c r="L104" s="13" t="s">
        <v>1431</v>
      </c>
      <c r="M104" s="13" t="s">
        <v>2321</v>
      </c>
      <c r="N104" s="13" t="s">
        <v>190</v>
      </c>
      <c r="O104" s="14" t="s">
        <v>1996</v>
      </c>
      <c r="P104" s="14" t="s">
        <v>1937</v>
      </c>
      <c r="Q104" s="14" t="s">
        <v>2325</v>
      </c>
      <c r="R104" s="14" t="s">
        <v>1927</v>
      </c>
      <c r="S104" s="14"/>
      <c r="T104" s="14"/>
    </row>
    <row r="105" ht="13.5" customHeight="1" spans="1:20">
      <c r="A105" s="13" t="s">
        <v>2326</v>
      </c>
      <c r="B105" s="13" t="s">
        <v>1439</v>
      </c>
      <c r="C105" s="13" t="s">
        <v>1999</v>
      </c>
      <c r="D105" s="13" t="s">
        <v>2327</v>
      </c>
      <c r="E105" s="13" t="s">
        <v>2328</v>
      </c>
      <c r="F105" s="13" t="s">
        <v>1931</v>
      </c>
      <c r="G105" s="13" t="s">
        <v>1941</v>
      </c>
      <c r="H105" s="13" t="s">
        <v>1947</v>
      </c>
      <c r="I105" s="13" t="s">
        <v>1977</v>
      </c>
      <c r="J105" s="13" t="s">
        <v>2329</v>
      </c>
      <c r="K105" s="14">
        <v>1</v>
      </c>
      <c r="L105" s="13" t="s">
        <v>1439</v>
      </c>
      <c r="M105" s="13" t="s">
        <v>2326</v>
      </c>
      <c r="N105" s="13" t="s">
        <v>190</v>
      </c>
      <c r="O105" s="14" t="s">
        <v>2028</v>
      </c>
      <c r="P105" s="14" t="s">
        <v>1949</v>
      </c>
      <c r="Q105" s="14"/>
      <c r="R105" s="14" t="s">
        <v>1939</v>
      </c>
      <c r="S105" s="14"/>
      <c r="T105" s="14"/>
    </row>
    <row r="106" ht="13.5" customHeight="1" spans="1:20">
      <c r="A106" s="13" t="s">
        <v>2330</v>
      </c>
      <c r="B106" s="13" t="s">
        <v>1442</v>
      </c>
      <c r="C106" s="13" t="s">
        <v>1999</v>
      </c>
      <c r="D106" s="13" t="s">
        <v>2082</v>
      </c>
      <c r="E106" s="13" t="s">
        <v>2275</v>
      </c>
      <c r="F106" s="13" t="s">
        <v>1931</v>
      </c>
      <c r="G106" s="13" t="s">
        <v>1941</v>
      </c>
      <c r="H106" s="13" t="s">
        <v>2331</v>
      </c>
      <c r="I106" s="13" t="s">
        <v>1923</v>
      </c>
      <c r="J106" s="13" t="s">
        <v>2332</v>
      </c>
      <c r="K106" s="14">
        <v>1</v>
      </c>
      <c r="L106" s="13" t="s">
        <v>1442</v>
      </c>
      <c r="M106" s="13" t="s">
        <v>2330</v>
      </c>
      <c r="N106" s="13" t="s">
        <v>190</v>
      </c>
      <c r="O106" s="14" t="s">
        <v>1996</v>
      </c>
      <c r="P106" s="14" t="s">
        <v>1937</v>
      </c>
      <c r="Q106" s="14" t="s">
        <v>2333</v>
      </c>
      <c r="R106" s="14" t="s">
        <v>1927</v>
      </c>
      <c r="S106" s="14"/>
      <c r="T106" s="14"/>
    </row>
    <row r="107" ht="13.5" customHeight="1" spans="1:20">
      <c r="A107" s="13" t="s">
        <v>2334</v>
      </c>
      <c r="B107" s="13" t="s">
        <v>1444</v>
      </c>
      <c r="C107" s="13" t="s">
        <v>1999</v>
      </c>
      <c r="D107" s="13" t="s">
        <v>2082</v>
      </c>
      <c r="E107" s="13" t="s">
        <v>2328</v>
      </c>
      <c r="F107" s="13" t="s">
        <v>1931</v>
      </c>
      <c r="G107" s="13" t="s">
        <v>1946</v>
      </c>
      <c r="H107" s="13" t="s">
        <v>1947</v>
      </c>
      <c r="I107" s="13" t="s">
        <v>1923</v>
      </c>
      <c r="J107" s="13" t="s">
        <v>2335</v>
      </c>
      <c r="K107" s="14">
        <v>1</v>
      </c>
      <c r="L107" s="13" t="s">
        <v>1444</v>
      </c>
      <c r="M107" s="13" t="s">
        <v>2334</v>
      </c>
      <c r="N107" s="13" t="s">
        <v>190</v>
      </c>
      <c r="O107" s="14" t="s">
        <v>2028</v>
      </c>
      <c r="P107" s="14" t="s">
        <v>1949</v>
      </c>
      <c r="Q107" s="14"/>
      <c r="R107" s="14" t="s">
        <v>1927</v>
      </c>
      <c r="S107" s="14"/>
      <c r="T107" s="14"/>
    </row>
    <row r="108" ht="13.5" customHeight="1" spans="1:20">
      <c r="A108" s="13" t="s">
        <v>2336</v>
      </c>
      <c r="B108" s="13" t="s">
        <v>1452</v>
      </c>
      <c r="C108" s="13" t="s">
        <v>1999</v>
      </c>
      <c r="D108" s="13" t="s">
        <v>2082</v>
      </c>
      <c r="E108" s="13" t="s">
        <v>2249</v>
      </c>
      <c r="F108" s="13" t="s">
        <v>1931</v>
      </c>
      <c r="G108" s="13" t="s">
        <v>2056</v>
      </c>
      <c r="H108" s="13" t="s">
        <v>2337</v>
      </c>
      <c r="I108" s="13" t="s">
        <v>2010</v>
      </c>
      <c r="J108" s="13" t="s">
        <v>2338</v>
      </c>
      <c r="K108" s="14">
        <v>1</v>
      </c>
      <c r="L108" s="13" t="s">
        <v>1452</v>
      </c>
      <c r="M108" s="13" t="s">
        <v>2336</v>
      </c>
      <c r="N108" s="13" t="s">
        <v>190</v>
      </c>
      <c r="O108" s="14" t="s">
        <v>2049</v>
      </c>
      <c r="P108" s="14" t="s">
        <v>1937</v>
      </c>
      <c r="Q108" s="14" t="s">
        <v>2339</v>
      </c>
      <c r="R108" s="14" t="s">
        <v>1927</v>
      </c>
      <c r="S108" s="14"/>
      <c r="T108" s="14"/>
    </row>
    <row r="109" ht="13.5" customHeight="1" spans="1:20">
      <c r="A109" s="13" t="s">
        <v>2340</v>
      </c>
      <c r="B109" s="13" t="s">
        <v>1460</v>
      </c>
      <c r="C109" s="13" t="s">
        <v>1999</v>
      </c>
      <c r="D109" s="13" t="s">
        <v>2082</v>
      </c>
      <c r="E109" s="13" t="s">
        <v>2261</v>
      </c>
      <c r="F109" s="13" t="s">
        <v>1931</v>
      </c>
      <c r="G109" s="13" t="s">
        <v>1941</v>
      </c>
      <c r="H109" s="13" t="s">
        <v>2341</v>
      </c>
      <c r="I109" s="13" t="s">
        <v>1934</v>
      </c>
      <c r="J109" s="13" t="s">
        <v>2342</v>
      </c>
      <c r="K109" s="14">
        <v>1</v>
      </c>
      <c r="L109" s="13" t="s">
        <v>1460</v>
      </c>
      <c r="M109" s="13" t="s">
        <v>2340</v>
      </c>
      <c r="N109" s="13" t="s">
        <v>190</v>
      </c>
      <c r="O109" s="14" t="s">
        <v>1936</v>
      </c>
      <c r="P109" s="14" t="s">
        <v>1937</v>
      </c>
      <c r="Q109" s="14" t="s">
        <v>2343</v>
      </c>
      <c r="R109" s="14" t="s">
        <v>1939</v>
      </c>
      <c r="S109" s="14"/>
      <c r="T109" s="14"/>
    </row>
    <row r="110" ht="13.5" customHeight="1" spans="1:20">
      <c r="A110" s="13" t="s">
        <v>2344</v>
      </c>
      <c r="B110" s="13" t="s">
        <v>1461</v>
      </c>
      <c r="C110" s="13" t="s">
        <v>1999</v>
      </c>
      <c r="D110" s="13" t="s">
        <v>2082</v>
      </c>
      <c r="E110" s="13" t="s">
        <v>2328</v>
      </c>
      <c r="F110" s="13" t="s">
        <v>1931</v>
      </c>
      <c r="G110" s="13" t="s">
        <v>1932</v>
      </c>
      <c r="H110" s="13" t="s">
        <v>2345</v>
      </c>
      <c r="I110" s="13" t="s">
        <v>2346</v>
      </c>
      <c r="J110" s="13" t="s">
        <v>2347</v>
      </c>
      <c r="K110" s="14">
        <v>1</v>
      </c>
      <c r="L110" s="13" t="s">
        <v>1461</v>
      </c>
      <c r="M110" s="13" t="s">
        <v>2344</v>
      </c>
      <c r="N110" s="13" t="s">
        <v>190</v>
      </c>
      <c r="O110" s="14" t="s">
        <v>2028</v>
      </c>
      <c r="P110" s="14" t="s">
        <v>2095</v>
      </c>
      <c r="Q110" s="14" t="s">
        <v>2348</v>
      </c>
      <c r="R110" s="14" t="s">
        <v>1927</v>
      </c>
      <c r="S110" s="14"/>
      <c r="T110" s="14"/>
    </row>
    <row r="111" ht="13.5" customHeight="1" spans="1:20">
      <c r="A111" s="13" t="s">
        <v>1255</v>
      </c>
      <c r="B111" s="13" t="s">
        <v>1253</v>
      </c>
      <c r="C111" s="13" t="s">
        <v>1999</v>
      </c>
      <c r="D111" s="13" t="s">
        <v>2089</v>
      </c>
      <c r="E111" s="13" t="s">
        <v>2246</v>
      </c>
      <c r="F111" s="13" t="s">
        <v>1931</v>
      </c>
      <c r="G111" s="13" t="s">
        <v>1921</v>
      </c>
      <c r="H111" s="13" t="s">
        <v>2349</v>
      </c>
      <c r="I111" s="13" t="s">
        <v>1923</v>
      </c>
      <c r="J111" s="13" t="s">
        <v>2350</v>
      </c>
      <c r="K111" s="14">
        <v>1</v>
      </c>
      <c r="L111" s="13" t="s">
        <v>1253</v>
      </c>
      <c r="M111" s="13" t="s">
        <v>1255</v>
      </c>
      <c r="N111" s="13" t="s">
        <v>190</v>
      </c>
      <c r="O111" s="14" t="s">
        <v>1989</v>
      </c>
      <c r="P111" s="14" t="s">
        <v>1937</v>
      </c>
      <c r="Q111" s="14" t="s">
        <v>2351</v>
      </c>
      <c r="R111" s="14" t="s">
        <v>1927</v>
      </c>
      <c r="S111" s="14"/>
      <c r="T111" s="14"/>
    </row>
    <row r="112" ht="13.5" customHeight="1" spans="1:20">
      <c r="A112" s="13" t="s">
        <v>2352</v>
      </c>
      <c r="B112" s="13" t="s">
        <v>1469</v>
      </c>
      <c r="C112" s="13" t="s">
        <v>1999</v>
      </c>
      <c r="D112" s="13" t="s">
        <v>2089</v>
      </c>
      <c r="E112" s="13" t="s">
        <v>2252</v>
      </c>
      <c r="F112" s="13" t="s">
        <v>1931</v>
      </c>
      <c r="G112" s="13" t="s">
        <v>1941</v>
      </c>
      <c r="H112" s="13" t="s">
        <v>1922</v>
      </c>
      <c r="I112" s="13" t="s">
        <v>1934</v>
      </c>
      <c r="J112" s="13" t="s">
        <v>2353</v>
      </c>
      <c r="K112" s="14">
        <v>1</v>
      </c>
      <c r="L112" s="13" t="s">
        <v>1469</v>
      </c>
      <c r="M112" s="13" t="s">
        <v>2352</v>
      </c>
      <c r="N112" s="13" t="s">
        <v>190</v>
      </c>
      <c r="O112" s="14" t="s">
        <v>1925</v>
      </c>
      <c r="P112" s="14" t="s">
        <v>1926</v>
      </c>
      <c r="Q112" s="14"/>
      <c r="R112" s="14" t="s">
        <v>1939</v>
      </c>
      <c r="S112" s="14"/>
      <c r="T112" s="14"/>
    </row>
    <row r="113" ht="13.5" customHeight="1" spans="1:20">
      <c r="A113" s="13" t="s">
        <v>2354</v>
      </c>
      <c r="B113" s="13" t="s">
        <v>1471</v>
      </c>
      <c r="C113" s="13" t="s">
        <v>1999</v>
      </c>
      <c r="D113" s="13" t="s">
        <v>2089</v>
      </c>
      <c r="E113" s="13" t="s">
        <v>2249</v>
      </c>
      <c r="F113" s="13" t="s">
        <v>1931</v>
      </c>
      <c r="G113" s="13" t="s">
        <v>1941</v>
      </c>
      <c r="H113" s="13" t="s">
        <v>2355</v>
      </c>
      <c r="I113" s="13" t="s">
        <v>1923</v>
      </c>
      <c r="J113" s="13" t="s">
        <v>2356</v>
      </c>
      <c r="K113" s="14">
        <v>1</v>
      </c>
      <c r="L113" s="13" t="s">
        <v>1471</v>
      </c>
      <c r="M113" s="13" t="s">
        <v>2354</v>
      </c>
      <c r="N113" s="13" t="s">
        <v>190</v>
      </c>
      <c r="O113" s="14" t="s">
        <v>2049</v>
      </c>
      <c r="P113" s="14" t="s">
        <v>1937</v>
      </c>
      <c r="Q113" s="14" t="s">
        <v>2357</v>
      </c>
      <c r="R113" s="14" t="s">
        <v>1927</v>
      </c>
      <c r="S113" s="14"/>
      <c r="T113" s="14"/>
    </row>
    <row r="114" ht="13.5" customHeight="1" spans="1:20">
      <c r="A114" s="13" t="s">
        <v>2358</v>
      </c>
      <c r="B114" s="13" t="s">
        <v>1472</v>
      </c>
      <c r="C114" s="13" t="s">
        <v>1999</v>
      </c>
      <c r="D114" s="13" t="s">
        <v>2089</v>
      </c>
      <c r="E114" s="13" t="s">
        <v>2246</v>
      </c>
      <c r="F114" s="13" t="s">
        <v>1931</v>
      </c>
      <c r="G114" s="13" t="s">
        <v>1921</v>
      </c>
      <c r="H114" s="13" t="s">
        <v>2359</v>
      </c>
      <c r="I114" s="13" t="s">
        <v>1957</v>
      </c>
      <c r="J114" s="13" t="s">
        <v>2360</v>
      </c>
      <c r="K114" s="14">
        <v>1</v>
      </c>
      <c r="L114" s="13" t="s">
        <v>1472</v>
      </c>
      <c r="M114" s="13" t="s">
        <v>2358</v>
      </c>
      <c r="N114" s="13" t="s">
        <v>190</v>
      </c>
      <c r="O114" s="14" t="s">
        <v>1989</v>
      </c>
      <c r="P114" s="14" t="s">
        <v>1937</v>
      </c>
      <c r="Q114" s="14" t="s">
        <v>2361</v>
      </c>
      <c r="R114" s="14" t="s">
        <v>1939</v>
      </c>
      <c r="S114" s="14"/>
      <c r="T114" s="14"/>
    </row>
    <row r="115" ht="13.5" customHeight="1" spans="1:20">
      <c r="A115" s="13" t="s">
        <v>2362</v>
      </c>
      <c r="B115" s="13" t="s">
        <v>1480</v>
      </c>
      <c r="C115" s="13" t="s">
        <v>1999</v>
      </c>
      <c r="D115" s="13" t="s">
        <v>2363</v>
      </c>
      <c r="E115" s="13" t="s">
        <v>2364</v>
      </c>
      <c r="F115" s="13" t="s">
        <v>1931</v>
      </c>
      <c r="G115" s="13" t="s">
        <v>1946</v>
      </c>
      <c r="H115" s="13" t="s">
        <v>1947</v>
      </c>
      <c r="I115" s="13" t="s">
        <v>1987</v>
      </c>
      <c r="J115" s="13" t="s">
        <v>2365</v>
      </c>
      <c r="K115" s="14">
        <v>1</v>
      </c>
      <c r="L115" s="13" t="s">
        <v>1480</v>
      </c>
      <c r="M115" s="13" t="s">
        <v>2362</v>
      </c>
      <c r="N115" s="13" t="s">
        <v>190</v>
      </c>
      <c r="O115" s="14" t="s">
        <v>2073</v>
      </c>
      <c r="P115" s="14" t="s">
        <v>1949</v>
      </c>
      <c r="Q115" s="14"/>
      <c r="R115" s="14" t="s">
        <v>1927</v>
      </c>
      <c r="S115" s="14"/>
      <c r="T115" s="14"/>
    </row>
    <row r="116" ht="13.5" customHeight="1" spans="1:20">
      <c r="A116" s="13" t="s">
        <v>2366</v>
      </c>
      <c r="B116" s="13" t="s">
        <v>1484</v>
      </c>
      <c r="C116" s="13" t="s">
        <v>1999</v>
      </c>
      <c r="D116" s="13" t="s">
        <v>2367</v>
      </c>
      <c r="E116" s="13" t="s">
        <v>2292</v>
      </c>
      <c r="F116" s="13" t="s">
        <v>1931</v>
      </c>
      <c r="G116" s="13" t="s">
        <v>1932</v>
      </c>
      <c r="H116" s="13" t="s">
        <v>1922</v>
      </c>
      <c r="I116" s="13" t="s">
        <v>1977</v>
      </c>
      <c r="J116" s="13" t="s">
        <v>2368</v>
      </c>
      <c r="K116" s="14">
        <v>1</v>
      </c>
      <c r="L116" s="13" t="s">
        <v>1484</v>
      </c>
      <c r="M116" s="13" t="s">
        <v>2366</v>
      </c>
      <c r="N116" s="13" t="s">
        <v>190</v>
      </c>
      <c r="O116" s="14" t="s">
        <v>1974</v>
      </c>
      <c r="P116" s="14" t="s">
        <v>1926</v>
      </c>
      <c r="Q116" s="14"/>
      <c r="R116" s="14" t="s">
        <v>1939</v>
      </c>
      <c r="S116" s="14"/>
      <c r="T116" s="14"/>
    </row>
    <row r="117" ht="13.5" customHeight="1" spans="1:20">
      <c r="A117" s="13" t="s">
        <v>2369</v>
      </c>
      <c r="B117" s="13" t="s">
        <v>1488</v>
      </c>
      <c r="C117" s="13" t="s">
        <v>1999</v>
      </c>
      <c r="D117" s="13" t="s">
        <v>2370</v>
      </c>
      <c r="E117" s="13" t="s">
        <v>2328</v>
      </c>
      <c r="F117" s="13" t="s">
        <v>1931</v>
      </c>
      <c r="G117" s="13" t="s">
        <v>1941</v>
      </c>
      <c r="H117" s="13" t="s">
        <v>1947</v>
      </c>
      <c r="I117" s="13" t="s">
        <v>2143</v>
      </c>
      <c r="J117" s="13" t="s">
        <v>2371</v>
      </c>
      <c r="K117" s="14">
        <v>1</v>
      </c>
      <c r="L117" s="13" t="s">
        <v>1488</v>
      </c>
      <c r="M117" s="13" t="s">
        <v>2369</v>
      </c>
      <c r="N117" s="13" t="s">
        <v>190</v>
      </c>
      <c r="O117" s="14" t="s">
        <v>2028</v>
      </c>
      <c r="P117" s="14" t="s">
        <v>1949</v>
      </c>
      <c r="Q117" s="14"/>
      <c r="R117" s="14" t="s">
        <v>1939</v>
      </c>
      <c r="S117" s="14"/>
      <c r="T117" s="14"/>
    </row>
    <row r="118" ht="13.5" customHeight="1" spans="1:20">
      <c r="A118" s="13" t="s">
        <v>2372</v>
      </c>
      <c r="B118" s="13" t="s">
        <v>1496</v>
      </c>
      <c r="C118" s="13" t="s">
        <v>1999</v>
      </c>
      <c r="D118" s="13" t="s">
        <v>2373</v>
      </c>
      <c r="E118" s="13" t="s">
        <v>2328</v>
      </c>
      <c r="F118" s="13" t="s">
        <v>1931</v>
      </c>
      <c r="G118" s="13" t="s">
        <v>1941</v>
      </c>
      <c r="H118" s="13" t="s">
        <v>2374</v>
      </c>
      <c r="I118" s="13" t="s">
        <v>1923</v>
      </c>
      <c r="J118" s="13" t="s">
        <v>2375</v>
      </c>
      <c r="K118" s="14">
        <v>1</v>
      </c>
      <c r="L118" s="13" t="s">
        <v>1496</v>
      </c>
      <c r="M118" s="13" t="s">
        <v>2372</v>
      </c>
      <c r="N118" s="13" t="s">
        <v>190</v>
      </c>
      <c r="O118" s="14" t="s">
        <v>2028</v>
      </c>
      <c r="P118" s="14" t="s">
        <v>1937</v>
      </c>
      <c r="Q118" s="14" t="s">
        <v>2376</v>
      </c>
      <c r="R118" s="14" t="s">
        <v>1927</v>
      </c>
      <c r="S118" s="14"/>
      <c r="T118" s="14"/>
    </row>
    <row r="119" ht="13.5" customHeight="1" spans="1:20">
      <c r="A119" s="13" t="s">
        <v>2377</v>
      </c>
      <c r="B119" s="13" t="s">
        <v>1498</v>
      </c>
      <c r="C119" s="13" t="s">
        <v>1999</v>
      </c>
      <c r="D119" s="13" t="s">
        <v>2378</v>
      </c>
      <c r="E119" s="13" t="s">
        <v>2252</v>
      </c>
      <c r="F119" s="13" t="s">
        <v>1931</v>
      </c>
      <c r="G119" s="13" t="s">
        <v>2056</v>
      </c>
      <c r="H119" s="13" t="s">
        <v>2379</v>
      </c>
      <c r="I119" s="13" t="s">
        <v>2010</v>
      </c>
      <c r="J119" s="13" t="s">
        <v>2380</v>
      </c>
      <c r="K119" s="14">
        <v>1</v>
      </c>
      <c r="L119" s="13" t="s">
        <v>1498</v>
      </c>
      <c r="M119" s="13" t="s">
        <v>2377</v>
      </c>
      <c r="N119" s="13" t="s">
        <v>190</v>
      </c>
      <c r="O119" s="14" t="s">
        <v>1925</v>
      </c>
      <c r="P119" s="14" t="s">
        <v>1937</v>
      </c>
      <c r="Q119" s="14" t="s">
        <v>2381</v>
      </c>
      <c r="R119" s="14" t="s">
        <v>1927</v>
      </c>
      <c r="S119" s="14"/>
      <c r="T119" s="14"/>
    </row>
    <row r="120" ht="13.5" customHeight="1" spans="1:20">
      <c r="A120" s="13" t="s">
        <v>2382</v>
      </c>
      <c r="B120" s="13" t="s">
        <v>1501</v>
      </c>
      <c r="C120" s="13" t="s">
        <v>1999</v>
      </c>
      <c r="D120" s="13" t="s">
        <v>2383</v>
      </c>
      <c r="E120" s="13" t="s">
        <v>2246</v>
      </c>
      <c r="F120" s="13" t="s">
        <v>1931</v>
      </c>
      <c r="G120" s="13" t="s">
        <v>1921</v>
      </c>
      <c r="H120" s="13" t="s">
        <v>2384</v>
      </c>
      <c r="I120" s="13" t="s">
        <v>1987</v>
      </c>
      <c r="J120" s="13" t="s">
        <v>2385</v>
      </c>
      <c r="K120" s="14">
        <v>1</v>
      </c>
      <c r="L120" s="13" t="s">
        <v>1501</v>
      </c>
      <c r="M120" s="13" t="s">
        <v>2382</v>
      </c>
      <c r="N120" s="13" t="s">
        <v>190</v>
      </c>
      <c r="O120" s="14" t="s">
        <v>1989</v>
      </c>
      <c r="P120" s="14" t="s">
        <v>1937</v>
      </c>
      <c r="Q120" s="14" t="s">
        <v>2386</v>
      </c>
      <c r="R120" s="14" t="s">
        <v>1927</v>
      </c>
      <c r="S120" s="14"/>
      <c r="T120" s="14"/>
    </row>
    <row r="121" ht="13.5" customHeight="1" spans="1:20">
      <c r="A121" s="13" t="s">
        <v>2387</v>
      </c>
      <c r="B121" s="13" t="s">
        <v>1503</v>
      </c>
      <c r="C121" s="13" t="s">
        <v>1999</v>
      </c>
      <c r="D121" s="13" t="s">
        <v>2112</v>
      </c>
      <c r="E121" s="13" t="s">
        <v>2388</v>
      </c>
      <c r="F121" s="13" t="s">
        <v>1931</v>
      </c>
      <c r="G121" s="13" t="s">
        <v>2056</v>
      </c>
      <c r="H121" s="13" t="s">
        <v>1947</v>
      </c>
      <c r="I121" s="13" t="s">
        <v>1934</v>
      </c>
      <c r="J121" s="13" t="s">
        <v>2389</v>
      </c>
      <c r="K121" s="14">
        <v>1</v>
      </c>
      <c r="L121" s="13" t="s">
        <v>1503</v>
      </c>
      <c r="M121" s="13" t="s">
        <v>2387</v>
      </c>
      <c r="N121" s="13" t="s">
        <v>190</v>
      </c>
      <c r="O121" s="14" t="s">
        <v>1969</v>
      </c>
      <c r="P121" s="14" t="s">
        <v>1949</v>
      </c>
      <c r="Q121" s="14"/>
      <c r="R121" s="14" t="s">
        <v>1939</v>
      </c>
      <c r="S121" s="14"/>
      <c r="T121" s="14"/>
    </row>
    <row r="122" ht="13.5" customHeight="1" spans="1:20">
      <c r="A122" s="13" t="s">
        <v>2390</v>
      </c>
      <c r="B122" s="13" t="s">
        <v>1514</v>
      </c>
      <c r="C122" s="13" t="s">
        <v>1999</v>
      </c>
      <c r="D122" s="13" t="s">
        <v>2118</v>
      </c>
      <c r="E122" s="13" t="s">
        <v>2328</v>
      </c>
      <c r="F122" s="13" t="s">
        <v>1931</v>
      </c>
      <c r="G122" s="13" t="s">
        <v>1941</v>
      </c>
      <c r="H122" s="13" t="s">
        <v>2039</v>
      </c>
      <c r="I122" s="13" t="s">
        <v>1923</v>
      </c>
      <c r="J122" s="13" t="s">
        <v>2391</v>
      </c>
      <c r="K122" s="14">
        <v>1</v>
      </c>
      <c r="L122" s="13" t="s">
        <v>1514</v>
      </c>
      <c r="M122" s="13" t="s">
        <v>2390</v>
      </c>
      <c r="N122" s="13" t="s">
        <v>190</v>
      </c>
      <c r="O122" s="14" t="s">
        <v>2028</v>
      </c>
      <c r="P122" s="14" t="s">
        <v>1949</v>
      </c>
      <c r="Q122" s="14"/>
      <c r="R122" s="14" t="s">
        <v>1927</v>
      </c>
      <c r="S122" s="14"/>
      <c r="T122" s="14"/>
    </row>
    <row r="123" ht="13.5" customHeight="1" spans="1:20">
      <c r="A123" s="13" t="s">
        <v>2392</v>
      </c>
      <c r="B123" s="13" t="s">
        <v>1520</v>
      </c>
      <c r="C123" s="13" t="s">
        <v>1999</v>
      </c>
      <c r="D123" s="13" t="s">
        <v>2123</v>
      </c>
      <c r="E123" s="13" t="s">
        <v>2364</v>
      </c>
      <c r="F123" s="13" t="s">
        <v>1977</v>
      </c>
      <c r="G123" s="13" t="s">
        <v>1932</v>
      </c>
      <c r="H123" s="13" t="s">
        <v>2393</v>
      </c>
      <c r="I123" s="13" t="s">
        <v>2394</v>
      </c>
      <c r="J123" s="13" t="s">
        <v>2395</v>
      </c>
      <c r="K123" s="14">
        <v>1</v>
      </c>
      <c r="L123" s="13" t="s">
        <v>1520</v>
      </c>
      <c r="M123" s="13" t="s">
        <v>2392</v>
      </c>
      <c r="N123" s="13" t="s">
        <v>190</v>
      </c>
      <c r="O123" s="14" t="s">
        <v>2073</v>
      </c>
      <c r="P123" s="14" t="s">
        <v>1937</v>
      </c>
      <c r="Q123" s="14" t="s">
        <v>2396</v>
      </c>
      <c r="R123" s="14" t="s">
        <v>1939</v>
      </c>
      <c r="S123" s="14"/>
      <c r="T123" s="14"/>
    </row>
    <row r="124" ht="13.5" customHeight="1" spans="1:20">
      <c r="A124" s="13" t="s">
        <v>2397</v>
      </c>
      <c r="B124" s="13" t="s">
        <v>1532</v>
      </c>
      <c r="C124" s="13" t="s">
        <v>1999</v>
      </c>
      <c r="D124" s="13" t="s">
        <v>2137</v>
      </c>
      <c r="E124" s="13" t="s">
        <v>2398</v>
      </c>
      <c r="F124" s="13" t="s">
        <v>1931</v>
      </c>
      <c r="G124" s="13" t="s">
        <v>1932</v>
      </c>
      <c r="H124" s="13" t="s">
        <v>2138</v>
      </c>
      <c r="I124" s="13" t="s">
        <v>2139</v>
      </c>
      <c r="J124" s="13" t="s">
        <v>2399</v>
      </c>
      <c r="K124" s="14">
        <v>1</v>
      </c>
      <c r="L124" s="13" t="s">
        <v>1532</v>
      </c>
      <c r="M124" s="13" t="s">
        <v>2397</v>
      </c>
      <c r="N124" s="13" t="s">
        <v>190</v>
      </c>
      <c r="O124" s="14" t="s">
        <v>2400</v>
      </c>
      <c r="P124" s="14" t="s">
        <v>1937</v>
      </c>
      <c r="Q124" s="14" t="s">
        <v>2141</v>
      </c>
      <c r="R124" s="14" t="s">
        <v>1939</v>
      </c>
      <c r="S124" s="14"/>
      <c r="T124" s="14"/>
    </row>
    <row r="125" ht="13.5" customHeight="1" spans="1:20">
      <c r="A125" s="13" t="s">
        <v>2401</v>
      </c>
      <c r="B125" s="13" t="s">
        <v>1533</v>
      </c>
      <c r="C125" s="13" t="s">
        <v>1999</v>
      </c>
      <c r="D125" s="13" t="s">
        <v>2137</v>
      </c>
      <c r="E125" s="13" t="s">
        <v>2402</v>
      </c>
      <c r="F125" s="13" t="s">
        <v>1931</v>
      </c>
      <c r="G125" s="13" t="s">
        <v>1921</v>
      </c>
      <c r="H125" s="13" t="s">
        <v>2403</v>
      </c>
      <c r="I125" s="13" t="s">
        <v>1934</v>
      </c>
      <c r="J125" s="13" t="s">
        <v>2404</v>
      </c>
      <c r="K125" s="14">
        <v>1</v>
      </c>
      <c r="L125" s="13" t="s">
        <v>1533</v>
      </c>
      <c r="M125" s="13" t="s">
        <v>2401</v>
      </c>
      <c r="N125" s="13" t="s">
        <v>190</v>
      </c>
      <c r="O125" s="14" t="s">
        <v>2086</v>
      </c>
      <c r="P125" s="14" t="s">
        <v>1937</v>
      </c>
      <c r="Q125" s="14" t="s">
        <v>2405</v>
      </c>
      <c r="R125" s="14" t="s">
        <v>1939</v>
      </c>
      <c r="S125" s="14"/>
      <c r="T125" s="14"/>
    </row>
    <row r="126" ht="13.5" customHeight="1" spans="1:20">
      <c r="A126" s="13" t="s">
        <v>2406</v>
      </c>
      <c r="B126" s="13" t="s">
        <v>1547</v>
      </c>
      <c r="C126" s="13" t="s">
        <v>1999</v>
      </c>
      <c r="D126" s="13" t="s">
        <v>2152</v>
      </c>
      <c r="E126" s="13" t="s">
        <v>2252</v>
      </c>
      <c r="F126" s="13" t="s">
        <v>1931</v>
      </c>
      <c r="G126" s="13" t="s">
        <v>1941</v>
      </c>
      <c r="H126" s="13" t="s">
        <v>2407</v>
      </c>
      <c r="I126" s="13" t="s">
        <v>1923</v>
      </c>
      <c r="J126" s="13" t="s">
        <v>2408</v>
      </c>
      <c r="K126" s="14">
        <v>1</v>
      </c>
      <c r="L126" s="13" t="s">
        <v>1547</v>
      </c>
      <c r="M126" s="13" t="s">
        <v>2406</v>
      </c>
      <c r="N126" s="13" t="s">
        <v>190</v>
      </c>
      <c r="O126" s="14" t="s">
        <v>1925</v>
      </c>
      <c r="P126" s="14" t="s">
        <v>1937</v>
      </c>
      <c r="Q126" s="14" t="s">
        <v>2409</v>
      </c>
      <c r="R126" s="14" t="s">
        <v>1927</v>
      </c>
      <c r="S126" s="14"/>
      <c r="T126" s="14"/>
    </row>
    <row r="127" ht="13.5" customHeight="1" spans="1:20">
      <c r="A127" s="13" t="s">
        <v>2410</v>
      </c>
      <c r="B127" s="13" t="s">
        <v>1552</v>
      </c>
      <c r="C127" s="13" t="s">
        <v>1999</v>
      </c>
      <c r="D127" s="13" t="s">
        <v>2411</v>
      </c>
      <c r="E127" s="13" t="s">
        <v>2252</v>
      </c>
      <c r="F127" s="13" t="s">
        <v>1920</v>
      </c>
      <c r="G127" s="13" t="s">
        <v>2056</v>
      </c>
      <c r="H127" s="13" t="s">
        <v>1947</v>
      </c>
      <c r="I127" s="13" t="s">
        <v>2010</v>
      </c>
      <c r="J127" s="13" t="s">
        <v>2412</v>
      </c>
      <c r="K127" s="14">
        <v>1</v>
      </c>
      <c r="L127" s="13" t="s">
        <v>1552</v>
      </c>
      <c r="M127" s="13" t="s">
        <v>2410</v>
      </c>
      <c r="N127" s="13" t="s">
        <v>190</v>
      </c>
      <c r="O127" s="14" t="s">
        <v>1925</v>
      </c>
      <c r="P127" s="14" t="s">
        <v>1949</v>
      </c>
      <c r="Q127" s="14"/>
      <c r="R127" s="14" t="s">
        <v>1927</v>
      </c>
      <c r="S127" s="14"/>
      <c r="T127" s="14"/>
    </row>
    <row r="128" ht="13.5" customHeight="1" spans="1:20">
      <c r="A128" s="13" t="s">
        <v>2413</v>
      </c>
      <c r="B128" s="13" t="s">
        <v>1558</v>
      </c>
      <c r="C128" s="13" t="s">
        <v>1999</v>
      </c>
      <c r="D128" s="13" t="s">
        <v>245</v>
      </c>
      <c r="E128" s="13" t="s">
        <v>2261</v>
      </c>
      <c r="F128" s="13" t="s">
        <v>1920</v>
      </c>
      <c r="G128" s="13" t="s">
        <v>1921</v>
      </c>
      <c r="H128" s="13" t="s">
        <v>1922</v>
      </c>
      <c r="I128" s="13" t="s">
        <v>1923</v>
      </c>
      <c r="J128" s="13" t="s">
        <v>2414</v>
      </c>
      <c r="K128" s="14">
        <v>1</v>
      </c>
      <c r="L128" s="13" t="s">
        <v>1558</v>
      </c>
      <c r="M128" s="13" t="s">
        <v>2413</v>
      </c>
      <c r="N128" s="13" t="s">
        <v>190</v>
      </c>
      <c r="O128" s="14" t="s">
        <v>1936</v>
      </c>
      <c r="P128" s="14" t="s">
        <v>1926</v>
      </c>
      <c r="Q128" s="14"/>
      <c r="R128" s="14" t="s">
        <v>1927</v>
      </c>
      <c r="S128" s="14"/>
      <c r="T128" s="14"/>
    </row>
    <row r="129" ht="13.5" customHeight="1" spans="1:20">
      <c r="A129" s="13" t="s">
        <v>2415</v>
      </c>
      <c r="B129" s="13" t="s">
        <v>1565</v>
      </c>
      <c r="C129" s="13" t="s">
        <v>1999</v>
      </c>
      <c r="D129" s="13" t="s">
        <v>245</v>
      </c>
      <c r="E129" s="13" t="s">
        <v>2275</v>
      </c>
      <c r="F129" s="13" t="s">
        <v>2143</v>
      </c>
      <c r="G129" s="13" t="s">
        <v>1932</v>
      </c>
      <c r="H129" s="13" t="s">
        <v>1947</v>
      </c>
      <c r="I129" s="13" t="s">
        <v>1934</v>
      </c>
      <c r="J129" s="13" t="s">
        <v>2416</v>
      </c>
      <c r="K129" s="14">
        <v>1</v>
      </c>
      <c r="L129" s="13" t="s">
        <v>1565</v>
      </c>
      <c r="M129" s="13" t="s">
        <v>2415</v>
      </c>
      <c r="N129" s="13" t="s">
        <v>190</v>
      </c>
      <c r="O129" s="14" t="s">
        <v>1996</v>
      </c>
      <c r="P129" s="14" t="s">
        <v>1949</v>
      </c>
      <c r="Q129" s="14"/>
      <c r="R129" s="14" t="s">
        <v>1939</v>
      </c>
      <c r="S129" s="14"/>
      <c r="T129" s="14"/>
    </row>
    <row r="130" ht="13.5" customHeight="1" spans="1:20">
      <c r="A130" s="13" t="s">
        <v>2417</v>
      </c>
      <c r="B130" s="13" t="s">
        <v>1577</v>
      </c>
      <c r="C130" s="13" t="s">
        <v>1999</v>
      </c>
      <c r="D130" s="13" t="s">
        <v>1955</v>
      </c>
      <c r="E130" s="13" t="s">
        <v>2388</v>
      </c>
      <c r="F130" s="13" t="s">
        <v>1931</v>
      </c>
      <c r="G130" s="13" t="s">
        <v>1932</v>
      </c>
      <c r="H130" s="13" t="s">
        <v>2418</v>
      </c>
      <c r="I130" s="13" t="s">
        <v>1979</v>
      </c>
      <c r="J130" s="13" t="s">
        <v>2419</v>
      </c>
      <c r="K130" s="14">
        <v>1</v>
      </c>
      <c r="L130" s="13" t="s">
        <v>1577</v>
      </c>
      <c r="M130" s="13" t="s">
        <v>2417</v>
      </c>
      <c r="N130" s="13" t="s">
        <v>190</v>
      </c>
      <c r="O130" s="14" t="s">
        <v>1969</v>
      </c>
      <c r="P130" s="14" t="s">
        <v>1937</v>
      </c>
      <c r="Q130" s="14" t="s">
        <v>2420</v>
      </c>
      <c r="R130" s="14" t="s">
        <v>1939</v>
      </c>
      <c r="S130" s="14"/>
      <c r="T130" s="14"/>
    </row>
    <row r="131" ht="13.5" customHeight="1" spans="1:20">
      <c r="A131" s="13" t="s">
        <v>2421</v>
      </c>
      <c r="B131" s="13" t="s">
        <v>1588</v>
      </c>
      <c r="C131" s="13" t="s">
        <v>1999</v>
      </c>
      <c r="D131" s="13" t="s">
        <v>2422</v>
      </c>
      <c r="E131" s="13" t="s">
        <v>2261</v>
      </c>
      <c r="F131" s="13" t="s">
        <v>1931</v>
      </c>
      <c r="G131" s="13" t="s">
        <v>2056</v>
      </c>
      <c r="H131" s="13" t="s">
        <v>2423</v>
      </c>
      <c r="I131" s="13" t="s">
        <v>2424</v>
      </c>
      <c r="J131" s="13" t="s">
        <v>2425</v>
      </c>
      <c r="K131" s="14">
        <v>1</v>
      </c>
      <c r="L131" s="13" t="s">
        <v>1588</v>
      </c>
      <c r="M131" s="13" t="s">
        <v>2421</v>
      </c>
      <c r="N131" s="13" t="s">
        <v>190</v>
      </c>
      <c r="O131" s="14" t="s">
        <v>1936</v>
      </c>
      <c r="P131" s="14" t="s">
        <v>1937</v>
      </c>
      <c r="Q131" s="14" t="s">
        <v>2426</v>
      </c>
      <c r="R131" s="14" t="s">
        <v>1939</v>
      </c>
      <c r="S131" s="14"/>
      <c r="T131" s="14"/>
    </row>
    <row r="132" ht="13.5" customHeight="1" spans="1:20">
      <c r="A132" s="13" t="s">
        <v>2427</v>
      </c>
      <c r="B132" s="13" t="s">
        <v>1589</v>
      </c>
      <c r="C132" s="13" t="s">
        <v>1999</v>
      </c>
      <c r="D132" s="13" t="s">
        <v>2422</v>
      </c>
      <c r="E132" s="13" t="s">
        <v>2428</v>
      </c>
      <c r="F132" s="13" t="s">
        <v>1931</v>
      </c>
      <c r="G132" s="13" t="s">
        <v>2056</v>
      </c>
      <c r="H132" s="13" t="s">
        <v>2429</v>
      </c>
      <c r="I132" s="13" t="s">
        <v>2071</v>
      </c>
      <c r="J132" s="13" t="s">
        <v>2430</v>
      </c>
      <c r="K132" s="14">
        <v>1</v>
      </c>
      <c r="L132" s="13" t="s">
        <v>1589</v>
      </c>
      <c r="M132" s="13" t="s">
        <v>2427</v>
      </c>
      <c r="N132" s="13" t="s">
        <v>190</v>
      </c>
      <c r="O132" s="14" t="s">
        <v>2431</v>
      </c>
      <c r="P132" s="14" t="s">
        <v>1937</v>
      </c>
      <c r="Q132" s="14" t="s">
        <v>2432</v>
      </c>
      <c r="R132" s="14" t="s">
        <v>1939</v>
      </c>
      <c r="S132" s="14"/>
      <c r="T132" s="14"/>
    </row>
    <row r="133" ht="13.5" customHeight="1" spans="1:20">
      <c r="A133" s="13" t="s">
        <v>2433</v>
      </c>
      <c r="B133" s="13" t="s">
        <v>1592</v>
      </c>
      <c r="C133" s="13" t="s">
        <v>1999</v>
      </c>
      <c r="D133" s="13" t="s">
        <v>2434</v>
      </c>
      <c r="E133" s="13" t="s">
        <v>2246</v>
      </c>
      <c r="F133" s="13" t="s">
        <v>1931</v>
      </c>
      <c r="G133" s="13" t="s">
        <v>1946</v>
      </c>
      <c r="H133" s="13" t="s">
        <v>1947</v>
      </c>
      <c r="I133" s="13" t="s">
        <v>1934</v>
      </c>
      <c r="J133" s="13" t="s">
        <v>2435</v>
      </c>
      <c r="K133" s="14">
        <v>1</v>
      </c>
      <c r="L133" s="13" t="s">
        <v>1592</v>
      </c>
      <c r="M133" s="13" t="s">
        <v>2433</v>
      </c>
      <c r="N133" s="13" t="s">
        <v>190</v>
      </c>
      <c r="O133" s="14" t="s">
        <v>1989</v>
      </c>
      <c r="P133" s="14" t="s">
        <v>1949</v>
      </c>
      <c r="Q133" s="14"/>
      <c r="R133" s="14" t="s">
        <v>1939</v>
      </c>
      <c r="S133" s="14"/>
      <c r="T133" s="14"/>
    </row>
    <row r="134" ht="13.5" customHeight="1" spans="1:20">
      <c r="A134" s="13" t="s">
        <v>2436</v>
      </c>
      <c r="B134" s="13" t="s">
        <v>1599</v>
      </c>
      <c r="C134" s="13" t="s">
        <v>1999</v>
      </c>
      <c r="D134" s="13" t="s">
        <v>2185</v>
      </c>
      <c r="E134" s="13" t="s">
        <v>2388</v>
      </c>
      <c r="F134" s="13" t="s">
        <v>1931</v>
      </c>
      <c r="G134" s="13" t="s">
        <v>2056</v>
      </c>
      <c r="H134" s="13" t="s">
        <v>1947</v>
      </c>
      <c r="I134" s="13" t="s">
        <v>1957</v>
      </c>
      <c r="J134" s="13" t="s">
        <v>2437</v>
      </c>
      <c r="K134" s="14">
        <v>1</v>
      </c>
      <c r="L134" s="13" t="s">
        <v>1599</v>
      </c>
      <c r="M134" s="13" t="s">
        <v>2436</v>
      </c>
      <c r="N134" s="13" t="s">
        <v>190</v>
      </c>
      <c r="O134" s="14" t="s">
        <v>1969</v>
      </c>
      <c r="P134" s="14" t="s">
        <v>1949</v>
      </c>
      <c r="Q134" s="14"/>
      <c r="R134" s="14" t="s">
        <v>1939</v>
      </c>
      <c r="S134" s="14"/>
      <c r="T134" s="14"/>
    </row>
    <row r="135" ht="13.5" customHeight="1" spans="1:20">
      <c r="A135" s="13" t="s">
        <v>2438</v>
      </c>
      <c r="B135" s="13" t="s">
        <v>1612</v>
      </c>
      <c r="C135" s="13" t="s">
        <v>1999</v>
      </c>
      <c r="D135" s="13" t="s">
        <v>230</v>
      </c>
      <c r="E135" s="13" t="s">
        <v>2402</v>
      </c>
      <c r="F135" s="13" t="s">
        <v>1977</v>
      </c>
      <c r="G135" s="13" t="s">
        <v>1921</v>
      </c>
      <c r="H135" s="13" t="s">
        <v>2439</v>
      </c>
      <c r="I135" s="13" t="s">
        <v>1934</v>
      </c>
      <c r="J135" s="13" t="s">
        <v>2440</v>
      </c>
      <c r="K135" s="14">
        <v>1</v>
      </c>
      <c r="L135" s="13" t="s">
        <v>1612</v>
      </c>
      <c r="M135" s="13" t="s">
        <v>2438</v>
      </c>
      <c r="N135" s="13" t="s">
        <v>190</v>
      </c>
      <c r="O135" s="14" t="s">
        <v>2086</v>
      </c>
      <c r="P135" s="14" t="s">
        <v>1937</v>
      </c>
      <c r="Q135" s="14" t="s">
        <v>2441</v>
      </c>
      <c r="R135" s="14" t="s">
        <v>1939</v>
      </c>
      <c r="S135" s="14"/>
      <c r="T135" s="14"/>
    </row>
    <row r="136" ht="13.5" customHeight="1" spans="1:20">
      <c r="A136" s="13" t="s">
        <v>2442</v>
      </c>
      <c r="B136" s="13" t="s">
        <v>1630</v>
      </c>
      <c r="C136" s="13" t="s">
        <v>1999</v>
      </c>
      <c r="D136" s="13" t="s">
        <v>230</v>
      </c>
      <c r="E136" s="13" t="s">
        <v>2261</v>
      </c>
      <c r="F136" s="13" t="s">
        <v>2143</v>
      </c>
      <c r="G136" s="13" t="s">
        <v>1932</v>
      </c>
      <c r="H136" s="13" t="s">
        <v>1922</v>
      </c>
      <c r="I136" s="13" t="s">
        <v>1934</v>
      </c>
      <c r="J136" s="13" t="s">
        <v>2443</v>
      </c>
      <c r="K136" s="14">
        <v>1</v>
      </c>
      <c r="L136" s="13" t="s">
        <v>1630</v>
      </c>
      <c r="M136" s="13" t="s">
        <v>2442</v>
      </c>
      <c r="N136" s="13" t="s">
        <v>190</v>
      </c>
      <c r="O136" s="14" t="s">
        <v>1936</v>
      </c>
      <c r="P136" s="14" t="s">
        <v>1926</v>
      </c>
      <c r="Q136" s="14"/>
      <c r="R136" s="14" t="s">
        <v>1939</v>
      </c>
      <c r="S136" s="14"/>
      <c r="T136" s="14"/>
    </row>
    <row r="137" ht="13.5" customHeight="1" spans="1:20">
      <c r="A137" s="13" t="s">
        <v>2444</v>
      </c>
      <c r="B137" s="13" t="s">
        <v>1635</v>
      </c>
      <c r="C137" s="13" t="s">
        <v>1999</v>
      </c>
      <c r="D137" s="13" t="s">
        <v>230</v>
      </c>
      <c r="E137" s="13" t="s">
        <v>2261</v>
      </c>
      <c r="F137" s="13" t="s">
        <v>1920</v>
      </c>
      <c r="G137" s="13" t="s">
        <v>1941</v>
      </c>
      <c r="H137" s="13" t="s">
        <v>1947</v>
      </c>
      <c r="I137" s="13" t="s">
        <v>1977</v>
      </c>
      <c r="J137" s="13" t="s">
        <v>2445</v>
      </c>
      <c r="K137" s="14">
        <v>1</v>
      </c>
      <c r="L137" s="13" t="s">
        <v>1635</v>
      </c>
      <c r="M137" s="13" t="s">
        <v>2444</v>
      </c>
      <c r="N137" s="13" t="s">
        <v>190</v>
      </c>
      <c r="O137" s="14" t="s">
        <v>1936</v>
      </c>
      <c r="P137" s="14" t="s">
        <v>1949</v>
      </c>
      <c r="Q137" s="14"/>
      <c r="R137" s="14" t="s">
        <v>1939</v>
      </c>
      <c r="S137" s="14"/>
      <c r="T137" s="14"/>
    </row>
    <row r="138" ht="13.5" customHeight="1" spans="1:20">
      <c r="A138" s="13" t="s">
        <v>2446</v>
      </c>
      <c r="B138" s="13" t="s">
        <v>1637</v>
      </c>
      <c r="C138" s="13" t="s">
        <v>1999</v>
      </c>
      <c r="D138" s="13" t="s">
        <v>230</v>
      </c>
      <c r="E138" s="13" t="s">
        <v>2388</v>
      </c>
      <c r="F138" s="13" t="s">
        <v>1931</v>
      </c>
      <c r="G138" s="13" t="s">
        <v>2056</v>
      </c>
      <c r="H138" s="13" t="s">
        <v>2447</v>
      </c>
      <c r="I138" s="13" t="s">
        <v>1957</v>
      </c>
      <c r="J138" s="13" t="s">
        <v>2448</v>
      </c>
      <c r="K138" s="14">
        <v>1</v>
      </c>
      <c r="L138" s="13" t="s">
        <v>1637</v>
      </c>
      <c r="M138" s="13" t="s">
        <v>2446</v>
      </c>
      <c r="N138" s="13" t="s">
        <v>190</v>
      </c>
      <c r="O138" s="14" t="s">
        <v>1969</v>
      </c>
      <c r="P138" s="14" t="s">
        <v>1937</v>
      </c>
      <c r="Q138" s="14" t="s">
        <v>2449</v>
      </c>
      <c r="R138" s="14" t="s">
        <v>1939</v>
      </c>
      <c r="S138" s="14"/>
      <c r="T138" s="14"/>
    </row>
    <row r="139" ht="13.5" customHeight="1" spans="1:20">
      <c r="A139" s="13" t="s">
        <v>2450</v>
      </c>
      <c r="B139" s="13" t="s">
        <v>1640</v>
      </c>
      <c r="C139" s="13" t="s">
        <v>1999</v>
      </c>
      <c r="D139" s="13" t="s">
        <v>311</v>
      </c>
      <c r="E139" s="13" t="s">
        <v>2388</v>
      </c>
      <c r="F139" s="13" t="s">
        <v>1931</v>
      </c>
      <c r="G139" s="13" t="s">
        <v>2056</v>
      </c>
      <c r="H139" s="13" t="s">
        <v>2451</v>
      </c>
      <c r="I139" s="13" t="s">
        <v>2452</v>
      </c>
      <c r="J139" s="13" t="s">
        <v>2453</v>
      </c>
      <c r="K139" s="14">
        <v>1</v>
      </c>
      <c r="L139" s="13" t="s">
        <v>1640</v>
      </c>
      <c r="M139" s="13" t="s">
        <v>2450</v>
      </c>
      <c r="N139" s="13" t="s">
        <v>190</v>
      </c>
      <c r="O139" s="14" t="s">
        <v>1969</v>
      </c>
      <c r="P139" s="14" t="s">
        <v>1937</v>
      </c>
      <c r="Q139" s="14" t="s">
        <v>2454</v>
      </c>
      <c r="R139" s="14" t="s">
        <v>1939</v>
      </c>
      <c r="S139" s="14"/>
      <c r="T139" s="14"/>
    </row>
    <row r="140" ht="13.5" customHeight="1" spans="1:20">
      <c r="A140" s="13" t="s">
        <v>2455</v>
      </c>
      <c r="B140" s="13" t="s">
        <v>1649</v>
      </c>
      <c r="C140" s="13" t="s">
        <v>1999</v>
      </c>
      <c r="D140" s="13" t="s">
        <v>311</v>
      </c>
      <c r="E140" s="13" t="s">
        <v>2275</v>
      </c>
      <c r="F140" s="13" t="s">
        <v>1931</v>
      </c>
      <c r="G140" s="13" t="s">
        <v>1941</v>
      </c>
      <c r="H140" s="13" t="s">
        <v>2456</v>
      </c>
      <c r="I140" s="13" t="s">
        <v>1923</v>
      </c>
      <c r="J140" s="13" t="s">
        <v>2457</v>
      </c>
      <c r="K140" s="14">
        <v>1</v>
      </c>
      <c r="L140" s="13" t="s">
        <v>1649</v>
      </c>
      <c r="M140" s="13" t="s">
        <v>2455</v>
      </c>
      <c r="N140" s="13" t="s">
        <v>190</v>
      </c>
      <c r="O140" s="14" t="s">
        <v>1996</v>
      </c>
      <c r="P140" s="14" t="s">
        <v>1937</v>
      </c>
      <c r="Q140" s="14" t="s">
        <v>2458</v>
      </c>
      <c r="R140" s="14" t="s">
        <v>1927</v>
      </c>
      <c r="S140" s="14"/>
      <c r="T140" s="14"/>
    </row>
    <row r="141" ht="13.5" customHeight="1" spans="1:20">
      <c r="A141" s="13" t="s">
        <v>2459</v>
      </c>
      <c r="B141" s="13" t="s">
        <v>1654</v>
      </c>
      <c r="C141" s="13" t="s">
        <v>1999</v>
      </c>
      <c r="D141" s="13" t="s">
        <v>311</v>
      </c>
      <c r="E141" s="13" t="s">
        <v>2261</v>
      </c>
      <c r="F141" s="13" t="s">
        <v>1931</v>
      </c>
      <c r="G141" s="13" t="s">
        <v>2009</v>
      </c>
      <c r="H141" s="13" t="s">
        <v>2460</v>
      </c>
      <c r="I141" s="13" t="s">
        <v>1934</v>
      </c>
      <c r="J141" s="13" t="s">
        <v>2461</v>
      </c>
      <c r="K141" s="14">
        <v>1</v>
      </c>
      <c r="L141" s="13" t="s">
        <v>1654</v>
      </c>
      <c r="M141" s="13" t="s">
        <v>2459</v>
      </c>
      <c r="N141" s="13" t="s">
        <v>190</v>
      </c>
      <c r="O141" s="14" t="s">
        <v>1936</v>
      </c>
      <c r="P141" s="14" t="s">
        <v>1937</v>
      </c>
      <c r="Q141" s="14" t="s">
        <v>2462</v>
      </c>
      <c r="R141" s="14" t="s">
        <v>1939</v>
      </c>
      <c r="S141" s="14"/>
      <c r="T141" s="14"/>
    </row>
    <row r="142" ht="13.5" customHeight="1" spans="1:20">
      <c r="A142" s="13" t="s">
        <v>2463</v>
      </c>
      <c r="B142" s="13" t="s">
        <v>1657</v>
      </c>
      <c r="C142" s="13" t="s">
        <v>1999</v>
      </c>
      <c r="D142" s="13" t="s">
        <v>311</v>
      </c>
      <c r="E142" s="13" t="s">
        <v>2249</v>
      </c>
      <c r="F142" s="13" t="s">
        <v>1931</v>
      </c>
      <c r="G142" s="13" t="s">
        <v>2056</v>
      </c>
      <c r="H142" s="13" t="s">
        <v>2464</v>
      </c>
      <c r="I142" s="13" t="s">
        <v>2139</v>
      </c>
      <c r="J142" s="13" t="s">
        <v>2465</v>
      </c>
      <c r="K142" s="14">
        <v>1</v>
      </c>
      <c r="L142" s="13" t="s">
        <v>1657</v>
      </c>
      <c r="M142" s="13" t="s">
        <v>2463</v>
      </c>
      <c r="N142" s="13" t="s">
        <v>190</v>
      </c>
      <c r="O142" s="14" t="s">
        <v>2049</v>
      </c>
      <c r="P142" s="14" t="s">
        <v>1937</v>
      </c>
      <c r="Q142" s="14" t="s">
        <v>2466</v>
      </c>
      <c r="R142" s="14" t="s">
        <v>1939</v>
      </c>
      <c r="S142" s="14"/>
      <c r="T142" s="14"/>
    </row>
    <row r="143" ht="13.5" customHeight="1" spans="1:20">
      <c r="A143" s="13" t="s">
        <v>2467</v>
      </c>
      <c r="B143" s="13" t="s">
        <v>1665</v>
      </c>
      <c r="C143" s="13" t="s">
        <v>1999</v>
      </c>
      <c r="D143" s="13" t="s">
        <v>311</v>
      </c>
      <c r="E143" s="13" t="s">
        <v>2252</v>
      </c>
      <c r="F143" s="13" t="s">
        <v>1931</v>
      </c>
      <c r="G143" s="13" t="s">
        <v>2056</v>
      </c>
      <c r="H143" s="13" t="s">
        <v>2468</v>
      </c>
      <c r="I143" s="13" t="s">
        <v>1957</v>
      </c>
      <c r="J143" s="13" t="s">
        <v>2469</v>
      </c>
      <c r="K143" s="14">
        <v>1</v>
      </c>
      <c r="L143" s="13" t="s">
        <v>1665</v>
      </c>
      <c r="M143" s="13" t="s">
        <v>2467</v>
      </c>
      <c r="N143" s="13" t="s">
        <v>190</v>
      </c>
      <c r="O143" s="14" t="s">
        <v>1925</v>
      </c>
      <c r="P143" s="14" t="s">
        <v>1937</v>
      </c>
      <c r="Q143" s="14" t="s">
        <v>2470</v>
      </c>
      <c r="R143" s="14" t="s">
        <v>1939</v>
      </c>
      <c r="S143" s="14"/>
      <c r="T143" s="14"/>
    </row>
    <row r="144" ht="13.5" customHeight="1" spans="1:20">
      <c r="A144" s="13" t="s">
        <v>2471</v>
      </c>
      <c r="B144" s="13" t="s">
        <v>643</v>
      </c>
      <c r="C144" s="13" t="s">
        <v>1999</v>
      </c>
      <c r="D144" s="13" t="s">
        <v>2220</v>
      </c>
      <c r="E144" s="13" t="s">
        <v>2252</v>
      </c>
      <c r="F144" s="13" t="s">
        <v>1931</v>
      </c>
      <c r="G144" s="13" t="s">
        <v>2056</v>
      </c>
      <c r="H144" s="13" t="s">
        <v>2472</v>
      </c>
      <c r="I144" s="13" t="s">
        <v>1979</v>
      </c>
      <c r="J144" s="13" t="s">
        <v>2473</v>
      </c>
      <c r="K144" s="14">
        <v>1</v>
      </c>
      <c r="L144" s="13" t="s">
        <v>643</v>
      </c>
      <c r="M144" s="13" t="s">
        <v>2471</v>
      </c>
      <c r="N144" s="13" t="s">
        <v>190</v>
      </c>
      <c r="O144" s="14" t="s">
        <v>1925</v>
      </c>
      <c r="P144" s="14" t="s">
        <v>1937</v>
      </c>
      <c r="Q144" s="14" t="s">
        <v>2474</v>
      </c>
      <c r="R144" s="14" t="s">
        <v>1939</v>
      </c>
      <c r="S144" s="14"/>
      <c r="T144" s="14"/>
    </row>
    <row r="145" ht="13.5" customHeight="1" spans="1:20">
      <c r="A145" s="13" t="s">
        <v>2475</v>
      </c>
      <c r="B145" s="13" t="s">
        <v>1679</v>
      </c>
      <c r="C145" s="13" t="s">
        <v>1999</v>
      </c>
      <c r="D145" s="13" t="s">
        <v>1984</v>
      </c>
      <c r="E145" s="13" t="s">
        <v>2252</v>
      </c>
      <c r="F145" s="13" t="s">
        <v>1931</v>
      </c>
      <c r="G145" s="13" t="s">
        <v>2056</v>
      </c>
      <c r="H145" s="13" t="s">
        <v>2476</v>
      </c>
      <c r="I145" s="13" t="s">
        <v>2010</v>
      </c>
      <c r="J145" s="13" t="s">
        <v>2477</v>
      </c>
      <c r="K145" s="14">
        <v>1</v>
      </c>
      <c r="L145" s="13" t="s">
        <v>1679</v>
      </c>
      <c r="M145" s="13" t="s">
        <v>2475</v>
      </c>
      <c r="N145" s="13" t="s">
        <v>190</v>
      </c>
      <c r="O145" s="14" t="s">
        <v>1925</v>
      </c>
      <c r="P145" s="14" t="s">
        <v>1937</v>
      </c>
      <c r="Q145" s="14" t="s">
        <v>2478</v>
      </c>
      <c r="R145" s="14" t="s">
        <v>1927</v>
      </c>
      <c r="S145" s="14"/>
      <c r="T145" s="14"/>
    </row>
    <row r="146" ht="13.5" customHeight="1" spans="1:20">
      <c r="A146" s="13" t="s">
        <v>2479</v>
      </c>
      <c r="B146" s="13" t="s">
        <v>1680</v>
      </c>
      <c r="C146" s="13" t="s">
        <v>1999</v>
      </c>
      <c r="D146" s="13" t="s">
        <v>1984</v>
      </c>
      <c r="E146" s="13" t="s">
        <v>2402</v>
      </c>
      <c r="F146" s="13" t="s">
        <v>1931</v>
      </c>
      <c r="G146" s="13" t="s">
        <v>2056</v>
      </c>
      <c r="H146" s="13" t="s">
        <v>1942</v>
      </c>
      <c r="I146" s="13" t="s">
        <v>2010</v>
      </c>
      <c r="J146" s="13" t="s">
        <v>2480</v>
      </c>
      <c r="K146" s="14">
        <v>1</v>
      </c>
      <c r="L146" s="13" t="s">
        <v>1680</v>
      </c>
      <c r="M146" s="13" t="s">
        <v>2479</v>
      </c>
      <c r="N146" s="13" t="s">
        <v>190</v>
      </c>
      <c r="O146" s="14" t="s">
        <v>2086</v>
      </c>
      <c r="P146" s="14" t="s">
        <v>1944</v>
      </c>
      <c r="Q146" s="14"/>
      <c r="R146" s="14" t="s">
        <v>1927</v>
      </c>
      <c r="S146" s="14"/>
      <c r="T146" s="14"/>
    </row>
    <row r="147" ht="13.5" customHeight="1" spans="1:20">
      <c r="A147" s="13" t="s">
        <v>2481</v>
      </c>
      <c r="B147" s="13" t="s">
        <v>1686</v>
      </c>
      <c r="C147" s="13" t="s">
        <v>1999</v>
      </c>
      <c r="D147" s="13" t="s">
        <v>1984</v>
      </c>
      <c r="E147" s="13" t="s">
        <v>2388</v>
      </c>
      <c r="F147" s="13" t="s">
        <v>1931</v>
      </c>
      <c r="G147" s="13" t="s">
        <v>1921</v>
      </c>
      <c r="H147" s="13" t="s">
        <v>2482</v>
      </c>
      <c r="I147" s="13" t="s">
        <v>2010</v>
      </c>
      <c r="J147" s="13" t="s">
        <v>2483</v>
      </c>
      <c r="K147" s="14">
        <v>1</v>
      </c>
      <c r="L147" s="13" t="s">
        <v>1686</v>
      </c>
      <c r="M147" s="13" t="s">
        <v>2481</v>
      </c>
      <c r="N147" s="13" t="s">
        <v>190</v>
      </c>
      <c r="O147" s="14" t="s">
        <v>1969</v>
      </c>
      <c r="P147" s="14" t="s">
        <v>1937</v>
      </c>
      <c r="Q147" s="14" t="s">
        <v>2484</v>
      </c>
      <c r="R147" s="14" t="s">
        <v>1927</v>
      </c>
      <c r="S147" s="14"/>
      <c r="T147" s="14"/>
    </row>
    <row r="148" ht="13.5" customHeight="1" spans="1:20">
      <c r="A148" s="13" t="s">
        <v>2485</v>
      </c>
      <c r="B148" s="13" t="s">
        <v>1687</v>
      </c>
      <c r="C148" s="13" t="s">
        <v>1999</v>
      </c>
      <c r="D148" s="13" t="s">
        <v>1984</v>
      </c>
      <c r="E148" s="13" t="s">
        <v>2252</v>
      </c>
      <c r="F148" s="13" t="s">
        <v>1931</v>
      </c>
      <c r="G148" s="13" t="s">
        <v>2234</v>
      </c>
      <c r="H148" s="13" t="s">
        <v>2486</v>
      </c>
      <c r="I148" s="13" t="s">
        <v>1987</v>
      </c>
      <c r="J148" s="13" t="s">
        <v>2487</v>
      </c>
      <c r="K148" s="14">
        <v>1</v>
      </c>
      <c r="L148" s="13" t="s">
        <v>1687</v>
      </c>
      <c r="M148" s="13" t="s">
        <v>2485</v>
      </c>
      <c r="N148" s="13" t="s">
        <v>190</v>
      </c>
      <c r="O148" s="14" t="s">
        <v>1925</v>
      </c>
      <c r="P148" s="14" t="s">
        <v>1937</v>
      </c>
      <c r="Q148" s="14" t="s">
        <v>2488</v>
      </c>
      <c r="R148" s="14" t="s">
        <v>1927</v>
      </c>
      <c r="S148" s="14"/>
      <c r="T148" s="14"/>
    </row>
    <row r="149" ht="13.5" customHeight="1" spans="1:20">
      <c r="A149" s="13" t="s">
        <v>2489</v>
      </c>
      <c r="B149" s="13" t="s">
        <v>1693</v>
      </c>
      <c r="C149" s="13" t="s">
        <v>1999</v>
      </c>
      <c r="D149" s="13" t="s">
        <v>1992</v>
      </c>
      <c r="E149" s="13" t="s">
        <v>2261</v>
      </c>
      <c r="F149" s="13" t="s">
        <v>1931</v>
      </c>
      <c r="G149" s="13" t="s">
        <v>2490</v>
      </c>
      <c r="H149" s="13" t="s">
        <v>2491</v>
      </c>
      <c r="I149" s="13" t="s">
        <v>1923</v>
      </c>
      <c r="J149" s="13" t="s">
        <v>2492</v>
      </c>
      <c r="K149" s="14">
        <v>1</v>
      </c>
      <c r="L149" s="13" t="s">
        <v>1693</v>
      </c>
      <c r="M149" s="13" t="s">
        <v>2489</v>
      </c>
      <c r="N149" s="13" t="s">
        <v>190</v>
      </c>
      <c r="O149" s="14" t="s">
        <v>1936</v>
      </c>
      <c r="P149" s="14" t="s">
        <v>1937</v>
      </c>
      <c r="Q149" s="14" t="s">
        <v>2493</v>
      </c>
      <c r="R149" s="14" t="s">
        <v>1927</v>
      </c>
      <c r="S149" s="14"/>
      <c r="T149" s="14"/>
    </row>
    <row r="150" ht="13.5" customHeight="1" spans="1:20">
      <c r="A150" s="13" t="s">
        <v>2494</v>
      </c>
      <c r="B150" s="13" t="s">
        <v>1711</v>
      </c>
      <c r="C150" s="13" t="s">
        <v>1999</v>
      </c>
      <c r="D150" s="13" t="s">
        <v>259</v>
      </c>
      <c r="E150" s="13" t="s">
        <v>2261</v>
      </c>
      <c r="F150" s="13" t="s">
        <v>1920</v>
      </c>
      <c r="G150" s="13" t="s">
        <v>1921</v>
      </c>
      <c r="H150" s="13" t="s">
        <v>2495</v>
      </c>
      <c r="I150" s="13" t="s">
        <v>1987</v>
      </c>
      <c r="J150" s="13" t="s">
        <v>2496</v>
      </c>
      <c r="K150" s="14">
        <v>1</v>
      </c>
      <c r="L150" s="13" t="s">
        <v>1711</v>
      </c>
      <c r="M150" s="13" t="s">
        <v>2494</v>
      </c>
      <c r="N150" s="13" t="s">
        <v>190</v>
      </c>
      <c r="O150" s="14" t="s">
        <v>1936</v>
      </c>
      <c r="P150" s="14" t="s">
        <v>1937</v>
      </c>
      <c r="Q150" s="14" t="s">
        <v>2497</v>
      </c>
      <c r="R150" s="14" t="s">
        <v>1927</v>
      </c>
      <c r="S150" s="14"/>
      <c r="T150" s="14"/>
    </row>
    <row r="151" ht="13.5" customHeight="1" spans="1:20">
      <c r="A151" s="13" t="s">
        <v>2498</v>
      </c>
      <c r="B151" s="13" t="s">
        <v>1713</v>
      </c>
      <c r="C151" s="13" t="s">
        <v>1999</v>
      </c>
      <c r="D151" s="13" t="s">
        <v>259</v>
      </c>
      <c r="E151" s="13" t="s">
        <v>2261</v>
      </c>
      <c r="F151" s="13" t="s">
        <v>1931</v>
      </c>
      <c r="G151" s="13" t="s">
        <v>1946</v>
      </c>
      <c r="H151" s="13" t="s">
        <v>2499</v>
      </c>
      <c r="I151" s="13" t="s">
        <v>1923</v>
      </c>
      <c r="J151" s="13" t="s">
        <v>2500</v>
      </c>
      <c r="K151" s="14">
        <v>1</v>
      </c>
      <c r="L151" s="13" t="s">
        <v>1713</v>
      </c>
      <c r="M151" s="13" t="s">
        <v>2498</v>
      </c>
      <c r="N151" s="13" t="s">
        <v>190</v>
      </c>
      <c r="O151" s="14" t="s">
        <v>1936</v>
      </c>
      <c r="P151" s="14" t="s">
        <v>1937</v>
      </c>
      <c r="Q151" s="14" t="s">
        <v>2501</v>
      </c>
      <c r="R151" s="14" t="s">
        <v>1927</v>
      </c>
      <c r="S151" s="14"/>
      <c r="T151" s="14"/>
    </row>
    <row r="152" ht="13.5" customHeight="1" spans="1:20">
      <c r="A152" s="13" t="s">
        <v>2502</v>
      </c>
      <c r="B152" s="13" t="s">
        <v>1724</v>
      </c>
      <c r="C152" s="13" t="s">
        <v>2233</v>
      </c>
      <c r="D152" s="13" t="s">
        <v>1929</v>
      </c>
      <c r="E152" s="13" t="s">
        <v>2252</v>
      </c>
      <c r="F152" s="13" t="s">
        <v>1931</v>
      </c>
      <c r="G152" s="13" t="s">
        <v>1932</v>
      </c>
      <c r="H152" s="13" t="s">
        <v>2503</v>
      </c>
      <c r="I152" s="13" t="s">
        <v>1923</v>
      </c>
      <c r="J152" s="13" t="s">
        <v>2504</v>
      </c>
      <c r="K152" s="14">
        <v>1</v>
      </c>
      <c r="L152" s="13" t="s">
        <v>1724</v>
      </c>
      <c r="M152" s="13" t="s">
        <v>2502</v>
      </c>
      <c r="N152" s="13" t="s">
        <v>190</v>
      </c>
      <c r="O152" s="14" t="s">
        <v>1925</v>
      </c>
      <c r="P152" s="14" t="s">
        <v>1937</v>
      </c>
      <c r="Q152" s="14" t="s">
        <v>2505</v>
      </c>
      <c r="R152" s="14" t="s">
        <v>1927</v>
      </c>
      <c r="S152" s="14"/>
      <c r="T152" s="14"/>
    </row>
    <row r="153" ht="13.5" customHeight="1" spans="1:20">
      <c r="A153" s="13" t="s">
        <v>2506</v>
      </c>
      <c r="B153" s="13" t="s">
        <v>1725</v>
      </c>
      <c r="C153" s="13" t="s">
        <v>2233</v>
      </c>
      <c r="D153" s="13" t="s">
        <v>1929</v>
      </c>
      <c r="E153" s="13" t="s">
        <v>2261</v>
      </c>
      <c r="F153" s="13" t="s">
        <v>1931</v>
      </c>
      <c r="G153" s="13" t="s">
        <v>2009</v>
      </c>
      <c r="H153" s="13" t="s">
        <v>2262</v>
      </c>
      <c r="I153" s="13" t="s">
        <v>1934</v>
      </c>
      <c r="J153" s="13" t="s">
        <v>2263</v>
      </c>
      <c r="K153" s="14">
        <v>1</v>
      </c>
      <c r="L153" s="13" t="s">
        <v>1725</v>
      </c>
      <c r="M153" s="13" t="s">
        <v>2506</v>
      </c>
      <c r="N153" s="13" t="s">
        <v>190</v>
      </c>
      <c r="O153" s="14" t="s">
        <v>1936</v>
      </c>
      <c r="P153" s="14" t="s">
        <v>1937</v>
      </c>
      <c r="Q153" s="14" t="s">
        <v>2264</v>
      </c>
      <c r="R153" s="14" t="s">
        <v>1939</v>
      </c>
      <c r="S153" s="14"/>
      <c r="T153" s="14"/>
    </row>
    <row r="154" ht="13.5" customHeight="1" spans="1:20">
      <c r="A154" s="13" t="s">
        <v>2507</v>
      </c>
      <c r="B154" s="13" t="s">
        <v>1730</v>
      </c>
      <c r="C154" s="13" t="s">
        <v>2233</v>
      </c>
      <c r="D154" s="13" t="s">
        <v>2089</v>
      </c>
      <c r="E154" s="13" t="s">
        <v>2252</v>
      </c>
      <c r="F154" s="13" t="s">
        <v>1931</v>
      </c>
      <c r="G154" s="13" t="s">
        <v>1941</v>
      </c>
      <c r="H154" s="13" t="s">
        <v>1947</v>
      </c>
      <c r="I154" s="13" t="s">
        <v>1934</v>
      </c>
      <c r="J154" s="13" t="s">
        <v>2508</v>
      </c>
      <c r="K154" s="14">
        <v>1</v>
      </c>
      <c r="L154" s="13" t="s">
        <v>1730</v>
      </c>
      <c r="M154" s="13" t="s">
        <v>2507</v>
      </c>
      <c r="N154" s="13" t="s">
        <v>190</v>
      </c>
      <c r="O154" s="14" t="s">
        <v>1925</v>
      </c>
      <c r="P154" s="14" t="s">
        <v>1949</v>
      </c>
      <c r="Q154" s="14"/>
      <c r="R154" s="14" t="s">
        <v>1939</v>
      </c>
      <c r="S154" s="14"/>
      <c r="T154" s="14"/>
    </row>
    <row r="155" ht="13.5" customHeight="1" spans="1:20">
      <c r="A155" s="13" t="s">
        <v>2509</v>
      </c>
      <c r="B155" s="13" t="s">
        <v>1732</v>
      </c>
      <c r="C155" s="13" t="s">
        <v>2233</v>
      </c>
      <c r="D155" s="13" t="s">
        <v>2270</v>
      </c>
      <c r="E155" s="13" t="s">
        <v>2271</v>
      </c>
      <c r="F155" s="13" t="s">
        <v>1931</v>
      </c>
      <c r="G155" s="13" t="s">
        <v>2272</v>
      </c>
      <c r="H155" s="13" t="s">
        <v>1947</v>
      </c>
      <c r="I155" s="13" t="s">
        <v>2010</v>
      </c>
      <c r="J155" s="13" t="s">
        <v>2273</v>
      </c>
      <c r="K155" s="14">
        <v>1</v>
      </c>
      <c r="L155" s="13" t="s">
        <v>1732</v>
      </c>
      <c r="M155" s="13" t="s">
        <v>2509</v>
      </c>
      <c r="N155" s="13" t="s">
        <v>190</v>
      </c>
      <c r="O155" s="14" t="s">
        <v>2193</v>
      </c>
      <c r="P155" s="14" t="s">
        <v>1949</v>
      </c>
      <c r="Q155" s="14"/>
      <c r="R155" s="14" t="s">
        <v>1927</v>
      </c>
      <c r="S155" s="14"/>
      <c r="T155" s="14"/>
    </row>
    <row r="156" ht="13.5" customHeight="1" spans="1:20">
      <c r="A156" s="13" t="s">
        <v>2510</v>
      </c>
      <c r="B156" s="13" t="s">
        <v>1733</v>
      </c>
      <c r="C156" s="13" t="s">
        <v>2233</v>
      </c>
      <c r="D156" s="13" t="s">
        <v>2511</v>
      </c>
      <c r="E156" s="13" t="s">
        <v>2261</v>
      </c>
      <c r="F156" s="13" t="s">
        <v>1931</v>
      </c>
      <c r="G156" s="13" t="s">
        <v>1921</v>
      </c>
      <c r="H156" s="13" t="s">
        <v>1922</v>
      </c>
      <c r="I156" s="13" t="s">
        <v>1987</v>
      </c>
      <c r="J156" s="13" t="s">
        <v>2268</v>
      </c>
      <c r="K156" s="14">
        <v>1</v>
      </c>
      <c r="L156" s="13" t="s">
        <v>1733</v>
      </c>
      <c r="M156" s="13" t="s">
        <v>2510</v>
      </c>
      <c r="N156" s="13" t="s">
        <v>190</v>
      </c>
      <c r="O156" s="14" t="s">
        <v>1936</v>
      </c>
      <c r="P156" s="14" t="s">
        <v>1926</v>
      </c>
      <c r="Q156" s="14"/>
      <c r="R156" s="14" t="s">
        <v>1927</v>
      </c>
      <c r="S156" s="14"/>
      <c r="T156" s="14"/>
    </row>
    <row r="157" ht="13.5" customHeight="1" spans="1:20">
      <c r="A157" s="13" t="s">
        <v>2277</v>
      </c>
      <c r="B157" s="13" t="s">
        <v>1333</v>
      </c>
      <c r="C157" s="13" t="s">
        <v>2233</v>
      </c>
      <c r="D157" s="13" t="s">
        <v>2278</v>
      </c>
      <c r="E157" s="13" t="s">
        <v>2252</v>
      </c>
      <c r="F157" s="13" t="s">
        <v>1931</v>
      </c>
      <c r="G157" s="13" t="s">
        <v>2279</v>
      </c>
      <c r="H157" s="13" t="s">
        <v>1922</v>
      </c>
      <c r="I157" s="13" t="s">
        <v>1923</v>
      </c>
      <c r="J157" s="13" t="s">
        <v>2512</v>
      </c>
      <c r="K157" s="14">
        <v>1</v>
      </c>
      <c r="L157" s="13" t="s">
        <v>1333</v>
      </c>
      <c r="M157" s="13" t="s">
        <v>2277</v>
      </c>
      <c r="N157" s="13" t="s">
        <v>190</v>
      </c>
      <c r="O157" s="14" t="s">
        <v>1925</v>
      </c>
      <c r="P157" s="14" t="s">
        <v>1926</v>
      </c>
      <c r="Q157" s="14"/>
      <c r="R157" s="14" t="s">
        <v>1927</v>
      </c>
      <c r="S157" s="14"/>
      <c r="T157" s="14"/>
    </row>
    <row r="158" ht="13.5" customHeight="1" spans="1:20">
      <c r="A158" s="13" t="s">
        <v>2513</v>
      </c>
      <c r="B158" s="13" t="s">
        <v>1741</v>
      </c>
      <c r="C158" s="13" t="s">
        <v>2233</v>
      </c>
      <c r="D158" s="13" t="s">
        <v>1992</v>
      </c>
      <c r="E158" s="13" t="s">
        <v>2275</v>
      </c>
      <c r="F158" s="13" t="s">
        <v>1931</v>
      </c>
      <c r="G158" s="13" t="s">
        <v>1941</v>
      </c>
      <c r="H158" s="13" t="s">
        <v>2514</v>
      </c>
      <c r="I158" s="13" t="s">
        <v>1923</v>
      </c>
      <c r="J158" s="13" t="s">
        <v>2515</v>
      </c>
      <c r="K158" s="14">
        <v>1</v>
      </c>
      <c r="L158" s="13" t="s">
        <v>1741</v>
      </c>
      <c r="M158" s="13" t="s">
        <v>2513</v>
      </c>
      <c r="N158" s="13" t="s">
        <v>190</v>
      </c>
      <c r="O158" s="14" t="s">
        <v>1996</v>
      </c>
      <c r="P158" s="14" t="s">
        <v>1937</v>
      </c>
      <c r="Q158" s="14" t="s">
        <v>2516</v>
      </c>
      <c r="R158" s="14" t="s">
        <v>1927</v>
      </c>
      <c r="S158" s="14"/>
      <c r="T158" s="14"/>
    </row>
    <row r="159" ht="13.5" customHeight="1" spans="1:20">
      <c r="A159" s="13" t="s">
        <v>2517</v>
      </c>
      <c r="B159" s="13" t="s">
        <v>1277</v>
      </c>
      <c r="C159" s="13" t="s">
        <v>1918</v>
      </c>
      <c r="D159" s="13" t="s">
        <v>2245</v>
      </c>
      <c r="E159" s="13" t="s">
        <v>2518</v>
      </c>
      <c r="F159" s="13" t="s">
        <v>1931</v>
      </c>
      <c r="G159" s="13" t="s">
        <v>2009</v>
      </c>
      <c r="H159" s="13" t="s">
        <v>1922</v>
      </c>
      <c r="I159" s="13" t="s">
        <v>1934</v>
      </c>
      <c r="J159" s="13" t="s">
        <v>2519</v>
      </c>
      <c r="K159" s="14">
        <v>1</v>
      </c>
      <c r="L159" s="13" t="s">
        <v>1277</v>
      </c>
      <c r="M159" s="13" t="s">
        <v>2517</v>
      </c>
      <c r="N159" s="13" t="s">
        <v>191</v>
      </c>
      <c r="O159" s="14" t="s">
        <v>1996</v>
      </c>
      <c r="P159" s="14" t="s">
        <v>1926</v>
      </c>
      <c r="Q159" s="14"/>
      <c r="R159" s="14" t="s">
        <v>1939</v>
      </c>
      <c r="S159" s="14"/>
      <c r="T159" s="14"/>
    </row>
    <row r="160" ht="13.5" customHeight="1" spans="1:20">
      <c r="A160" s="13" t="s">
        <v>2520</v>
      </c>
      <c r="B160" s="13" t="s">
        <v>1285</v>
      </c>
      <c r="C160" s="13" t="s">
        <v>1918</v>
      </c>
      <c r="D160" s="13" t="s">
        <v>1929</v>
      </c>
      <c r="E160" s="13" t="s">
        <v>2521</v>
      </c>
      <c r="F160" s="13" t="s">
        <v>1931</v>
      </c>
      <c r="G160" s="13" t="s">
        <v>1921</v>
      </c>
      <c r="H160" s="13" t="s">
        <v>2522</v>
      </c>
      <c r="I160" s="13" t="s">
        <v>1987</v>
      </c>
      <c r="J160" s="13" t="s">
        <v>2523</v>
      </c>
      <c r="K160" s="14">
        <v>1</v>
      </c>
      <c r="L160" s="13" t="s">
        <v>1285</v>
      </c>
      <c r="M160" s="13" t="s">
        <v>2520</v>
      </c>
      <c r="N160" s="13" t="s">
        <v>191</v>
      </c>
      <c r="O160" s="14" t="s">
        <v>1936</v>
      </c>
      <c r="P160" s="14" t="s">
        <v>1937</v>
      </c>
      <c r="Q160" s="14" t="s">
        <v>2524</v>
      </c>
      <c r="R160" s="14" t="s">
        <v>1927</v>
      </c>
      <c r="S160" s="14"/>
      <c r="T160" s="14"/>
    </row>
    <row r="161" ht="13.5" customHeight="1" spans="1:20">
      <c r="A161" s="13" t="s">
        <v>2525</v>
      </c>
      <c r="B161" s="13" t="s">
        <v>1290</v>
      </c>
      <c r="C161" s="13" t="s">
        <v>1918</v>
      </c>
      <c r="D161" s="13" t="s">
        <v>2526</v>
      </c>
      <c r="E161" s="13" t="s">
        <v>2527</v>
      </c>
      <c r="F161" s="13" t="s">
        <v>1931</v>
      </c>
      <c r="G161" s="13" t="s">
        <v>1946</v>
      </c>
      <c r="H161" s="13" t="s">
        <v>1947</v>
      </c>
      <c r="I161" s="13" t="s">
        <v>1923</v>
      </c>
      <c r="J161" s="13" t="s">
        <v>2528</v>
      </c>
      <c r="K161" s="14">
        <v>1</v>
      </c>
      <c r="L161" s="13" t="s">
        <v>1290</v>
      </c>
      <c r="M161" s="13" t="s">
        <v>2525</v>
      </c>
      <c r="N161" s="13" t="s">
        <v>191</v>
      </c>
      <c r="O161" s="14" t="s">
        <v>2028</v>
      </c>
      <c r="P161" s="14" t="s">
        <v>1949</v>
      </c>
      <c r="Q161" s="14"/>
      <c r="R161" s="14" t="s">
        <v>1927</v>
      </c>
      <c r="S161" s="14"/>
      <c r="T161" s="14"/>
    </row>
    <row r="162" ht="13.5" customHeight="1" spans="1:20">
      <c r="A162" s="13" t="s">
        <v>2529</v>
      </c>
      <c r="B162" s="13" t="s">
        <v>1292</v>
      </c>
      <c r="C162" s="13" t="s">
        <v>1918</v>
      </c>
      <c r="D162" s="13" t="s">
        <v>2089</v>
      </c>
      <c r="E162" s="13" t="s">
        <v>2527</v>
      </c>
      <c r="F162" s="13" t="s">
        <v>1931</v>
      </c>
      <c r="G162" s="13" t="s">
        <v>1932</v>
      </c>
      <c r="H162" s="13" t="s">
        <v>2530</v>
      </c>
      <c r="I162" s="13" t="s">
        <v>2143</v>
      </c>
      <c r="J162" s="13" t="s">
        <v>2531</v>
      </c>
      <c r="K162" s="14">
        <v>1</v>
      </c>
      <c r="L162" s="13" t="s">
        <v>1292</v>
      </c>
      <c r="M162" s="13" t="s">
        <v>2529</v>
      </c>
      <c r="N162" s="13" t="s">
        <v>191</v>
      </c>
      <c r="O162" s="14" t="s">
        <v>2028</v>
      </c>
      <c r="P162" s="14" t="s">
        <v>1981</v>
      </c>
      <c r="Q162" s="14" t="s">
        <v>2532</v>
      </c>
      <c r="R162" s="14" t="s">
        <v>1939</v>
      </c>
      <c r="S162" s="14"/>
      <c r="T162" s="14"/>
    </row>
    <row r="163" ht="13.5" customHeight="1" spans="1:20">
      <c r="A163" s="13" t="s">
        <v>2533</v>
      </c>
      <c r="B163" s="13" t="s">
        <v>1306</v>
      </c>
      <c r="C163" s="13" t="s">
        <v>1918</v>
      </c>
      <c r="D163" s="13" t="s">
        <v>2422</v>
      </c>
      <c r="E163" s="13" t="s">
        <v>2534</v>
      </c>
      <c r="F163" s="13" t="s">
        <v>1931</v>
      </c>
      <c r="G163" s="13" t="s">
        <v>1932</v>
      </c>
      <c r="H163" s="13" t="s">
        <v>1947</v>
      </c>
      <c r="I163" s="13" t="s">
        <v>1934</v>
      </c>
      <c r="J163" s="13" t="s">
        <v>2535</v>
      </c>
      <c r="K163" s="14">
        <v>1</v>
      </c>
      <c r="L163" s="13" t="s">
        <v>1306</v>
      </c>
      <c r="M163" s="13" t="s">
        <v>2533</v>
      </c>
      <c r="N163" s="13" t="s">
        <v>191</v>
      </c>
      <c r="O163" s="14" t="s">
        <v>1974</v>
      </c>
      <c r="P163" s="14" t="s">
        <v>1949</v>
      </c>
      <c r="Q163" s="14"/>
      <c r="R163" s="14" t="s">
        <v>1939</v>
      </c>
      <c r="S163" s="14"/>
      <c r="T163" s="14"/>
    </row>
    <row r="164" ht="13.5" customHeight="1" spans="1:20">
      <c r="A164" s="13" t="s">
        <v>2536</v>
      </c>
      <c r="B164" s="13" t="s">
        <v>1317</v>
      </c>
      <c r="C164" s="13" t="s">
        <v>1918</v>
      </c>
      <c r="D164" s="13" t="s">
        <v>1971</v>
      </c>
      <c r="E164" s="13" t="s">
        <v>2518</v>
      </c>
      <c r="F164" s="13" t="s">
        <v>1931</v>
      </c>
      <c r="G164" s="13" t="s">
        <v>1941</v>
      </c>
      <c r="H164" s="13" t="s">
        <v>2537</v>
      </c>
      <c r="I164" s="13" t="s">
        <v>2010</v>
      </c>
      <c r="J164" s="13" t="s">
        <v>2538</v>
      </c>
      <c r="K164" s="14">
        <v>1</v>
      </c>
      <c r="L164" s="13" t="s">
        <v>1317</v>
      </c>
      <c r="M164" s="13" t="s">
        <v>2536</v>
      </c>
      <c r="N164" s="13" t="s">
        <v>191</v>
      </c>
      <c r="O164" s="14" t="s">
        <v>1996</v>
      </c>
      <c r="P164" s="14" t="s">
        <v>1937</v>
      </c>
      <c r="Q164" s="14" t="s">
        <v>2539</v>
      </c>
      <c r="R164" s="14" t="s">
        <v>1927</v>
      </c>
      <c r="S164" s="14"/>
      <c r="T164" s="14"/>
    </row>
    <row r="165" ht="13.5" customHeight="1" spans="1:20">
      <c r="A165" s="13" t="s">
        <v>2540</v>
      </c>
      <c r="B165" s="13" t="s">
        <v>1323</v>
      </c>
      <c r="C165" s="13" t="s">
        <v>1918</v>
      </c>
      <c r="D165" s="13" t="s">
        <v>311</v>
      </c>
      <c r="E165" s="13" t="s">
        <v>2541</v>
      </c>
      <c r="F165" s="13" t="s">
        <v>1977</v>
      </c>
      <c r="G165" s="13" t="s">
        <v>1958</v>
      </c>
      <c r="H165" s="13" t="s">
        <v>1947</v>
      </c>
      <c r="I165" s="13" t="s">
        <v>1979</v>
      </c>
      <c r="J165" s="13" t="s">
        <v>2542</v>
      </c>
      <c r="K165" s="14">
        <v>1</v>
      </c>
      <c r="L165" s="13" t="s">
        <v>1323</v>
      </c>
      <c r="M165" s="13" t="s">
        <v>2540</v>
      </c>
      <c r="N165" s="13" t="s">
        <v>191</v>
      </c>
      <c r="O165" s="14" t="s">
        <v>1925</v>
      </c>
      <c r="P165" s="14" t="s">
        <v>1949</v>
      </c>
      <c r="Q165" s="14"/>
      <c r="R165" s="14" t="s">
        <v>1939</v>
      </c>
      <c r="S165" s="14"/>
      <c r="T165" s="14"/>
    </row>
    <row r="166" ht="13.5" customHeight="1" spans="1:20">
      <c r="A166" s="13" t="s">
        <v>2543</v>
      </c>
      <c r="B166" s="13" t="s">
        <v>1324</v>
      </c>
      <c r="C166" s="13" t="s">
        <v>1918</v>
      </c>
      <c r="D166" s="13" t="s">
        <v>311</v>
      </c>
      <c r="E166" s="13" t="s">
        <v>2521</v>
      </c>
      <c r="F166" s="13" t="s">
        <v>1931</v>
      </c>
      <c r="G166" s="13" t="s">
        <v>2009</v>
      </c>
      <c r="H166" s="13" t="s">
        <v>2544</v>
      </c>
      <c r="I166" s="13" t="s">
        <v>1987</v>
      </c>
      <c r="J166" s="13" t="s">
        <v>2545</v>
      </c>
      <c r="K166" s="14">
        <v>1</v>
      </c>
      <c r="L166" s="13" t="s">
        <v>1324</v>
      </c>
      <c r="M166" s="13" t="s">
        <v>2543</v>
      </c>
      <c r="N166" s="13" t="s">
        <v>191</v>
      </c>
      <c r="O166" s="14" t="s">
        <v>1936</v>
      </c>
      <c r="P166" s="14" t="s">
        <v>1937</v>
      </c>
      <c r="Q166" s="14" t="s">
        <v>2546</v>
      </c>
      <c r="R166" s="14" t="s">
        <v>1927</v>
      </c>
      <c r="S166" s="14"/>
      <c r="T166" s="14"/>
    </row>
    <row r="167" ht="13.5" customHeight="1" spans="1:20">
      <c r="A167" s="13" t="s">
        <v>2547</v>
      </c>
      <c r="B167" s="13" t="s">
        <v>1325</v>
      </c>
      <c r="C167" s="13" t="s">
        <v>1918</v>
      </c>
      <c r="D167" s="13" t="s">
        <v>2220</v>
      </c>
      <c r="E167" s="13" t="s">
        <v>2541</v>
      </c>
      <c r="F167" s="13" t="s">
        <v>1931</v>
      </c>
      <c r="G167" s="13" t="s">
        <v>1958</v>
      </c>
      <c r="H167" s="13" t="s">
        <v>1947</v>
      </c>
      <c r="I167" s="13" t="s">
        <v>2010</v>
      </c>
      <c r="J167" s="13" t="s">
        <v>2548</v>
      </c>
      <c r="K167" s="14">
        <v>1</v>
      </c>
      <c r="L167" s="13" t="s">
        <v>1325</v>
      </c>
      <c r="M167" s="13" t="s">
        <v>2547</v>
      </c>
      <c r="N167" s="13" t="s">
        <v>191</v>
      </c>
      <c r="O167" s="14" t="s">
        <v>1925</v>
      </c>
      <c r="P167" s="14" t="s">
        <v>1949</v>
      </c>
      <c r="Q167" s="14"/>
      <c r="R167" s="14" t="s">
        <v>1927</v>
      </c>
      <c r="S167" s="14"/>
      <c r="T167" s="14"/>
    </row>
    <row r="168" ht="13.5" customHeight="1" spans="1:20">
      <c r="A168" s="13" t="s">
        <v>2549</v>
      </c>
      <c r="B168" s="13" t="s">
        <v>1341</v>
      </c>
      <c r="C168" s="13" t="s">
        <v>1918</v>
      </c>
      <c r="D168" s="13" t="s">
        <v>1992</v>
      </c>
      <c r="E168" s="13" t="s">
        <v>2541</v>
      </c>
      <c r="F168" s="13" t="s">
        <v>1931</v>
      </c>
      <c r="G168" s="13" t="s">
        <v>1946</v>
      </c>
      <c r="H168" s="13" t="s">
        <v>2550</v>
      </c>
      <c r="I168" s="13" t="s">
        <v>1934</v>
      </c>
      <c r="J168" s="13" t="s">
        <v>2551</v>
      </c>
      <c r="K168" s="14">
        <v>1</v>
      </c>
      <c r="L168" s="13" t="s">
        <v>1341</v>
      </c>
      <c r="M168" s="13" t="s">
        <v>2549</v>
      </c>
      <c r="N168" s="13" t="s">
        <v>191</v>
      </c>
      <c r="O168" s="14" t="s">
        <v>1925</v>
      </c>
      <c r="P168" s="14" t="s">
        <v>1937</v>
      </c>
      <c r="Q168" s="14" t="s">
        <v>2552</v>
      </c>
      <c r="R168" s="14" t="s">
        <v>1939</v>
      </c>
      <c r="S168" s="14"/>
      <c r="T168" s="14"/>
    </row>
    <row r="169" ht="13.5" customHeight="1" spans="1:20">
      <c r="A169" s="13" t="s">
        <v>2553</v>
      </c>
      <c r="B169" s="13" t="s">
        <v>1346</v>
      </c>
      <c r="C169" s="13" t="s">
        <v>1918</v>
      </c>
      <c r="D169" s="13" t="s">
        <v>1992</v>
      </c>
      <c r="E169" s="13" t="s">
        <v>2518</v>
      </c>
      <c r="F169" s="13" t="s">
        <v>1931</v>
      </c>
      <c r="G169" s="13" t="s">
        <v>1946</v>
      </c>
      <c r="H169" s="13" t="s">
        <v>2554</v>
      </c>
      <c r="I169" s="13" t="s">
        <v>1934</v>
      </c>
      <c r="J169" s="13" t="s">
        <v>2555</v>
      </c>
      <c r="K169" s="14">
        <v>1</v>
      </c>
      <c r="L169" s="13" t="s">
        <v>1346</v>
      </c>
      <c r="M169" s="13" t="s">
        <v>2553</v>
      </c>
      <c r="N169" s="13" t="s">
        <v>191</v>
      </c>
      <c r="O169" s="14" t="s">
        <v>1996</v>
      </c>
      <c r="P169" s="14" t="s">
        <v>1937</v>
      </c>
      <c r="Q169" s="14" t="s">
        <v>2556</v>
      </c>
      <c r="R169" s="14" t="s">
        <v>1939</v>
      </c>
      <c r="S169" s="14"/>
      <c r="T169" s="14"/>
    </row>
    <row r="170" ht="13.5" customHeight="1" spans="1:20">
      <c r="A170" s="13" t="s">
        <v>2557</v>
      </c>
      <c r="B170" s="13" t="s">
        <v>1347</v>
      </c>
      <c r="C170" s="13" t="s">
        <v>1918</v>
      </c>
      <c r="D170" s="13" t="s">
        <v>1992</v>
      </c>
      <c r="E170" s="13" t="s">
        <v>2521</v>
      </c>
      <c r="F170" s="13" t="s">
        <v>1931</v>
      </c>
      <c r="G170" s="13" t="s">
        <v>1941</v>
      </c>
      <c r="H170" s="13" t="s">
        <v>2554</v>
      </c>
      <c r="I170" s="13" t="s">
        <v>1987</v>
      </c>
      <c r="J170" s="13" t="s">
        <v>2558</v>
      </c>
      <c r="K170" s="14">
        <v>1</v>
      </c>
      <c r="L170" s="13" t="s">
        <v>1347</v>
      </c>
      <c r="M170" s="13" t="s">
        <v>2557</v>
      </c>
      <c r="N170" s="13" t="s">
        <v>191</v>
      </c>
      <c r="O170" s="14" t="s">
        <v>1936</v>
      </c>
      <c r="P170" s="14" t="s">
        <v>1937</v>
      </c>
      <c r="Q170" s="14" t="s">
        <v>2556</v>
      </c>
      <c r="R170" s="14" t="s">
        <v>1927</v>
      </c>
      <c r="S170" s="14"/>
      <c r="T170" s="14"/>
    </row>
    <row r="171" ht="13.5" customHeight="1" spans="1:20">
      <c r="A171" s="13" t="s">
        <v>2559</v>
      </c>
      <c r="B171" s="13" t="s">
        <v>1364</v>
      </c>
      <c r="C171" s="13" t="s">
        <v>1999</v>
      </c>
      <c r="D171" s="13" t="s">
        <v>318</v>
      </c>
      <c r="E171" s="13" t="s">
        <v>2518</v>
      </c>
      <c r="F171" s="13" t="s">
        <v>1931</v>
      </c>
      <c r="G171" s="13" t="s">
        <v>2560</v>
      </c>
      <c r="H171" s="13" t="s">
        <v>2561</v>
      </c>
      <c r="I171" s="13" t="s">
        <v>1934</v>
      </c>
      <c r="J171" s="13" t="s">
        <v>2562</v>
      </c>
      <c r="K171" s="14">
        <v>1</v>
      </c>
      <c r="L171" s="13" t="s">
        <v>1364</v>
      </c>
      <c r="M171" s="13" t="s">
        <v>2559</v>
      </c>
      <c r="N171" s="13" t="s">
        <v>191</v>
      </c>
      <c r="O171" s="14" t="s">
        <v>1996</v>
      </c>
      <c r="P171" s="14" t="s">
        <v>1937</v>
      </c>
      <c r="Q171" s="14" t="s">
        <v>2563</v>
      </c>
      <c r="R171" s="14" t="s">
        <v>1939</v>
      </c>
      <c r="S171" s="14"/>
      <c r="T171" s="14"/>
    </row>
    <row r="172" ht="13.5" customHeight="1" spans="1:20">
      <c r="A172" s="13" t="s">
        <v>2564</v>
      </c>
      <c r="B172" s="13" t="s">
        <v>1370</v>
      </c>
      <c r="C172" s="13" t="s">
        <v>1999</v>
      </c>
      <c r="D172" s="13" t="s">
        <v>318</v>
      </c>
      <c r="E172" s="13" t="s">
        <v>2541</v>
      </c>
      <c r="F172" s="13" t="s">
        <v>1920</v>
      </c>
      <c r="G172" s="13" t="s">
        <v>1921</v>
      </c>
      <c r="H172" s="13" t="s">
        <v>1947</v>
      </c>
      <c r="I172" s="13" t="s">
        <v>1923</v>
      </c>
      <c r="J172" s="13" t="s">
        <v>2565</v>
      </c>
      <c r="K172" s="14">
        <v>1</v>
      </c>
      <c r="L172" s="13" t="s">
        <v>1370</v>
      </c>
      <c r="M172" s="13" t="s">
        <v>2564</v>
      </c>
      <c r="N172" s="13" t="s">
        <v>191</v>
      </c>
      <c r="O172" s="14" t="s">
        <v>1925</v>
      </c>
      <c r="P172" s="14" t="s">
        <v>1949</v>
      </c>
      <c r="Q172" s="14"/>
      <c r="R172" s="14" t="s">
        <v>1927</v>
      </c>
      <c r="S172" s="14"/>
      <c r="T172" s="14"/>
    </row>
    <row r="173" ht="13.5" customHeight="1" spans="1:20">
      <c r="A173" s="13" t="s">
        <v>2566</v>
      </c>
      <c r="B173" s="13" t="s">
        <v>1377</v>
      </c>
      <c r="C173" s="13" t="s">
        <v>1999</v>
      </c>
      <c r="D173" s="13" t="s">
        <v>2291</v>
      </c>
      <c r="E173" s="13" t="s">
        <v>2534</v>
      </c>
      <c r="F173" s="13" t="s">
        <v>1931</v>
      </c>
      <c r="G173" s="13" t="s">
        <v>1921</v>
      </c>
      <c r="H173" s="13" t="s">
        <v>1947</v>
      </c>
      <c r="I173" s="13" t="s">
        <v>1923</v>
      </c>
      <c r="J173" s="13" t="s">
        <v>2567</v>
      </c>
      <c r="K173" s="14">
        <v>1</v>
      </c>
      <c r="L173" s="13" t="s">
        <v>1377</v>
      </c>
      <c r="M173" s="13" t="s">
        <v>2566</v>
      </c>
      <c r="N173" s="13" t="s">
        <v>191</v>
      </c>
      <c r="O173" s="14" t="s">
        <v>1974</v>
      </c>
      <c r="P173" s="14" t="s">
        <v>1949</v>
      </c>
      <c r="Q173" s="14"/>
      <c r="R173" s="14" t="s">
        <v>1927</v>
      </c>
      <c r="S173" s="14"/>
      <c r="T173" s="14"/>
    </row>
    <row r="174" ht="13.5" customHeight="1" spans="1:20">
      <c r="A174" s="13" t="s">
        <v>2568</v>
      </c>
      <c r="B174" s="13" t="s">
        <v>1383</v>
      </c>
      <c r="C174" s="13" t="s">
        <v>1999</v>
      </c>
      <c r="D174" s="13" t="s">
        <v>331</v>
      </c>
      <c r="E174" s="13" t="s">
        <v>2518</v>
      </c>
      <c r="F174" s="13" t="s">
        <v>1931</v>
      </c>
      <c r="G174" s="13" t="s">
        <v>2234</v>
      </c>
      <c r="H174" s="13" t="s">
        <v>2569</v>
      </c>
      <c r="I174" s="13" t="s">
        <v>1923</v>
      </c>
      <c r="J174" s="13" t="s">
        <v>2570</v>
      </c>
      <c r="K174" s="14">
        <v>1</v>
      </c>
      <c r="L174" s="13" t="s">
        <v>1383</v>
      </c>
      <c r="M174" s="13" t="s">
        <v>2568</v>
      </c>
      <c r="N174" s="13" t="s">
        <v>191</v>
      </c>
      <c r="O174" s="14" t="s">
        <v>1996</v>
      </c>
      <c r="P174" s="14" t="s">
        <v>1937</v>
      </c>
      <c r="Q174" s="14" t="s">
        <v>2571</v>
      </c>
      <c r="R174" s="14" t="s">
        <v>1927</v>
      </c>
      <c r="S174" s="14"/>
      <c r="T174" s="14"/>
    </row>
    <row r="175" ht="13.5" customHeight="1" spans="1:20">
      <c r="A175" s="13" t="s">
        <v>2572</v>
      </c>
      <c r="B175" s="13" t="s">
        <v>1389</v>
      </c>
      <c r="C175" s="13" t="s">
        <v>1999</v>
      </c>
      <c r="D175" s="13" t="s">
        <v>2031</v>
      </c>
      <c r="E175" s="13" t="s">
        <v>2573</v>
      </c>
      <c r="F175" s="13" t="s">
        <v>2574</v>
      </c>
      <c r="G175" s="13" t="s">
        <v>1941</v>
      </c>
      <c r="H175" s="13" t="s">
        <v>1942</v>
      </c>
      <c r="I175" s="13" t="s">
        <v>2575</v>
      </c>
      <c r="J175" s="13" t="s">
        <v>2576</v>
      </c>
      <c r="K175" s="14">
        <v>1</v>
      </c>
      <c r="L175" s="13" t="s">
        <v>1389</v>
      </c>
      <c r="M175" s="13" t="s">
        <v>2572</v>
      </c>
      <c r="N175" s="13" t="s">
        <v>191</v>
      </c>
      <c r="O175" s="14" t="s">
        <v>1969</v>
      </c>
      <c r="P175" s="14" t="s">
        <v>1944</v>
      </c>
      <c r="Q175" s="14"/>
      <c r="R175" s="14" t="s">
        <v>1939</v>
      </c>
      <c r="S175" s="14"/>
      <c r="T175" s="14"/>
    </row>
    <row r="176" ht="13.5" customHeight="1" spans="1:20">
      <c r="A176" s="13" t="s">
        <v>2577</v>
      </c>
      <c r="B176" s="13" t="s">
        <v>1393</v>
      </c>
      <c r="C176" s="13" t="s">
        <v>1999</v>
      </c>
      <c r="D176" s="13" t="s">
        <v>2031</v>
      </c>
      <c r="E176" s="13" t="s">
        <v>2541</v>
      </c>
      <c r="F176" s="13" t="s">
        <v>1931</v>
      </c>
      <c r="G176" s="13" t="s">
        <v>2056</v>
      </c>
      <c r="H176" s="13" t="s">
        <v>2578</v>
      </c>
      <c r="I176" s="13" t="s">
        <v>1987</v>
      </c>
      <c r="J176" s="13" t="s">
        <v>2579</v>
      </c>
      <c r="K176" s="14">
        <v>1</v>
      </c>
      <c r="L176" s="13" t="s">
        <v>1393</v>
      </c>
      <c r="M176" s="13" t="s">
        <v>2577</v>
      </c>
      <c r="N176" s="13" t="s">
        <v>191</v>
      </c>
      <c r="O176" s="14" t="s">
        <v>1925</v>
      </c>
      <c r="P176" s="14" t="s">
        <v>1937</v>
      </c>
      <c r="Q176" s="14" t="s">
        <v>2580</v>
      </c>
      <c r="R176" s="14" t="s">
        <v>1927</v>
      </c>
      <c r="S176" s="14"/>
      <c r="T176" s="14"/>
    </row>
    <row r="177" ht="13.5" customHeight="1" spans="1:20">
      <c r="A177" s="13" t="s">
        <v>2581</v>
      </c>
      <c r="B177" s="13" t="s">
        <v>1394</v>
      </c>
      <c r="C177" s="13" t="s">
        <v>1999</v>
      </c>
      <c r="D177" s="13" t="s">
        <v>2031</v>
      </c>
      <c r="E177" s="13" t="s">
        <v>2541</v>
      </c>
      <c r="F177" s="13" t="s">
        <v>1931</v>
      </c>
      <c r="G177" s="13" t="s">
        <v>2056</v>
      </c>
      <c r="H177" s="13" t="s">
        <v>2582</v>
      </c>
      <c r="I177" s="13" t="s">
        <v>2010</v>
      </c>
      <c r="J177" s="13" t="s">
        <v>2583</v>
      </c>
      <c r="K177" s="14">
        <v>1</v>
      </c>
      <c r="L177" s="13" t="s">
        <v>1394</v>
      </c>
      <c r="M177" s="13" t="s">
        <v>2581</v>
      </c>
      <c r="N177" s="13" t="s">
        <v>191</v>
      </c>
      <c r="O177" s="14" t="s">
        <v>1925</v>
      </c>
      <c r="P177" s="14" t="s">
        <v>1937</v>
      </c>
      <c r="Q177" s="14" t="s">
        <v>2584</v>
      </c>
      <c r="R177" s="14" t="s">
        <v>1927</v>
      </c>
      <c r="S177" s="14"/>
      <c r="T177" s="14"/>
    </row>
    <row r="178" ht="13.5" customHeight="1" spans="1:20">
      <c r="A178" s="13" t="s">
        <v>2585</v>
      </c>
      <c r="B178" s="13" t="s">
        <v>1401</v>
      </c>
      <c r="C178" s="13" t="s">
        <v>1999</v>
      </c>
      <c r="D178" s="13" t="s">
        <v>1929</v>
      </c>
      <c r="E178" s="13" t="s">
        <v>2541</v>
      </c>
      <c r="F178" s="13" t="s">
        <v>1931</v>
      </c>
      <c r="G178" s="13" t="s">
        <v>1921</v>
      </c>
      <c r="H178" s="13" t="s">
        <v>2039</v>
      </c>
      <c r="I178" s="13" t="s">
        <v>1977</v>
      </c>
      <c r="J178" s="13" t="s">
        <v>2586</v>
      </c>
      <c r="K178" s="14">
        <v>1</v>
      </c>
      <c r="L178" s="13" t="s">
        <v>1401</v>
      </c>
      <c r="M178" s="13" t="s">
        <v>2585</v>
      </c>
      <c r="N178" s="13" t="s">
        <v>191</v>
      </c>
      <c r="O178" s="14" t="s">
        <v>1925</v>
      </c>
      <c r="P178" s="14" t="s">
        <v>1949</v>
      </c>
      <c r="Q178" s="14"/>
      <c r="R178" s="14" t="s">
        <v>1939</v>
      </c>
      <c r="S178" s="14"/>
      <c r="T178" s="14"/>
    </row>
    <row r="179" ht="13.5" customHeight="1" spans="1:20">
      <c r="A179" s="13" t="s">
        <v>2587</v>
      </c>
      <c r="B179" s="13" t="s">
        <v>1414</v>
      </c>
      <c r="C179" s="13" t="s">
        <v>1999</v>
      </c>
      <c r="D179" s="13" t="s">
        <v>1929</v>
      </c>
      <c r="E179" s="13" t="s">
        <v>2521</v>
      </c>
      <c r="F179" s="13" t="s">
        <v>1931</v>
      </c>
      <c r="G179" s="13" t="s">
        <v>2234</v>
      </c>
      <c r="H179" s="13" t="s">
        <v>2588</v>
      </c>
      <c r="I179" s="13" t="s">
        <v>1934</v>
      </c>
      <c r="J179" s="13" t="s">
        <v>2589</v>
      </c>
      <c r="K179" s="14">
        <v>1</v>
      </c>
      <c r="L179" s="13" t="s">
        <v>1414</v>
      </c>
      <c r="M179" s="13" t="s">
        <v>2587</v>
      </c>
      <c r="N179" s="13" t="s">
        <v>191</v>
      </c>
      <c r="O179" s="14" t="s">
        <v>1936</v>
      </c>
      <c r="P179" s="14" t="s">
        <v>1937</v>
      </c>
      <c r="Q179" s="14" t="s">
        <v>2590</v>
      </c>
      <c r="R179" s="14" t="s">
        <v>1939</v>
      </c>
      <c r="S179" s="14"/>
      <c r="T179" s="14"/>
    </row>
    <row r="180" ht="13.5" customHeight="1" spans="1:20">
      <c r="A180" s="13" t="s">
        <v>2591</v>
      </c>
      <c r="B180" s="13" t="s">
        <v>1416</v>
      </c>
      <c r="C180" s="13" t="s">
        <v>1999</v>
      </c>
      <c r="D180" s="13" t="s">
        <v>1929</v>
      </c>
      <c r="E180" s="13" t="s">
        <v>2541</v>
      </c>
      <c r="F180" s="13" t="s">
        <v>1931</v>
      </c>
      <c r="G180" s="13" t="s">
        <v>1932</v>
      </c>
      <c r="H180" s="13" t="s">
        <v>2592</v>
      </c>
      <c r="I180" s="13" t="s">
        <v>1923</v>
      </c>
      <c r="J180" s="13" t="s">
        <v>2593</v>
      </c>
      <c r="K180" s="14">
        <v>1</v>
      </c>
      <c r="L180" s="13" t="s">
        <v>1416</v>
      </c>
      <c r="M180" s="13" t="s">
        <v>2591</v>
      </c>
      <c r="N180" s="13" t="s">
        <v>191</v>
      </c>
      <c r="O180" s="14" t="s">
        <v>1925</v>
      </c>
      <c r="P180" s="14" t="s">
        <v>1937</v>
      </c>
      <c r="Q180" s="14" t="s">
        <v>2594</v>
      </c>
      <c r="R180" s="14" t="s">
        <v>1927</v>
      </c>
      <c r="S180" s="14"/>
      <c r="T180" s="14"/>
    </row>
    <row r="181" ht="13.5" customHeight="1" spans="1:20">
      <c r="A181" s="13" t="s">
        <v>2595</v>
      </c>
      <c r="B181" s="13" t="s">
        <v>1419</v>
      </c>
      <c r="C181" s="13" t="s">
        <v>1999</v>
      </c>
      <c r="D181" s="13" t="s">
        <v>1929</v>
      </c>
      <c r="E181" s="13" t="s">
        <v>2521</v>
      </c>
      <c r="F181" s="13" t="s">
        <v>1931</v>
      </c>
      <c r="G181" s="13" t="s">
        <v>2596</v>
      </c>
      <c r="H181" s="13" t="s">
        <v>2597</v>
      </c>
      <c r="I181" s="13" t="s">
        <v>1934</v>
      </c>
      <c r="J181" s="13" t="s">
        <v>2598</v>
      </c>
      <c r="K181" s="14">
        <v>1</v>
      </c>
      <c r="L181" s="13" t="s">
        <v>1419</v>
      </c>
      <c r="M181" s="13" t="s">
        <v>2595</v>
      </c>
      <c r="N181" s="13" t="s">
        <v>191</v>
      </c>
      <c r="O181" s="14" t="s">
        <v>1936</v>
      </c>
      <c r="P181" s="14" t="s">
        <v>1937</v>
      </c>
      <c r="Q181" s="14" t="s">
        <v>2599</v>
      </c>
      <c r="R181" s="14" t="s">
        <v>1939</v>
      </c>
      <c r="S181" s="14"/>
      <c r="T181" s="14"/>
    </row>
    <row r="182" ht="13.5" customHeight="1" spans="1:20">
      <c r="A182" s="13" t="s">
        <v>2600</v>
      </c>
      <c r="B182" s="13" t="s">
        <v>1428</v>
      </c>
      <c r="C182" s="13" t="s">
        <v>1999</v>
      </c>
      <c r="D182" s="13" t="s">
        <v>1929</v>
      </c>
      <c r="E182" s="13" t="s">
        <v>2541</v>
      </c>
      <c r="F182" s="13" t="s">
        <v>1931</v>
      </c>
      <c r="G182" s="13" t="s">
        <v>1946</v>
      </c>
      <c r="H182" s="13" t="s">
        <v>2601</v>
      </c>
      <c r="I182" s="13" t="s">
        <v>1923</v>
      </c>
      <c r="J182" s="13" t="s">
        <v>2602</v>
      </c>
      <c r="K182" s="14">
        <v>1</v>
      </c>
      <c r="L182" s="13" t="s">
        <v>1428</v>
      </c>
      <c r="M182" s="13" t="s">
        <v>2600</v>
      </c>
      <c r="N182" s="13" t="s">
        <v>191</v>
      </c>
      <c r="O182" s="14" t="s">
        <v>1925</v>
      </c>
      <c r="P182" s="14" t="s">
        <v>1937</v>
      </c>
      <c r="Q182" s="14" t="s">
        <v>2603</v>
      </c>
      <c r="R182" s="14" t="s">
        <v>1927</v>
      </c>
      <c r="S182" s="14"/>
      <c r="T182" s="14"/>
    </row>
    <row r="183" ht="13.5" customHeight="1" spans="1:20">
      <c r="A183" s="13" t="s">
        <v>2604</v>
      </c>
      <c r="B183" s="13" t="s">
        <v>1433</v>
      </c>
      <c r="C183" s="13" t="s">
        <v>1999</v>
      </c>
      <c r="D183" s="13" t="s">
        <v>2605</v>
      </c>
      <c r="E183" s="13" t="s">
        <v>2573</v>
      </c>
      <c r="F183" s="13" t="s">
        <v>1931</v>
      </c>
      <c r="G183" s="13" t="s">
        <v>2056</v>
      </c>
      <c r="H183" s="13" t="s">
        <v>2606</v>
      </c>
      <c r="I183" s="13" t="s">
        <v>1979</v>
      </c>
      <c r="J183" s="13" t="s">
        <v>2607</v>
      </c>
      <c r="K183" s="14">
        <v>1</v>
      </c>
      <c r="L183" s="13" t="s">
        <v>1433</v>
      </c>
      <c r="M183" s="13" t="s">
        <v>2604</v>
      </c>
      <c r="N183" s="13" t="s">
        <v>191</v>
      </c>
      <c r="O183" s="14" t="s">
        <v>1969</v>
      </c>
      <c r="P183" s="14" t="s">
        <v>1937</v>
      </c>
      <c r="Q183" s="14" t="s">
        <v>2608</v>
      </c>
      <c r="R183" s="14" t="s">
        <v>1939</v>
      </c>
      <c r="S183" s="14"/>
      <c r="T183" s="14"/>
    </row>
    <row r="184" ht="13.5" customHeight="1" spans="1:20">
      <c r="A184" s="13" t="s">
        <v>2609</v>
      </c>
      <c r="B184" s="13" t="s">
        <v>1448</v>
      </c>
      <c r="C184" s="13" t="s">
        <v>1999</v>
      </c>
      <c r="D184" s="13" t="s">
        <v>2082</v>
      </c>
      <c r="E184" s="13" t="s">
        <v>2610</v>
      </c>
      <c r="F184" s="13" t="s">
        <v>1931</v>
      </c>
      <c r="G184" s="13" t="s">
        <v>2611</v>
      </c>
      <c r="H184" s="13" t="s">
        <v>2612</v>
      </c>
      <c r="I184" s="13" t="s">
        <v>1923</v>
      </c>
      <c r="J184" s="13" t="s">
        <v>2613</v>
      </c>
      <c r="K184" s="14">
        <v>1</v>
      </c>
      <c r="L184" s="13" t="s">
        <v>1448</v>
      </c>
      <c r="M184" s="13" t="s">
        <v>2609</v>
      </c>
      <c r="N184" s="13" t="s">
        <v>191</v>
      </c>
      <c r="O184" s="14" t="s">
        <v>2049</v>
      </c>
      <c r="P184" s="14" t="s">
        <v>1937</v>
      </c>
      <c r="Q184" s="14" t="s">
        <v>2614</v>
      </c>
      <c r="R184" s="14" t="s">
        <v>1927</v>
      </c>
      <c r="S184" s="14"/>
      <c r="T184" s="14"/>
    </row>
    <row r="185" ht="13.5" customHeight="1" spans="1:20">
      <c r="A185" s="13" t="s">
        <v>2615</v>
      </c>
      <c r="B185" s="13" t="s">
        <v>1451</v>
      </c>
      <c r="C185" s="13" t="s">
        <v>1999</v>
      </c>
      <c r="D185" s="13" t="s">
        <v>2082</v>
      </c>
      <c r="E185" s="13" t="s">
        <v>2610</v>
      </c>
      <c r="F185" s="13" t="s">
        <v>1931</v>
      </c>
      <c r="G185" s="13" t="s">
        <v>1946</v>
      </c>
      <c r="H185" s="13" t="s">
        <v>2616</v>
      </c>
      <c r="I185" s="13" t="s">
        <v>1923</v>
      </c>
      <c r="J185" s="13" t="s">
        <v>2617</v>
      </c>
      <c r="K185" s="14">
        <v>1</v>
      </c>
      <c r="L185" s="13" t="s">
        <v>1451</v>
      </c>
      <c r="M185" s="13" t="s">
        <v>2615</v>
      </c>
      <c r="N185" s="13" t="s">
        <v>191</v>
      </c>
      <c r="O185" s="14" t="s">
        <v>2049</v>
      </c>
      <c r="P185" s="14" t="s">
        <v>1981</v>
      </c>
      <c r="Q185" s="14" t="s">
        <v>2618</v>
      </c>
      <c r="R185" s="14" t="s">
        <v>1927</v>
      </c>
      <c r="S185" s="14"/>
      <c r="T185" s="14"/>
    </row>
    <row r="186" ht="13.5" customHeight="1" spans="1:20">
      <c r="A186" s="13" t="s">
        <v>2619</v>
      </c>
      <c r="B186" s="13" t="s">
        <v>1454</v>
      </c>
      <c r="C186" s="13" t="s">
        <v>1999</v>
      </c>
      <c r="D186" s="13" t="s">
        <v>2082</v>
      </c>
      <c r="E186" s="13" t="s">
        <v>2610</v>
      </c>
      <c r="F186" s="13" t="s">
        <v>1931</v>
      </c>
      <c r="G186" s="13" t="s">
        <v>1946</v>
      </c>
      <c r="H186" s="13" t="s">
        <v>2620</v>
      </c>
      <c r="I186" s="13" t="s">
        <v>1987</v>
      </c>
      <c r="J186" s="13" t="s">
        <v>2621</v>
      </c>
      <c r="K186" s="14">
        <v>1</v>
      </c>
      <c r="L186" s="13" t="s">
        <v>1454</v>
      </c>
      <c r="M186" s="13" t="s">
        <v>2619</v>
      </c>
      <c r="N186" s="13" t="s">
        <v>191</v>
      </c>
      <c r="O186" s="14" t="s">
        <v>2049</v>
      </c>
      <c r="P186" s="14" t="s">
        <v>1937</v>
      </c>
      <c r="Q186" s="14" t="s">
        <v>2622</v>
      </c>
      <c r="R186" s="14" t="s">
        <v>1927</v>
      </c>
      <c r="S186" s="14"/>
      <c r="T186" s="14"/>
    </row>
    <row r="187" ht="13.5" customHeight="1" spans="1:20">
      <c r="A187" s="13" t="s">
        <v>2623</v>
      </c>
      <c r="B187" s="13" t="s">
        <v>1476</v>
      </c>
      <c r="C187" s="13" t="s">
        <v>1999</v>
      </c>
      <c r="D187" s="13" t="s">
        <v>2089</v>
      </c>
      <c r="E187" s="13" t="s">
        <v>2518</v>
      </c>
      <c r="F187" s="13" t="s">
        <v>1931</v>
      </c>
      <c r="G187" s="13" t="s">
        <v>2009</v>
      </c>
      <c r="H187" s="13" t="s">
        <v>2624</v>
      </c>
      <c r="I187" s="13" t="s">
        <v>1923</v>
      </c>
      <c r="J187" s="13" t="s">
        <v>2625</v>
      </c>
      <c r="K187" s="14">
        <v>1</v>
      </c>
      <c r="L187" s="13" t="s">
        <v>1476</v>
      </c>
      <c r="M187" s="13" t="s">
        <v>2623</v>
      </c>
      <c r="N187" s="13" t="s">
        <v>191</v>
      </c>
      <c r="O187" s="14" t="s">
        <v>1996</v>
      </c>
      <c r="P187" s="14" t="s">
        <v>1937</v>
      </c>
      <c r="Q187" s="14" t="s">
        <v>2626</v>
      </c>
      <c r="R187" s="14" t="s">
        <v>1927</v>
      </c>
      <c r="S187" s="14"/>
      <c r="T187" s="14"/>
    </row>
    <row r="188" ht="13.5" customHeight="1" spans="1:20">
      <c r="A188" s="13" t="s">
        <v>2627</v>
      </c>
      <c r="B188" s="13" t="s">
        <v>1482</v>
      </c>
      <c r="C188" s="13" t="s">
        <v>1999</v>
      </c>
      <c r="D188" s="13" t="s">
        <v>2628</v>
      </c>
      <c r="E188" s="13" t="s">
        <v>2629</v>
      </c>
      <c r="F188" s="13" t="s">
        <v>1931</v>
      </c>
      <c r="G188" s="13" t="s">
        <v>2056</v>
      </c>
      <c r="H188" s="13" t="s">
        <v>2630</v>
      </c>
      <c r="I188" s="13" t="s">
        <v>1957</v>
      </c>
      <c r="J188" s="13" t="s">
        <v>2631</v>
      </c>
      <c r="K188" s="14">
        <v>1</v>
      </c>
      <c r="L188" s="13" t="s">
        <v>1482</v>
      </c>
      <c r="M188" s="13" t="s">
        <v>2627</v>
      </c>
      <c r="N188" s="13" t="s">
        <v>191</v>
      </c>
      <c r="O188" s="14" t="s">
        <v>1989</v>
      </c>
      <c r="P188" s="14" t="s">
        <v>2095</v>
      </c>
      <c r="Q188" s="14" t="s">
        <v>2632</v>
      </c>
      <c r="R188" s="14" t="s">
        <v>1939</v>
      </c>
      <c r="S188" s="14"/>
      <c r="T188" s="14"/>
    </row>
    <row r="189" ht="13.5" customHeight="1" spans="1:20">
      <c r="A189" s="13" t="s">
        <v>2633</v>
      </c>
      <c r="B189" s="13" t="s">
        <v>1485</v>
      </c>
      <c r="C189" s="13" t="s">
        <v>1999</v>
      </c>
      <c r="D189" s="13" t="s">
        <v>2367</v>
      </c>
      <c r="E189" s="13" t="s">
        <v>2629</v>
      </c>
      <c r="F189" s="13" t="s">
        <v>2143</v>
      </c>
      <c r="G189" s="13" t="s">
        <v>2634</v>
      </c>
      <c r="H189" s="13" t="s">
        <v>2635</v>
      </c>
      <c r="I189" s="13" t="s">
        <v>1987</v>
      </c>
      <c r="J189" s="13" t="s">
        <v>2636</v>
      </c>
      <c r="K189" s="14">
        <v>1</v>
      </c>
      <c r="L189" s="13" t="s">
        <v>1485</v>
      </c>
      <c r="M189" s="13" t="s">
        <v>2633</v>
      </c>
      <c r="N189" s="13" t="s">
        <v>191</v>
      </c>
      <c r="O189" s="14" t="s">
        <v>1989</v>
      </c>
      <c r="P189" s="14" t="s">
        <v>1937</v>
      </c>
      <c r="Q189" s="14" t="s">
        <v>2637</v>
      </c>
      <c r="R189" s="14" t="s">
        <v>1927</v>
      </c>
      <c r="S189" s="14"/>
      <c r="T189" s="14"/>
    </row>
    <row r="190" ht="13.5" customHeight="1" spans="1:20">
      <c r="A190" s="13" t="s">
        <v>2638</v>
      </c>
      <c r="B190" s="13" t="s">
        <v>1489</v>
      </c>
      <c r="C190" s="13" t="s">
        <v>1999</v>
      </c>
      <c r="D190" s="13" t="s">
        <v>2639</v>
      </c>
      <c r="E190" s="13" t="s">
        <v>2534</v>
      </c>
      <c r="F190" s="13" t="s">
        <v>1931</v>
      </c>
      <c r="G190" s="13" t="s">
        <v>2056</v>
      </c>
      <c r="H190" s="13" t="s">
        <v>2039</v>
      </c>
      <c r="I190" s="13" t="s">
        <v>1923</v>
      </c>
      <c r="J190" s="13" t="s">
        <v>2640</v>
      </c>
      <c r="K190" s="14">
        <v>1</v>
      </c>
      <c r="L190" s="13" t="s">
        <v>1489</v>
      </c>
      <c r="M190" s="13" t="s">
        <v>2638</v>
      </c>
      <c r="N190" s="13" t="s">
        <v>191</v>
      </c>
      <c r="O190" s="14" t="s">
        <v>1974</v>
      </c>
      <c r="P190" s="14" t="s">
        <v>1949</v>
      </c>
      <c r="Q190" s="14"/>
      <c r="R190" s="14" t="s">
        <v>1927</v>
      </c>
      <c r="S190" s="14"/>
      <c r="T190" s="14"/>
    </row>
    <row r="191" ht="13.5" customHeight="1" spans="1:20">
      <c r="A191" s="13" t="s">
        <v>2641</v>
      </c>
      <c r="B191" s="13" t="s">
        <v>1490</v>
      </c>
      <c r="C191" s="13" t="s">
        <v>1999</v>
      </c>
      <c r="D191" s="13" t="s">
        <v>2639</v>
      </c>
      <c r="E191" s="13" t="s">
        <v>2573</v>
      </c>
      <c r="F191" s="13" t="s">
        <v>1957</v>
      </c>
      <c r="G191" s="13" t="s">
        <v>2056</v>
      </c>
      <c r="H191" s="13" t="s">
        <v>2642</v>
      </c>
      <c r="I191" s="13" t="s">
        <v>2643</v>
      </c>
      <c r="J191" s="13" t="s">
        <v>2644</v>
      </c>
      <c r="K191" s="14">
        <v>1</v>
      </c>
      <c r="L191" s="13" t="s">
        <v>1490</v>
      </c>
      <c r="M191" s="13" t="s">
        <v>2641</v>
      </c>
      <c r="N191" s="13" t="s">
        <v>191</v>
      </c>
      <c r="O191" s="14" t="s">
        <v>1969</v>
      </c>
      <c r="P191" s="14" t="s">
        <v>1937</v>
      </c>
      <c r="Q191" s="14" t="s">
        <v>2645</v>
      </c>
      <c r="R191" s="14" t="s">
        <v>1939</v>
      </c>
      <c r="S191" s="14"/>
      <c r="T191" s="14"/>
    </row>
    <row r="192" ht="13.5" customHeight="1" spans="1:20">
      <c r="A192" s="13" t="s">
        <v>2646</v>
      </c>
      <c r="B192" s="13" t="s">
        <v>1492</v>
      </c>
      <c r="C192" s="13" t="s">
        <v>1999</v>
      </c>
      <c r="D192" s="13" t="s">
        <v>2639</v>
      </c>
      <c r="E192" s="13" t="s">
        <v>2521</v>
      </c>
      <c r="F192" s="13" t="s">
        <v>1931</v>
      </c>
      <c r="G192" s="13" t="s">
        <v>2647</v>
      </c>
      <c r="H192" s="13" t="s">
        <v>2648</v>
      </c>
      <c r="I192" s="13" t="s">
        <v>1967</v>
      </c>
      <c r="J192" s="13" t="s">
        <v>2649</v>
      </c>
      <c r="K192" s="14">
        <v>1</v>
      </c>
      <c r="L192" s="13" t="s">
        <v>1492</v>
      </c>
      <c r="M192" s="13" t="s">
        <v>2646</v>
      </c>
      <c r="N192" s="13" t="s">
        <v>191</v>
      </c>
      <c r="O192" s="14" t="s">
        <v>1936</v>
      </c>
      <c r="P192" s="14" t="s">
        <v>1937</v>
      </c>
      <c r="Q192" s="14" t="s">
        <v>2650</v>
      </c>
      <c r="R192" s="14" t="s">
        <v>1939</v>
      </c>
      <c r="S192" s="14"/>
      <c r="T192" s="14"/>
    </row>
    <row r="193" ht="13.5" customHeight="1" spans="1:20">
      <c r="A193" s="13" t="s">
        <v>2651</v>
      </c>
      <c r="B193" s="13" t="s">
        <v>1504</v>
      </c>
      <c r="C193" s="13" t="s">
        <v>1999</v>
      </c>
      <c r="D193" s="13" t="s">
        <v>2652</v>
      </c>
      <c r="E193" s="13" t="s">
        <v>2573</v>
      </c>
      <c r="F193" s="13" t="s">
        <v>1931</v>
      </c>
      <c r="G193" s="13" t="s">
        <v>1946</v>
      </c>
      <c r="H193" s="13" t="s">
        <v>1947</v>
      </c>
      <c r="I193" s="13" t="s">
        <v>1934</v>
      </c>
      <c r="J193" s="13" t="s">
        <v>2653</v>
      </c>
      <c r="K193" s="14">
        <v>1</v>
      </c>
      <c r="L193" s="13" t="s">
        <v>1504</v>
      </c>
      <c r="M193" s="13" t="s">
        <v>2651</v>
      </c>
      <c r="N193" s="13" t="s">
        <v>191</v>
      </c>
      <c r="O193" s="14" t="s">
        <v>1969</v>
      </c>
      <c r="P193" s="14" t="s">
        <v>1949</v>
      </c>
      <c r="Q193" s="14"/>
      <c r="R193" s="14" t="s">
        <v>1939</v>
      </c>
      <c r="S193" s="14"/>
      <c r="T193" s="14"/>
    </row>
    <row r="194" ht="13.5" customHeight="1" spans="1:20">
      <c r="A194" s="13" t="s">
        <v>2654</v>
      </c>
      <c r="B194" s="13" t="s">
        <v>1506</v>
      </c>
      <c r="C194" s="13" t="s">
        <v>1999</v>
      </c>
      <c r="D194" s="13" t="s">
        <v>2655</v>
      </c>
      <c r="E194" s="13" t="s">
        <v>2656</v>
      </c>
      <c r="F194" s="13" t="s">
        <v>1931</v>
      </c>
      <c r="G194" s="13" t="s">
        <v>2056</v>
      </c>
      <c r="H194" s="13" t="s">
        <v>2657</v>
      </c>
      <c r="I194" s="13" t="s">
        <v>1957</v>
      </c>
      <c r="J194" s="13" t="s">
        <v>2658</v>
      </c>
      <c r="K194" s="14">
        <v>1</v>
      </c>
      <c r="L194" s="13" t="s">
        <v>1506</v>
      </c>
      <c r="M194" s="13" t="s">
        <v>2654</v>
      </c>
      <c r="N194" s="13" t="s">
        <v>191</v>
      </c>
      <c r="O194" s="14" t="s">
        <v>2431</v>
      </c>
      <c r="P194" s="14" t="s">
        <v>1937</v>
      </c>
      <c r="Q194" s="14" t="s">
        <v>2659</v>
      </c>
      <c r="R194" s="14" t="s">
        <v>1939</v>
      </c>
      <c r="S194" s="14"/>
      <c r="T194" s="14"/>
    </row>
    <row r="195" ht="13.5" customHeight="1" spans="1:20">
      <c r="A195" s="13" t="s">
        <v>2660</v>
      </c>
      <c r="B195" s="13" t="s">
        <v>1516</v>
      </c>
      <c r="C195" s="13" t="s">
        <v>1999</v>
      </c>
      <c r="D195" s="13" t="s">
        <v>2118</v>
      </c>
      <c r="E195" s="13" t="s">
        <v>2534</v>
      </c>
      <c r="F195" s="13" t="s">
        <v>1931</v>
      </c>
      <c r="G195" s="13" t="s">
        <v>1952</v>
      </c>
      <c r="H195" s="13" t="s">
        <v>2661</v>
      </c>
      <c r="I195" s="13" t="s">
        <v>2143</v>
      </c>
      <c r="J195" s="13" t="s">
        <v>2662</v>
      </c>
      <c r="K195" s="14">
        <v>1</v>
      </c>
      <c r="L195" s="13" t="s">
        <v>1516</v>
      </c>
      <c r="M195" s="13" t="s">
        <v>2660</v>
      </c>
      <c r="N195" s="13" t="s">
        <v>191</v>
      </c>
      <c r="O195" s="14" t="s">
        <v>1974</v>
      </c>
      <c r="P195" s="14" t="s">
        <v>1937</v>
      </c>
      <c r="Q195" s="14" t="s">
        <v>2663</v>
      </c>
      <c r="R195" s="14" t="s">
        <v>1939</v>
      </c>
      <c r="S195" s="14"/>
      <c r="T195" s="14"/>
    </row>
    <row r="196" ht="13.5" customHeight="1" spans="1:20">
      <c r="A196" s="13" t="s">
        <v>2664</v>
      </c>
      <c r="B196" s="13" t="s">
        <v>1519</v>
      </c>
      <c r="C196" s="13" t="s">
        <v>1999</v>
      </c>
      <c r="D196" s="13" t="s">
        <v>2123</v>
      </c>
      <c r="E196" s="13" t="s">
        <v>2665</v>
      </c>
      <c r="F196" s="13" t="s">
        <v>1977</v>
      </c>
      <c r="G196" s="13" t="s">
        <v>2666</v>
      </c>
      <c r="H196" s="13" t="s">
        <v>2667</v>
      </c>
      <c r="I196" s="13" t="s">
        <v>1979</v>
      </c>
      <c r="J196" s="13" t="s">
        <v>2668</v>
      </c>
      <c r="K196" s="14">
        <v>1</v>
      </c>
      <c r="L196" s="13" t="s">
        <v>1519</v>
      </c>
      <c r="M196" s="13" t="s">
        <v>2664</v>
      </c>
      <c r="N196" s="13" t="s">
        <v>191</v>
      </c>
      <c r="O196" s="14" t="s">
        <v>2669</v>
      </c>
      <c r="P196" s="14" t="s">
        <v>1937</v>
      </c>
      <c r="Q196" s="14" t="s">
        <v>2670</v>
      </c>
      <c r="R196" s="14" t="s">
        <v>1939</v>
      </c>
      <c r="S196" s="14"/>
      <c r="T196" s="14"/>
    </row>
    <row r="197" ht="13.5" customHeight="1" spans="1:20">
      <c r="A197" s="13" t="s">
        <v>2671</v>
      </c>
      <c r="B197" s="13" t="s">
        <v>1534</v>
      </c>
      <c r="C197" s="13" t="s">
        <v>1999</v>
      </c>
      <c r="D197" s="13" t="s">
        <v>2137</v>
      </c>
      <c r="E197" s="13" t="s">
        <v>2541</v>
      </c>
      <c r="F197" s="13" t="s">
        <v>2672</v>
      </c>
      <c r="G197" s="13" t="s">
        <v>2234</v>
      </c>
      <c r="H197" s="13" t="s">
        <v>1947</v>
      </c>
      <c r="I197" s="13" t="s">
        <v>1934</v>
      </c>
      <c r="J197" s="13" t="s">
        <v>2673</v>
      </c>
      <c r="K197" s="14">
        <v>1</v>
      </c>
      <c r="L197" s="13" t="s">
        <v>1534</v>
      </c>
      <c r="M197" s="13" t="s">
        <v>2671</v>
      </c>
      <c r="N197" s="13" t="s">
        <v>191</v>
      </c>
      <c r="O197" s="14" t="s">
        <v>1925</v>
      </c>
      <c r="P197" s="14" t="s">
        <v>1949</v>
      </c>
      <c r="Q197" s="14"/>
      <c r="R197" s="14" t="s">
        <v>1939</v>
      </c>
      <c r="S197" s="14"/>
      <c r="T197" s="14"/>
    </row>
    <row r="198" ht="13.5" customHeight="1" spans="1:20">
      <c r="A198" s="13" t="s">
        <v>2674</v>
      </c>
      <c r="B198" s="13" t="s">
        <v>1536</v>
      </c>
      <c r="C198" s="13" t="s">
        <v>1999</v>
      </c>
      <c r="D198" s="13" t="s">
        <v>2137</v>
      </c>
      <c r="E198" s="13" t="s">
        <v>2541</v>
      </c>
      <c r="F198" s="13" t="s">
        <v>1931</v>
      </c>
      <c r="G198" s="13" t="s">
        <v>2675</v>
      </c>
      <c r="H198" s="13" t="s">
        <v>1947</v>
      </c>
      <c r="I198" s="13" t="s">
        <v>2143</v>
      </c>
      <c r="J198" s="13" t="s">
        <v>2676</v>
      </c>
      <c r="K198" s="14">
        <v>1</v>
      </c>
      <c r="L198" s="13" t="s">
        <v>1536</v>
      </c>
      <c r="M198" s="13" t="s">
        <v>2674</v>
      </c>
      <c r="N198" s="13" t="s">
        <v>191</v>
      </c>
      <c r="O198" s="14" t="s">
        <v>1925</v>
      </c>
      <c r="P198" s="14" t="s">
        <v>1949</v>
      </c>
      <c r="Q198" s="14"/>
      <c r="R198" s="14" t="s">
        <v>1939</v>
      </c>
      <c r="S198" s="14"/>
      <c r="T198" s="14"/>
    </row>
    <row r="199" ht="13.5" customHeight="1" spans="1:20">
      <c r="A199" s="13" t="s">
        <v>2677</v>
      </c>
      <c r="B199" s="13" t="s">
        <v>1555</v>
      </c>
      <c r="C199" s="13" t="s">
        <v>1999</v>
      </c>
      <c r="D199" s="13" t="s">
        <v>245</v>
      </c>
      <c r="E199" s="13" t="s">
        <v>2521</v>
      </c>
      <c r="F199" s="13" t="s">
        <v>1931</v>
      </c>
      <c r="G199" s="13" t="s">
        <v>2678</v>
      </c>
      <c r="H199" s="13" t="s">
        <v>1922</v>
      </c>
      <c r="I199" s="13" t="s">
        <v>1923</v>
      </c>
      <c r="J199" s="13" t="s">
        <v>2679</v>
      </c>
      <c r="K199" s="14">
        <v>1</v>
      </c>
      <c r="L199" s="13" t="s">
        <v>1555</v>
      </c>
      <c r="M199" s="13" t="s">
        <v>2677</v>
      </c>
      <c r="N199" s="13" t="s">
        <v>191</v>
      </c>
      <c r="O199" s="14" t="s">
        <v>1936</v>
      </c>
      <c r="P199" s="14" t="s">
        <v>1926</v>
      </c>
      <c r="Q199" s="14"/>
      <c r="R199" s="14" t="s">
        <v>1927</v>
      </c>
      <c r="S199" s="14"/>
      <c r="T199" s="14"/>
    </row>
    <row r="200" ht="13.5" customHeight="1" spans="1:20">
      <c r="A200" s="13" t="s">
        <v>2680</v>
      </c>
      <c r="B200" s="13" t="s">
        <v>1557</v>
      </c>
      <c r="C200" s="13" t="s">
        <v>1999</v>
      </c>
      <c r="D200" s="13" t="s">
        <v>245</v>
      </c>
      <c r="E200" s="13" t="s">
        <v>2521</v>
      </c>
      <c r="F200" s="13" t="s">
        <v>1920</v>
      </c>
      <c r="G200" s="13" t="s">
        <v>1921</v>
      </c>
      <c r="H200" s="13" t="s">
        <v>1922</v>
      </c>
      <c r="I200" s="13" t="s">
        <v>1923</v>
      </c>
      <c r="J200" s="13" t="s">
        <v>2681</v>
      </c>
      <c r="K200" s="14">
        <v>1</v>
      </c>
      <c r="L200" s="13" t="s">
        <v>1557</v>
      </c>
      <c r="M200" s="13" t="s">
        <v>2680</v>
      </c>
      <c r="N200" s="13" t="s">
        <v>191</v>
      </c>
      <c r="O200" s="14" t="s">
        <v>1936</v>
      </c>
      <c r="P200" s="14" t="s">
        <v>1926</v>
      </c>
      <c r="Q200" s="14"/>
      <c r="R200" s="14" t="s">
        <v>1927</v>
      </c>
      <c r="S200" s="14"/>
      <c r="T200" s="14"/>
    </row>
    <row r="201" ht="13.5" customHeight="1" spans="1:20">
      <c r="A201" s="13" t="s">
        <v>2682</v>
      </c>
      <c r="B201" s="13" t="s">
        <v>1561</v>
      </c>
      <c r="C201" s="13" t="s">
        <v>1999</v>
      </c>
      <c r="D201" s="13" t="s">
        <v>245</v>
      </c>
      <c r="E201" s="13" t="s">
        <v>2521</v>
      </c>
      <c r="F201" s="13" t="s">
        <v>1931</v>
      </c>
      <c r="G201" s="13" t="s">
        <v>1921</v>
      </c>
      <c r="H201" s="13" t="s">
        <v>1922</v>
      </c>
      <c r="I201" s="13" t="s">
        <v>1923</v>
      </c>
      <c r="J201" s="13" t="s">
        <v>2683</v>
      </c>
      <c r="K201" s="14">
        <v>1</v>
      </c>
      <c r="L201" s="13" t="s">
        <v>1561</v>
      </c>
      <c r="M201" s="13" t="s">
        <v>2682</v>
      </c>
      <c r="N201" s="13" t="s">
        <v>191</v>
      </c>
      <c r="O201" s="14" t="s">
        <v>1936</v>
      </c>
      <c r="P201" s="14" t="s">
        <v>1926</v>
      </c>
      <c r="Q201" s="14"/>
      <c r="R201" s="14" t="s">
        <v>1927</v>
      </c>
      <c r="S201" s="14"/>
      <c r="T201" s="14"/>
    </row>
    <row r="202" ht="13.5" customHeight="1" spans="1:20">
      <c r="A202" s="13" t="s">
        <v>2684</v>
      </c>
      <c r="B202" s="13" t="s">
        <v>1564</v>
      </c>
      <c r="C202" s="13" t="s">
        <v>1999</v>
      </c>
      <c r="D202" s="13" t="s">
        <v>245</v>
      </c>
      <c r="E202" s="13" t="s">
        <v>2541</v>
      </c>
      <c r="F202" s="13" t="s">
        <v>1931</v>
      </c>
      <c r="G202" s="13" t="s">
        <v>2056</v>
      </c>
      <c r="H202" s="13" t="s">
        <v>1947</v>
      </c>
      <c r="I202" s="13" t="s">
        <v>2010</v>
      </c>
      <c r="J202" s="13" t="s">
        <v>2685</v>
      </c>
      <c r="K202" s="14">
        <v>1</v>
      </c>
      <c r="L202" s="13" t="s">
        <v>1564</v>
      </c>
      <c r="M202" s="13" t="s">
        <v>2684</v>
      </c>
      <c r="N202" s="13" t="s">
        <v>191</v>
      </c>
      <c r="O202" s="14" t="s">
        <v>1925</v>
      </c>
      <c r="P202" s="14" t="s">
        <v>1949</v>
      </c>
      <c r="Q202" s="14"/>
      <c r="R202" s="14" t="s">
        <v>1927</v>
      </c>
      <c r="S202" s="14"/>
      <c r="T202" s="14"/>
    </row>
    <row r="203" ht="13.5" customHeight="1" spans="1:20">
      <c r="A203" s="13" t="s">
        <v>2686</v>
      </c>
      <c r="B203" s="13" t="s">
        <v>1573</v>
      </c>
      <c r="C203" s="13" t="s">
        <v>1999</v>
      </c>
      <c r="D203" s="13" t="s">
        <v>2168</v>
      </c>
      <c r="E203" s="13" t="s">
        <v>2518</v>
      </c>
      <c r="F203" s="13" t="s">
        <v>1977</v>
      </c>
      <c r="G203" s="13" t="s">
        <v>1952</v>
      </c>
      <c r="H203" s="13" t="s">
        <v>2687</v>
      </c>
      <c r="I203" s="13" t="s">
        <v>1957</v>
      </c>
      <c r="J203" s="13" t="s">
        <v>2688</v>
      </c>
      <c r="K203" s="14">
        <v>1</v>
      </c>
      <c r="L203" s="13" t="s">
        <v>1573</v>
      </c>
      <c r="M203" s="13" t="s">
        <v>2686</v>
      </c>
      <c r="N203" s="13" t="s">
        <v>191</v>
      </c>
      <c r="O203" s="14" t="s">
        <v>1996</v>
      </c>
      <c r="P203" s="14" t="s">
        <v>1937</v>
      </c>
      <c r="Q203" s="14" t="s">
        <v>2689</v>
      </c>
      <c r="R203" s="14" t="s">
        <v>1939</v>
      </c>
      <c r="S203" s="14"/>
      <c r="T203" s="14"/>
    </row>
    <row r="204" ht="13.5" customHeight="1" spans="1:20">
      <c r="A204" s="13" t="s">
        <v>2690</v>
      </c>
      <c r="B204" s="13" t="s">
        <v>1575</v>
      </c>
      <c r="C204" s="13" t="s">
        <v>1999</v>
      </c>
      <c r="D204" s="13" t="s">
        <v>2168</v>
      </c>
      <c r="E204" s="13" t="s">
        <v>2573</v>
      </c>
      <c r="F204" s="13" t="s">
        <v>2691</v>
      </c>
      <c r="G204" s="13" t="s">
        <v>2056</v>
      </c>
      <c r="H204" s="13" t="s">
        <v>1947</v>
      </c>
      <c r="I204" s="13" t="s">
        <v>1934</v>
      </c>
      <c r="J204" s="13" t="s">
        <v>2692</v>
      </c>
      <c r="K204" s="14">
        <v>1</v>
      </c>
      <c r="L204" s="13" t="s">
        <v>1575</v>
      </c>
      <c r="M204" s="13" t="s">
        <v>2690</v>
      </c>
      <c r="N204" s="13" t="s">
        <v>191</v>
      </c>
      <c r="O204" s="14" t="s">
        <v>1969</v>
      </c>
      <c r="P204" s="14" t="s">
        <v>1949</v>
      </c>
      <c r="Q204" s="14"/>
      <c r="R204" s="14" t="s">
        <v>1939</v>
      </c>
      <c r="S204" s="14"/>
      <c r="T204" s="14"/>
    </row>
    <row r="205" ht="13.5" customHeight="1" spans="1:20">
      <c r="A205" s="13" t="s">
        <v>2693</v>
      </c>
      <c r="B205" s="13" t="s">
        <v>1580</v>
      </c>
      <c r="C205" s="13" t="s">
        <v>1999</v>
      </c>
      <c r="D205" s="13" t="s">
        <v>1955</v>
      </c>
      <c r="E205" s="13" t="s">
        <v>2518</v>
      </c>
      <c r="F205" s="13" t="s">
        <v>1931</v>
      </c>
      <c r="G205" s="13" t="s">
        <v>1932</v>
      </c>
      <c r="H205" s="13" t="s">
        <v>1947</v>
      </c>
      <c r="I205" s="13" t="s">
        <v>1934</v>
      </c>
      <c r="J205" s="13" t="s">
        <v>2694</v>
      </c>
      <c r="K205" s="14">
        <v>1</v>
      </c>
      <c r="L205" s="13" t="s">
        <v>1580</v>
      </c>
      <c r="M205" s="13" t="s">
        <v>2693</v>
      </c>
      <c r="N205" s="13" t="s">
        <v>191</v>
      </c>
      <c r="O205" s="14" t="s">
        <v>1996</v>
      </c>
      <c r="P205" s="14" t="s">
        <v>1949</v>
      </c>
      <c r="Q205" s="14"/>
      <c r="R205" s="14" t="s">
        <v>1939</v>
      </c>
      <c r="S205" s="14"/>
      <c r="T205" s="14"/>
    </row>
    <row r="206" ht="13.5" customHeight="1" spans="1:20">
      <c r="A206" s="13" t="s">
        <v>2695</v>
      </c>
      <c r="B206" s="13" t="s">
        <v>1584</v>
      </c>
      <c r="C206" s="13" t="s">
        <v>1999</v>
      </c>
      <c r="D206" s="13" t="s">
        <v>1955</v>
      </c>
      <c r="E206" s="13" t="s">
        <v>2534</v>
      </c>
      <c r="F206" s="13" t="s">
        <v>1931</v>
      </c>
      <c r="G206" s="13" t="s">
        <v>2056</v>
      </c>
      <c r="H206" s="13" t="s">
        <v>2696</v>
      </c>
      <c r="I206" s="13" t="s">
        <v>1934</v>
      </c>
      <c r="J206" s="13" t="s">
        <v>2697</v>
      </c>
      <c r="K206" s="14">
        <v>1</v>
      </c>
      <c r="L206" s="13" t="s">
        <v>1584</v>
      </c>
      <c r="M206" s="13" t="s">
        <v>2695</v>
      </c>
      <c r="N206" s="13" t="s">
        <v>191</v>
      </c>
      <c r="O206" s="14" t="s">
        <v>1974</v>
      </c>
      <c r="P206" s="14" t="s">
        <v>1937</v>
      </c>
      <c r="Q206" s="14" t="s">
        <v>2698</v>
      </c>
      <c r="R206" s="14" t="s">
        <v>1939</v>
      </c>
      <c r="S206" s="14"/>
      <c r="T206" s="14"/>
    </row>
    <row r="207" ht="13.5" customHeight="1" spans="1:20">
      <c r="A207" s="13" t="s">
        <v>2699</v>
      </c>
      <c r="B207" s="13" t="s">
        <v>1586</v>
      </c>
      <c r="C207" s="13" t="s">
        <v>1999</v>
      </c>
      <c r="D207" s="13" t="s">
        <v>2422</v>
      </c>
      <c r="E207" s="13" t="s">
        <v>2534</v>
      </c>
      <c r="F207" s="13" t="s">
        <v>1977</v>
      </c>
      <c r="G207" s="13" t="s">
        <v>1952</v>
      </c>
      <c r="H207" s="13" t="s">
        <v>2700</v>
      </c>
      <c r="I207" s="13" t="s">
        <v>1934</v>
      </c>
      <c r="J207" s="13" t="s">
        <v>2701</v>
      </c>
      <c r="K207" s="14">
        <v>1</v>
      </c>
      <c r="L207" s="13" t="s">
        <v>1586</v>
      </c>
      <c r="M207" s="13" t="s">
        <v>2699</v>
      </c>
      <c r="N207" s="13" t="s">
        <v>191</v>
      </c>
      <c r="O207" s="14" t="s">
        <v>1974</v>
      </c>
      <c r="P207" s="14" t="s">
        <v>1937</v>
      </c>
      <c r="Q207" s="14" t="s">
        <v>2702</v>
      </c>
      <c r="R207" s="14" t="s">
        <v>1939</v>
      </c>
      <c r="S207" s="14"/>
      <c r="T207" s="14"/>
    </row>
    <row r="208" ht="13.5" customHeight="1" spans="1:20">
      <c r="A208" s="13" t="s">
        <v>2703</v>
      </c>
      <c r="B208" s="13" t="s">
        <v>1590</v>
      </c>
      <c r="C208" s="13" t="s">
        <v>1999</v>
      </c>
      <c r="D208" s="13" t="s">
        <v>2704</v>
      </c>
      <c r="E208" s="13" t="s">
        <v>2573</v>
      </c>
      <c r="F208" s="13" t="s">
        <v>1931</v>
      </c>
      <c r="G208" s="13" t="s">
        <v>2056</v>
      </c>
      <c r="H208" s="13" t="s">
        <v>1947</v>
      </c>
      <c r="I208" s="13" t="s">
        <v>2010</v>
      </c>
      <c r="J208" s="13" t="s">
        <v>2705</v>
      </c>
      <c r="K208" s="14">
        <v>1</v>
      </c>
      <c r="L208" s="13" t="s">
        <v>1590</v>
      </c>
      <c r="M208" s="13" t="s">
        <v>2703</v>
      </c>
      <c r="N208" s="13" t="s">
        <v>191</v>
      </c>
      <c r="O208" s="14" t="s">
        <v>1969</v>
      </c>
      <c r="P208" s="14" t="s">
        <v>1949</v>
      </c>
      <c r="Q208" s="14"/>
      <c r="R208" s="14" t="s">
        <v>1927</v>
      </c>
      <c r="S208" s="14"/>
      <c r="T208" s="14"/>
    </row>
    <row r="209" ht="13.5" customHeight="1" spans="1:20">
      <c r="A209" s="13" t="s">
        <v>2706</v>
      </c>
      <c r="B209" s="13" t="s">
        <v>1591</v>
      </c>
      <c r="C209" s="13" t="s">
        <v>1999</v>
      </c>
      <c r="D209" s="13" t="s">
        <v>2707</v>
      </c>
      <c r="E209" s="13" t="s">
        <v>2708</v>
      </c>
      <c r="F209" s="13" t="s">
        <v>1931</v>
      </c>
      <c r="G209" s="13" t="s">
        <v>1932</v>
      </c>
      <c r="H209" s="13" t="s">
        <v>2709</v>
      </c>
      <c r="I209" s="13" t="s">
        <v>1957</v>
      </c>
      <c r="J209" s="13" t="s">
        <v>2710</v>
      </c>
      <c r="K209" s="14">
        <v>1</v>
      </c>
      <c r="L209" s="13" t="s">
        <v>1591</v>
      </c>
      <c r="M209" s="13" t="s">
        <v>2706</v>
      </c>
      <c r="N209" s="13" t="s">
        <v>191</v>
      </c>
      <c r="O209" s="14" t="s">
        <v>2193</v>
      </c>
      <c r="P209" s="14" t="s">
        <v>1937</v>
      </c>
      <c r="Q209" s="14" t="s">
        <v>2711</v>
      </c>
      <c r="R209" s="14" t="s">
        <v>1939</v>
      </c>
      <c r="S209" s="14"/>
      <c r="T209" s="14"/>
    </row>
    <row r="210" ht="13.5" customHeight="1" spans="1:20">
      <c r="A210" s="13" t="s">
        <v>2712</v>
      </c>
      <c r="B210" s="13" t="s">
        <v>1597</v>
      </c>
      <c r="C210" s="13" t="s">
        <v>1999</v>
      </c>
      <c r="D210" s="13" t="s">
        <v>2713</v>
      </c>
      <c r="E210" s="13" t="s">
        <v>2521</v>
      </c>
      <c r="F210" s="13" t="s">
        <v>1931</v>
      </c>
      <c r="G210" s="13" t="s">
        <v>1941</v>
      </c>
      <c r="H210" s="13" t="s">
        <v>1947</v>
      </c>
      <c r="I210" s="13" t="s">
        <v>1957</v>
      </c>
      <c r="J210" s="13" t="s">
        <v>2714</v>
      </c>
      <c r="K210" s="14">
        <v>1</v>
      </c>
      <c r="L210" s="13" t="s">
        <v>1597</v>
      </c>
      <c r="M210" s="13" t="s">
        <v>2712</v>
      </c>
      <c r="N210" s="13" t="s">
        <v>191</v>
      </c>
      <c r="O210" s="14" t="s">
        <v>1936</v>
      </c>
      <c r="P210" s="14" t="s">
        <v>1949</v>
      </c>
      <c r="Q210" s="14"/>
      <c r="R210" s="14" t="s">
        <v>1939</v>
      </c>
      <c r="S210" s="14"/>
      <c r="T210" s="14"/>
    </row>
    <row r="211" ht="13.5" customHeight="1" spans="1:20">
      <c r="A211" s="13" t="s">
        <v>2715</v>
      </c>
      <c r="B211" s="13" t="s">
        <v>1609</v>
      </c>
      <c r="C211" s="13" t="s">
        <v>1999</v>
      </c>
      <c r="D211" s="13" t="s">
        <v>2195</v>
      </c>
      <c r="E211" s="13" t="s">
        <v>2708</v>
      </c>
      <c r="F211" s="13" t="s">
        <v>1931</v>
      </c>
      <c r="G211" s="13" t="s">
        <v>2056</v>
      </c>
      <c r="H211" s="13" t="s">
        <v>1947</v>
      </c>
      <c r="I211" s="13" t="s">
        <v>1979</v>
      </c>
      <c r="J211" s="13" t="s">
        <v>2716</v>
      </c>
      <c r="K211" s="14">
        <v>1</v>
      </c>
      <c r="L211" s="13" t="s">
        <v>1609</v>
      </c>
      <c r="M211" s="13" t="s">
        <v>2715</v>
      </c>
      <c r="N211" s="13" t="s">
        <v>191</v>
      </c>
      <c r="O211" s="14" t="s">
        <v>2193</v>
      </c>
      <c r="P211" s="14" t="s">
        <v>1949</v>
      </c>
      <c r="Q211" s="14"/>
      <c r="R211" s="14" t="s">
        <v>1939</v>
      </c>
      <c r="S211" s="14"/>
      <c r="T211" s="14"/>
    </row>
    <row r="212" ht="13.5" customHeight="1" spans="1:20">
      <c r="A212" s="13" t="s">
        <v>2717</v>
      </c>
      <c r="B212" s="13" t="s">
        <v>1613</v>
      </c>
      <c r="C212" s="13" t="s">
        <v>1999</v>
      </c>
      <c r="D212" s="13" t="s">
        <v>230</v>
      </c>
      <c r="E212" s="13" t="s">
        <v>2573</v>
      </c>
      <c r="F212" s="13" t="s">
        <v>1931</v>
      </c>
      <c r="G212" s="13" t="s">
        <v>1932</v>
      </c>
      <c r="H212" s="13" t="s">
        <v>2039</v>
      </c>
      <c r="I212" s="13" t="s">
        <v>1923</v>
      </c>
      <c r="J212" s="13" t="s">
        <v>2718</v>
      </c>
      <c r="K212" s="14">
        <v>1</v>
      </c>
      <c r="L212" s="13" t="s">
        <v>1613</v>
      </c>
      <c r="M212" s="13" t="s">
        <v>2717</v>
      </c>
      <c r="N212" s="13" t="s">
        <v>191</v>
      </c>
      <c r="O212" s="14" t="s">
        <v>1969</v>
      </c>
      <c r="P212" s="14" t="s">
        <v>1949</v>
      </c>
      <c r="Q212" s="14"/>
      <c r="R212" s="14" t="s">
        <v>1927</v>
      </c>
      <c r="S212" s="14"/>
      <c r="T212" s="14"/>
    </row>
    <row r="213" ht="13.5" customHeight="1" spans="1:20">
      <c r="A213" s="13" t="s">
        <v>2719</v>
      </c>
      <c r="B213" s="13" t="s">
        <v>1628</v>
      </c>
      <c r="C213" s="13" t="s">
        <v>1999</v>
      </c>
      <c r="D213" s="13" t="s">
        <v>230</v>
      </c>
      <c r="E213" s="13" t="s">
        <v>2521</v>
      </c>
      <c r="F213" s="13" t="s">
        <v>1920</v>
      </c>
      <c r="G213" s="13" t="s">
        <v>1941</v>
      </c>
      <c r="H213" s="13" t="s">
        <v>1922</v>
      </c>
      <c r="I213" s="13" t="s">
        <v>1934</v>
      </c>
      <c r="J213" s="13" t="s">
        <v>2720</v>
      </c>
      <c r="K213" s="14">
        <v>1</v>
      </c>
      <c r="L213" s="13" t="s">
        <v>1628</v>
      </c>
      <c r="M213" s="13" t="s">
        <v>2719</v>
      </c>
      <c r="N213" s="13" t="s">
        <v>191</v>
      </c>
      <c r="O213" s="14" t="s">
        <v>1936</v>
      </c>
      <c r="P213" s="14" t="s">
        <v>1926</v>
      </c>
      <c r="Q213" s="14"/>
      <c r="R213" s="14" t="s">
        <v>1939</v>
      </c>
      <c r="S213" s="14"/>
      <c r="T213" s="14"/>
    </row>
    <row r="214" ht="13.5" customHeight="1" spans="1:20">
      <c r="A214" s="13" t="s">
        <v>2721</v>
      </c>
      <c r="B214" s="13" t="s">
        <v>1634</v>
      </c>
      <c r="C214" s="13" t="s">
        <v>1999</v>
      </c>
      <c r="D214" s="13" t="s">
        <v>230</v>
      </c>
      <c r="E214" s="13" t="s">
        <v>2518</v>
      </c>
      <c r="F214" s="13" t="s">
        <v>1931</v>
      </c>
      <c r="G214" s="13" t="s">
        <v>2722</v>
      </c>
      <c r="H214" s="13" t="s">
        <v>2723</v>
      </c>
      <c r="I214" s="13" t="s">
        <v>1987</v>
      </c>
      <c r="J214" s="13" t="s">
        <v>2724</v>
      </c>
      <c r="K214" s="14">
        <v>1</v>
      </c>
      <c r="L214" s="13" t="s">
        <v>1634</v>
      </c>
      <c r="M214" s="13" t="s">
        <v>2721</v>
      </c>
      <c r="N214" s="13" t="s">
        <v>191</v>
      </c>
      <c r="O214" s="14" t="s">
        <v>1996</v>
      </c>
      <c r="P214" s="14" t="s">
        <v>1937</v>
      </c>
      <c r="Q214" s="14" t="s">
        <v>2725</v>
      </c>
      <c r="R214" s="14" t="s">
        <v>1927</v>
      </c>
      <c r="S214" s="14"/>
      <c r="T214" s="14"/>
    </row>
    <row r="215" ht="13.5" customHeight="1" spans="1:20">
      <c r="A215" s="13" t="s">
        <v>2726</v>
      </c>
      <c r="B215" s="13" t="s">
        <v>1662</v>
      </c>
      <c r="C215" s="13" t="s">
        <v>1999</v>
      </c>
      <c r="D215" s="13" t="s">
        <v>311</v>
      </c>
      <c r="E215" s="13" t="s">
        <v>2727</v>
      </c>
      <c r="F215" s="13" t="s">
        <v>1977</v>
      </c>
      <c r="G215" s="13" t="s">
        <v>1932</v>
      </c>
      <c r="H215" s="13" t="s">
        <v>1947</v>
      </c>
      <c r="I215" s="13" t="s">
        <v>1957</v>
      </c>
      <c r="J215" s="13" t="s">
        <v>2728</v>
      </c>
      <c r="K215" s="14">
        <v>1</v>
      </c>
      <c r="L215" s="13" t="s">
        <v>1662</v>
      </c>
      <c r="M215" s="13" t="s">
        <v>2726</v>
      </c>
      <c r="N215" s="13" t="s">
        <v>191</v>
      </c>
      <c r="O215" s="14" t="s">
        <v>2073</v>
      </c>
      <c r="P215" s="14" t="s">
        <v>1949</v>
      </c>
      <c r="Q215" s="14"/>
      <c r="R215" s="14" t="s">
        <v>1939</v>
      </c>
      <c r="S215" s="14"/>
      <c r="T215" s="14"/>
    </row>
    <row r="216" ht="13.5" customHeight="1" spans="1:20">
      <c r="A216" s="13" t="s">
        <v>2729</v>
      </c>
      <c r="B216" s="13" t="s">
        <v>1678</v>
      </c>
      <c r="C216" s="13" t="s">
        <v>1999</v>
      </c>
      <c r="D216" s="13" t="s">
        <v>2220</v>
      </c>
      <c r="E216" s="13" t="s">
        <v>2708</v>
      </c>
      <c r="F216" s="13" t="s">
        <v>1931</v>
      </c>
      <c r="G216" s="13" t="s">
        <v>1932</v>
      </c>
      <c r="H216" s="13" t="s">
        <v>2730</v>
      </c>
      <c r="I216" s="13" t="s">
        <v>2139</v>
      </c>
      <c r="J216" s="13" t="s">
        <v>2731</v>
      </c>
      <c r="K216" s="14">
        <v>1</v>
      </c>
      <c r="L216" s="13" t="s">
        <v>1678</v>
      </c>
      <c r="M216" s="13" t="s">
        <v>2729</v>
      </c>
      <c r="N216" s="13" t="s">
        <v>191</v>
      </c>
      <c r="O216" s="14" t="s">
        <v>2193</v>
      </c>
      <c r="P216" s="14" t="s">
        <v>1937</v>
      </c>
      <c r="Q216" s="14" t="s">
        <v>2732</v>
      </c>
      <c r="R216" s="14" t="s">
        <v>1939</v>
      </c>
      <c r="S216" s="14"/>
      <c r="T216" s="14"/>
    </row>
    <row r="217" ht="13.5" customHeight="1" spans="1:20">
      <c r="A217" s="13" t="s">
        <v>2733</v>
      </c>
      <c r="B217" s="13" t="s">
        <v>1682</v>
      </c>
      <c r="C217" s="13" t="s">
        <v>1999</v>
      </c>
      <c r="D217" s="13" t="s">
        <v>1984</v>
      </c>
      <c r="E217" s="13" t="s">
        <v>2518</v>
      </c>
      <c r="F217" s="13" t="s">
        <v>1931</v>
      </c>
      <c r="G217" s="13" t="s">
        <v>1941</v>
      </c>
      <c r="H217" s="13" t="s">
        <v>2039</v>
      </c>
      <c r="I217" s="13" t="s">
        <v>2010</v>
      </c>
      <c r="J217" s="13" t="s">
        <v>2734</v>
      </c>
      <c r="K217" s="14">
        <v>1</v>
      </c>
      <c r="L217" s="13" t="s">
        <v>1682</v>
      </c>
      <c r="M217" s="13" t="s">
        <v>2733</v>
      </c>
      <c r="N217" s="13" t="s">
        <v>191</v>
      </c>
      <c r="O217" s="14" t="s">
        <v>1996</v>
      </c>
      <c r="P217" s="14" t="s">
        <v>1949</v>
      </c>
      <c r="Q217" s="14"/>
      <c r="R217" s="14" t="s">
        <v>1927</v>
      </c>
      <c r="S217" s="14"/>
      <c r="T217" s="14"/>
    </row>
    <row r="218" ht="13.5" customHeight="1" spans="1:20">
      <c r="A218" s="13" t="s">
        <v>2735</v>
      </c>
      <c r="B218" s="13" t="s">
        <v>1689</v>
      </c>
      <c r="C218" s="13" t="s">
        <v>1999</v>
      </c>
      <c r="D218" s="13" t="s">
        <v>1984</v>
      </c>
      <c r="E218" s="13" t="s">
        <v>2521</v>
      </c>
      <c r="F218" s="13" t="s">
        <v>1931</v>
      </c>
      <c r="G218" s="13" t="s">
        <v>1946</v>
      </c>
      <c r="H218" s="13" t="s">
        <v>2736</v>
      </c>
      <c r="I218" s="13" t="s">
        <v>1923</v>
      </c>
      <c r="J218" s="13" t="s">
        <v>2737</v>
      </c>
      <c r="K218" s="14">
        <v>1</v>
      </c>
      <c r="L218" s="13" t="s">
        <v>1689</v>
      </c>
      <c r="M218" s="13" t="s">
        <v>2735</v>
      </c>
      <c r="N218" s="13" t="s">
        <v>191</v>
      </c>
      <c r="O218" s="14" t="s">
        <v>1936</v>
      </c>
      <c r="P218" s="14" t="s">
        <v>1937</v>
      </c>
      <c r="Q218" s="14" t="s">
        <v>2738</v>
      </c>
      <c r="R218" s="14" t="s">
        <v>1927</v>
      </c>
      <c r="S218" s="14"/>
      <c r="T218" s="14"/>
    </row>
    <row r="219" ht="13.5" customHeight="1" spans="1:20">
      <c r="A219" s="13" t="s">
        <v>2739</v>
      </c>
      <c r="B219" s="13" t="s">
        <v>1696</v>
      </c>
      <c r="C219" s="13" t="s">
        <v>1999</v>
      </c>
      <c r="D219" s="13" t="s">
        <v>1992</v>
      </c>
      <c r="E219" s="13" t="s">
        <v>2518</v>
      </c>
      <c r="F219" s="13" t="s">
        <v>1931</v>
      </c>
      <c r="G219" s="13" t="s">
        <v>2234</v>
      </c>
      <c r="H219" s="13" t="s">
        <v>2740</v>
      </c>
      <c r="I219" s="13" t="s">
        <v>1923</v>
      </c>
      <c r="J219" s="13" t="s">
        <v>2741</v>
      </c>
      <c r="K219" s="14">
        <v>1</v>
      </c>
      <c r="L219" s="13" t="s">
        <v>1696</v>
      </c>
      <c r="M219" s="13" t="s">
        <v>2739</v>
      </c>
      <c r="N219" s="13" t="s">
        <v>191</v>
      </c>
      <c r="O219" s="14" t="s">
        <v>1996</v>
      </c>
      <c r="P219" s="14" t="s">
        <v>1937</v>
      </c>
      <c r="Q219" s="14" t="s">
        <v>2742</v>
      </c>
      <c r="R219" s="14" t="s">
        <v>1927</v>
      </c>
      <c r="S219" s="14"/>
      <c r="T219" s="14"/>
    </row>
    <row r="220" ht="13.5" customHeight="1" spans="1:20">
      <c r="A220" s="13" t="s">
        <v>2743</v>
      </c>
      <c r="B220" s="13" t="s">
        <v>1709</v>
      </c>
      <c r="C220" s="13" t="s">
        <v>1999</v>
      </c>
      <c r="D220" s="13" t="s">
        <v>259</v>
      </c>
      <c r="E220" s="13" t="s">
        <v>2518</v>
      </c>
      <c r="F220" s="13" t="s">
        <v>1931</v>
      </c>
      <c r="G220" s="13" t="s">
        <v>1946</v>
      </c>
      <c r="H220" s="13" t="s">
        <v>2039</v>
      </c>
      <c r="I220" s="13" t="s">
        <v>1987</v>
      </c>
      <c r="J220" s="13" t="s">
        <v>2744</v>
      </c>
      <c r="K220" s="14">
        <v>1</v>
      </c>
      <c r="L220" s="13" t="s">
        <v>1709</v>
      </c>
      <c r="M220" s="13" t="s">
        <v>2743</v>
      </c>
      <c r="N220" s="13" t="s">
        <v>191</v>
      </c>
      <c r="O220" s="14" t="s">
        <v>1996</v>
      </c>
      <c r="P220" s="14" t="s">
        <v>1949</v>
      </c>
      <c r="Q220" s="14"/>
      <c r="R220" s="14" t="s">
        <v>1927</v>
      </c>
      <c r="S220" s="14"/>
      <c r="T220" s="14"/>
    </row>
    <row r="221" ht="13.5" customHeight="1" spans="1:20">
      <c r="A221" s="13" t="s">
        <v>2520</v>
      </c>
      <c r="B221" s="13" t="s">
        <v>1285</v>
      </c>
      <c r="C221" s="13" t="s">
        <v>2233</v>
      </c>
      <c r="D221" s="13" t="s">
        <v>1929</v>
      </c>
      <c r="E221" s="13" t="s">
        <v>2521</v>
      </c>
      <c r="F221" s="13" t="s">
        <v>1931</v>
      </c>
      <c r="G221" s="13" t="s">
        <v>1921</v>
      </c>
      <c r="H221" s="13" t="s">
        <v>2522</v>
      </c>
      <c r="I221" s="13" t="s">
        <v>1987</v>
      </c>
      <c r="J221" s="13" t="s">
        <v>2523</v>
      </c>
      <c r="K221" s="14">
        <v>1</v>
      </c>
      <c r="L221" s="13" t="s">
        <v>1285</v>
      </c>
      <c r="M221" s="13" t="s">
        <v>2520</v>
      </c>
      <c r="N221" s="13" t="s">
        <v>191</v>
      </c>
      <c r="O221" s="14" t="s">
        <v>1936</v>
      </c>
      <c r="P221" s="14" t="s">
        <v>1937</v>
      </c>
      <c r="Q221" s="14" t="s">
        <v>2524</v>
      </c>
      <c r="R221" s="14" t="s">
        <v>1927</v>
      </c>
      <c r="S221" s="14"/>
      <c r="T221" s="14"/>
    </row>
    <row r="222" ht="13.5" customHeight="1" spans="1:20">
      <c r="A222" s="13" t="s">
        <v>2745</v>
      </c>
      <c r="B222" s="13" t="s">
        <v>1742</v>
      </c>
      <c r="C222" s="13" t="s">
        <v>2233</v>
      </c>
      <c r="D222" s="13" t="s">
        <v>1992</v>
      </c>
      <c r="E222" s="13" t="s">
        <v>2541</v>
      </c>
      <c r="F222" s="13" t="s">
        <v>1931</v>
      </c>
      <c r="G222" s="13" t="s">
        <v>1946</v>
      </c>
      <c r="H222" s="13" t="s">
        <v>2550</v>
      </c>
      <c r="I222" s="13" t="s">
        <v>1934</v>
      </c>
      <c r="J222" s="13" t="s">
        <v>2746</v>
      </c>
      <c r="K222" s="14">
        <v>1</v>
      </c>
      <c r="L222" s="13" t="s">
        <v>1742</v>
      </c>
      <c r="M222" s="13" t="s">
        <v>2745</v>
      </c>
      <c r="N222" s="13" t="s">
        <v>191</v>
      </c>
      <c r="O222" s="14" t="s">
        <v>1925</v>
      </c>
      <c r="P222" s="14" t="s">
        <v>1937</v>
      </c>
      <c r="Q222" s="14" t="s">
        <v>2552</v>
      </c>
      <c r="R222" s="14" t="s">
        <v>1939</v>
      </c>
      <c r="S222" s="14"/>
      <c r="T222" s="14"/>
    </row>
    <row r="223" ht="13.5" customHeight="1" spans="1:20">
      <c r="A223" s="13" t="s">
        <v>2747</v>
      </c>
      <c r="B223" s="13" t="s">
        <v>1747</v>
      </c>
      <c r="C223" s="13" t="s">
        <v>2233</v>
      </c>
      <c r="D223" s="13" t="s">
        <v>1992</v>
      </c>
      <c r="E223" s="13" t="s">
        <v>2518</v>
      </c>
      <c r="F223" s="13" t="s">
        <v>1931</v>
      </c>
      <c r="G223" s="13" t="s">
        <v>1946</v>
      </c>
      <c r="H223" s="13" t="s">
        <v>2554</v>
      </c>
      <c r="I223" s="13" t="s">
        <v>1934</v>
      </c>
      <c r="J223" s="13" t="s">
        <v>2748</v>
      </c>
      <c r="K223" s="14">
        <v>1</v>
      </c>
      <c r="L223" s="13" t="s">
        <v>1747</v>
      </c>
      <c r="M223" s="13" t="s">
        <v>2747</v>
      </c>
      <c r="N223" s="13" t="s">
        <v>191</v>
      </c>
      <c r="O223" s="14" t="s">
        <v>1996</v>
      </c>
      <c r="P223" s="14" t="s">
        <v>1937</v>
      </c>
      <c r="Q223" s="14" t="s">
        <v>2556</v>
      </c>
      <c r="R223" s="14" t="s">
        <v>1939</v>
      </c>
      <c r="S223" s="14"/>
      <c r="T223" s="14"/>
    </row>
    <row r="224" ht="13.5" customHeight="1" spans="1:20">
      <c r="A224" s="13" t="s">
        <v>2749</v>
      </c>
      <c r="B224" s="13" t="s">
        <v>1748</v>
      </c>
      <c r="C224" s="13" t="s">
        <v>2233</v>
      </c>
      <c r="D224" s="13" t="s">
        <v>1992</v>
      </c>
      <c r="E224" s="13" t="s">
        <v>2521</v>
      </c>
      <c r="F224" s="13" t="s">
        <v>1931</v>
      </c>
      <c r="G224" s="13" t="s">
        <v>1941</v>
      </c>
      <c r="H224" s="13" t="s">
        <v>2554</v>
      </c>
      <c r="I224" s="13" t="s">
        <v>1987</v>
      </c>
      <c r="J224" s="13" t="s">
        <v>2750</v>
      </c>
      <c r="K224" s="14">
        <v>1</v>
      </c>
      <c r="L224" s="13" t="s">
        <v>1748</v>
      </c>
      <c r="M224" s="13" t="s">
        <v>2749</v>
      </c>
      <c r="N224" s="13" t="s">
        <v>191</v>
      </c>
      <c r="O224" s="14" t="s">
        <v>1936</v>
      </c>
      <c r="P224" s="14" t="s">
        <v>1937</v>
      </c>
      <c r="Q224" s="14" t="s">
        <v>2556</v>
      </c>
      <c r="R224" s="14" t="s">
        <v>1927</v>
      </c>
      <c r="S224" s="14"/>
      <c r="T224" s="14"/>
    </row>
    <row r="225" ht="13.5" customHeight="1" spans="1:20">
      <c r="A225" s="13" t="s">
        <v>2547</v>
      </c>
      <c r="B225" s="13" t="s">
        <v>1759</v>
      </c>
      <c r="C225" s="13" t="s">
        <v>2233</v>
      </c>
      <c r="D225" s="13" t="s">
        <v>2220</v>
      </c>
      <c r="E225" s="13" t="s">
        <v>2541</v>
      </c>
      <c r="F225" s="13" t="s">
        <v>1931</v>
      </c>
      <c r="G225" s="13" t="s">
        <v>2056</v>
      </c>
      <c r="H225" s="13" t="s">
        <v>1947</v>
      </c>
      <c r="I225" s="13" t="s">
        <v>2010</v>
      </c>
      <c r="J225" s="13" t="s">
        <v>2751</v>
      </c>
      <c r="K225" s="14">
        <v>1</v>
      </c>
      <c r="L225" s="13" t="s">
        <v>1759</v>
      </c>
      <c r="M225" s="13" t="s">
        <v>2547</v>
      </c>
      <c r="N225" s="13" t="s">
        <v>191</v>
      </c>
      <c r="O225" s="14" t="s">
        <v>1925</v>
      </c>
      <c r="P225" s="14" t="s">
        <v>1949</v>
      </c>
      <c r="Q225" s="14"/>
      <c r="R225" s="14" t="s">
        <v>1927</v>
      </c>
      <c r="S225" s="14"/>
      <c r="T225" s="14"/>
    </row>
    <row r="226" ht="13.5" customHeight="1" spans="1:20">
      <c r="A226" s="13" t="s">
        <v>2543</v>
      </c>
      <c r="B226" s="13" t="s">
        <v>1324</v>
      </c>
      <c r="C226" s="13" t="s">
        <v>2233</v>
      </c>
      <c r="D226" s="13" t="s">
        <v>311</v>
      </c>
      <c r="E226" s="13" t="s">
        <v>2521</v>
      </c>
      <c r="F226" s="13" t="s">
        <v>1931</v>
      </c>
      <c r="G226" s="13" t="s">
        <v>2009</v>
      </c>
      <c r="H226" s="13" t="s">
        <v>2544</v>
      </c>
      <c r="I226" s="13" t="s">
        <v>1987</v>
      </c>
      <c r="J226" s="13" t="s">
        <v>2752</v>
      </c>
      <c r="K226" s="14">
        <v>1</v>
      </c>
      <c r="L226" s="13" t="s">
        <v>1324</v>
      </c>
      <c r="M226" s="13" t="s">
        <v>2543</v>
      </c>
      <c r="N226" s="13" t="s">
        <v>191</v>
      </c>
      <c r="O226" s="14" t="s">
        <v>1936</v>
      </c>
      <c r="P226" s="14" t="s">
        <v>1937</v>
      </c>
      <c r="Q226" s="14" t="s">
        <v>2546</v>
      </c>
      <c r="R226" s="14" t="s">
        <v>1927</v>
      </c>
      <c r="S226" s="14"/>
      <c r="T226" s="14"/>
    </row>
    <row r="227" ht="13.5" customHeight="1" spans="1:20">
      <c r="A227" s="13" t="s">
        <v>2753</v>
      </c>
      <c r="B227" s="13" t="s">
        <v>1266</v>
      </c>
      <c r="C227" s="13" t="s">
        <v>1918</v>
      </c>
      <c r="D227" s="13" t="s">
        <v>331</v>
      </c>
      <c r="E227" s="13" t="s">
        <v>2754</v>
      </c>
      <c r="F227" s="13" t="s">
        <v>1931</v>
      </c>
      <c r="G227" s="13" t="s">
        <v>1921</v>
      </c>
      <c r="H227" s="13" t="s">
        <v>2755</v>
      </c>
      <c r="I227" s="13" t="s">
        <v>1923</v>
      </c>
      <c r="J227" s="13" t="s">
        <v>2756</v>
      </c>
      <c r="K227" s="14">
        <v>1</v>
      </c>
      <c r="L227" s="13" t="s">
        <v>1266</v>
      </c>
      <c r="M227" s="13" t="s">
        <v>2753</v>
      </c>
      <c r="N227" s="13" t="s">
        <v>193</v>
      </c>
      <c r="O227" s="14" t="s">
        <v>1974</v>
      </c>
      <c r="P227" s="14" t="s">
        <v>1937</v>
      </c>
      <c r="Q227" s="14" t="s">
        <v>2757</v>
      </c>
      <c r="R227" s="14" t="s">
        <v>1927</v>
      </c>
      <c r="S227" s="14"/>
      <c r="T227" s="14"/>
    </row>
    <row r="228" ht="13.5" customHeight="1" spans="1:20">
      <c r="A228" s="13" t="s">
        <v>2758</v>
      </c>
      <c r="B228" s="13" t="s">
        <v>1276</v>
      </c>
      <c r="C228" s="13" t="s">
        <v>1918</v>
      </c>
      <c r="D228" s="13" t="s">
        <v>2245</v>
      </c>
      <c r="E228" s="13" t="s">
        <v>2759</v>
      </c>
      <c r="F228" s="13" t="s">
        <v>1931</v>
      </c>
      <c r="G228" s="13" t="s">
        <v>1946</v>
      </c>
      <c r="H228" s="13" t="s">
        <v>1947</v>
      </c>
      <c r="I228" s="13" t="s">
        <v>1987</v>
      </c>
      <c r="J228" s="13" t="s">
        <v>2760</v>
      </c>
      <c r="K228" s="14">
        <v>1</v>
      </c>
      <c r="L228" s="13" t="s">
        <v>1276</v>
      </c>
      <c r="M228" s="13" t="s">
        <v>2758</v>
      </c>
      <c r="N228" s="13" t="s">
        <v>193</v>
      </c>
      <c r="O228" s="14" t="s">
        <v>1936</v>
      </c>
      <c r="P228" s="14" t="s">
        <v>1949</v>
      </c>
      <c r="Q228" s="14"/>
      <c r="R228" s="14" t="s">
        <v>1927</v>
      </c>
      <c r="S228" s="14"/>
      <c r="T228" s="14"/>
    </row>
    <row r="229" ht="13.5" customHeight="1" spans="1:20">
      <c r="A229" s="13" t="s">
        <v>2761</v>
      </c>
      <c r="B229" s="13" t="s">
        <v>1287</v>
      </c>
      <c r="C229" s="13" t="s">
        <v>1918</v>
      </c>
      <c r="D229" s="13" t="s">
        <v>1929</v>
      </c>
      <c r="E229" s="13" t="s">
        <v>2759</v>
      </c>
      <c r="F229" s="13" t="s">
        <v>1931</v>
      </c>
      <c r="G229" s="13" t="s">
        <v>2234</v>
      </c>
      <c r="H229" s="13" t="s">
        <v>1947</v>
      </c>
      <c r="I229" s="13" t="s">
        <v>1923</v>
      </c>
      <c r="J229" s="13" t="s">
        <v>2762</v>
      </c>
      <c r="K229" s="14">
        <v>1</v>
      </c>
      <c r="L229" s="13" t="s">
        <v>1287</v>
      </c>
      <c r="M229" s="13" t="s">
        <v>2761</v>
      </c>
      <c r="N229" s="13" t="s">
        <v>193</v>
      </c>
      <c r="O229" s="14" t="s">
        <v>1936</v>
      </c>
      <c r="P229" s="14" t="s">
        <v>1949</v>
      </c>
      <c r="Q229" s="14"/>
      <c r="R229" s="14" t="s">
        <v>1927</v>
      </c>
      <c r="S229" s="14"/>
      <c r="T229" s="14"/>
    </row>
    <row r="230" ht="13.5" customHeight="1" spans="1:20">
      <c r="A230" s="13" t="s">
        <v>2763</v>
      </c>
      <c r="B230" s="13" t="s">
        <v>1288</v>
      </c>
      <c r="C230" s="13" t="s">
        <v>1918</v>
      </c>
      <c r="D230" s="13" t="s">
        <v>1929</v>
      </c>
      <c r="E230" s="13" t="s">
        <v>2759</v>
      </c>
      <c r="F230" s="13" t="s">
        <v>1931</v>
      </c>
      <c r="G230" s="13" t="s">
        <v>2234</v>
      </c>
      <c r="H230" s="13" t="s">
        <v>2764</v>
      </c>
      <c r="I230" s="13" t="s">
        <v>1934</v>
      </c>
      <c r="J230" s="13" t="s">
        <v>2765</v>
      </c>
      <c r="K230" s="14">
        <v>1</v>
      </c>
      <c r="L230" s="13" t="s">
        <v>1288</v>
      </c>
      <c r="M230" s="13" t="s">
        <v>2763</v>
      </c>
      <c r="N230" s="13" t="s">
        <v>193</v>
      </c>
      <c r="O230" s="14" t="s">
        <v>1936</v>
      </c>
      <c r="P230" s="14" t="s">
        <v>1937</v>
      </c>
      <c r="Q230" s="14" t="s">
        <v>2766</v>
      </c>
      <c r="R230" s="14" t="s">
        <v>1939</v>
      </c>
      <c r="S230" s="14"/>
      <c r="T230" s="14"/>
    </row>
    <row r="231" ht="13.5" customHeight="1" spans="1:20">
      <c r="A231" s="13" t="s">
        <v>2767</v>
      </c>
      <c r="B231" s="13" t="s">
        <v>1296</v>
      </c>
      <c r="C231" s="13" t="s">
        <v>1918</v>
      </c>
      <c r="D231" s="13" t="s">
        <v>2768</v>
      </c>
      <c r="E231" s="13" t="s">
        <v>2769</v>
      </c>
      <c r="F231" s="13" t="s">
        <v>1931</v>
      </c>
      <c r="G231" s="13" t="s">
        <v>1932</v>
      </c>
      <c r="H231" s="13" t="s">
        <v>1947</v>
      </c>
      <c r="I231" s="13" t="s">
        <v>1957</v>
      </c>
      <c r="J231" s="13" t="s">
        <v>2770</v>
      </c>
      <c r="K231" s="14">
        <v>1</v>
      </c>
      <c r="L231" s="13" t="s">
        <v>1296</v>
      </c>
      <c r="M231" s="13" t="s">
        <v>2767</v>
      </c>
      <c r="N231" s="13" t="s">
        <v>193</v>
      </c>
      <c r="O231" s="14" t="s">
        <v>2028</v>
      </c>
      <c r="P231" s="14" t="s">
        <v>1949</v>
      </c>
      <c r="Q231" s="14"/>
      <c r="R231" s="14" t="s">
        <v>1939</v>
      </c>
      <c r="S231" s="14"/>
      <c r="T231" s="14"/>
    </row>
    <row r="232" ht="13.5" customHeight="1" spans="1:20">
      <c r="A232" s="13" t="s">
        <v>2771</v>
      </c>
      <c r="B232" s="13" t="s">
        <v>1301</v>
      </c>
      <c r="C232" s="13" t="s">
        <v>1918</v>
      </c>
      <c r="D232" s="13" t="s">
        <v>245</v>
      </c>
      <c r="E232" s="13" t="s">
        <v>2772</v>
      </c>
      <c r="F232" s="13" t="s">
        <v>2143</v>
      </c>
      <c r="G232" s="13" t="s">
        <v>1932</v>
      </c>
      <c r="H232" s="13" t="s">
        <v>1947</v>
      </c>
      <c r="I232" s="13" t="s">
        <v>1934</v>
      </c>
      <c r="J232" s="13" t="s">
        <v>2773</v>
      </c>
      <c r="K232" s="14">
        <v>1</v>
      </c>
      <c r="L232" s="13" t="s">
        <v>1301</v>
      </c>
      <c r="M232" s="13" t="s">
        <v>2771</v>
      </c>
      <c r="N232" s="13" t="s">
        <v>193</v>
      </c>
      <c r="O232" s="14" t="s">
        <v>1996</v>
      </c>
      <c r="P232" s="14" t="s">
        <v>1949</v>
      </c>
      <c r="Q232" s="14"/>
      <c r="R232" s="14" t="s">
        <v>1939</v>
      </c>
      <c r="S232" s="14"/>
      <c r="T232" s="14"/>
    </row>
    <row r="233" ht="13.5" customHeight="1" spans="1:20">
      <c r="A233" s="13" t="s">
        <v>2774</v>
      </c>
      <c r="B233" s="13" t="s">
        <v>1316</v>
      </c>
      <c r="C233" s="13" t="s">
        <v>1918</v>
      </c>
      <c r="D233" s="13" t="s">
        <v>1971</v>
      </c>
      <c r="E233" s="13" t="s">
        <v>2772</v>
      </c>
      <c r="F233" s="13" t="s">
        <v>1931</v>
      </c>
      <c r="G233" s="13" t="s">
        <v>1941</v>
      </c>
      <c r="H233" s="13" t="s">
        <v>2537</v>
      </c>
      <c r="I233" s="13" t="s">
        <v>2010</v>
      </c>
      <c r="J233" s="13" t="s">
        <v>2775</v>
      </c>
      <c r="K233" s="14">
        <v>1</v>
      </c>
      <c r="L233" s="13" t="s">
        <v>1316</v>
      </c>
      <c r="M233" s="13" t="s">
        <v>2774</v>
      </c>
      <c r="N233" s="13" t="s">
        <v>193</v>
      </c>
      <c r="O233" s="14" t="s">
        <v>1996</v>
      </c>
      <c r="P233" s="14" t="s">
        <v>1937</v>
      </c>
      <c r="Q233" s="14" t="s">
        <v>2539</v>
      </c>
      <c r="R233" s="14" t="s">
        <v>1927</v>
      </c>
      <c r="S233" s="14"/>
      <c r="T233" s="14"/>
    </row>
    <row r="234" ht="13.5" customHeight="1" spans="1:20">
      <c r="A234" s="13" t="s">
        <v>2776</v>
      </c>
      <c r="B234" s="13" t="s">
        <v>1328</v>
      </c>
      <c r="C234" s="13" t="s">
        <v>1918</v>
      </c>
      <c r="D234" s="13" t="s">
        <v>1984</v>
      </c>
      <c r="E234" s="13" t="s">
        <v>2777</v>
      </c>
      <c r="F234" s="13" t="s">
        <v>1920</v>
      </c>
      <c r="G234" s="13" t="s">
        <v>1921</v>
      </c>
      <c r="H234" s="13" t="s">
        <v>1922</v>
      </c>
      <c r="I234" s="13" t="s">
        <v>1923</v>
      </c>
      <c r="J234" s="13" t="s">
        <v>2778</v>
      </c>
      <c r="K234" s="14">
        <v>1</v>
      </c>
      <c r="L234" s="13" t="s">
        <v>1328</v>
      </c>
      <c r="M234" s="13" t="s">
        <v>2776</v>
      </c>
      <c r="N234" s="13" t="s">
        <v>193</v>
      </c>
      <c r="O234" s="14" t="s">
        <v>1925</v>
      </c>
      <c r="P234" s="14" t="s">
        <v>1926</v>
      </c>
      <c r="Q234" s="14"/>
      <c r="R234" s="14" t="s">
        <v>1927</v>
      </c>
      <c r="S234" s="14"/>
      <c r="T234" s="14"/>
    </row>
    <row r="235" ht="13.5" customHeight="1" spans="1:20">
      <c r="A235" s="13" t="s">
        <v>2779</v>
      </c>
      <c r="B235" s="13" t="s">
        <v>1348</v>
      </c>
      <c r="C235" s="13" t="s">
        <v>1918</v>
      </c>
      <c r="D235" s="13" t="s">
        <v>1992</v>
      </c>
      <c r="E235" s="13" t="s">
        <v>2772</v>
      </c>
      <c r="F235" s="13" t="s">
        <v>1931</v>
      </c>
      <c r="G235" s="13" t="s">
        <v>2009</v>
      </c>
      <c r="H235" s="13" t="s">
        <v>2554</v>
      </c>
      <c r="I235" s="13" t="s">
        <v>1923</v>
      </c>
      <c r="J235" s="13" t="s">
        <v>2780</v>
      </c>
      <c r="K235" s="14">
        <v>1</v>
      </c>
      <c r="L235" s="13" t="s">
        <v>1348</v>
      </c>
      <c r="M235" s="13" t="s">
        <v>2779</v>
      </c>
      <c r="N235" s="13" t="s">
        <v>193</v>
      </c>
      <c r="O235" s="14" t="s">
        <v>1996</v>
      </c>
      <c r="P235" s="14" t="s">
        <v>1937</v>
      </c>
      <c r="Q235" s="14" t="s">
        <v>2556</v>
      </c>
      <c r="R235" s="14" t="s">
        <v>1927</v>
      </c>
      <c r="S235" s="14"/>
      <c r="T235" s="14"/>
    </row>
    <row r="236" ht="13.5" customHeight="1" spans="1:20">
      <c r="A236" s="13" t="s">
        <v>2781</v>
      </c>
      <c r="B236" s="13" t="s">
        <v>1350</v>
      </c>
      <c r="C236" s="13" t="s">
        <v>1918</v>
      </c>
      <c r="D236" s="13" t="s">
        <v>2782</v>
      </c>
      <c r="E236" s="13" t="s">
        <v>2777</v>
      </c>
      <c r="F236" s="13" t="s">
        <v>1931</v>
      </c>
      <c r="G236" s="13" t="s">
        <v>2009</v>
      </c>
      <c r="H236" s="13" t="s">
        <v>1947</v>
      </c>
      <c r="I236" s="13" t="s">
        <v>1923</v>
      </c>
      <c r="J236" s="13" t="s">
        <v>2783</v>
      </c>
      <c r="K236" s="14">
        <v>1</v>
      </c>
      <c r="L236" s="13" t="s">
        <v>1350</v>
      </c>
      <c r="M236" s="13" t="s">
        <v>2781</v>
      </c>
      <c r="N236" s="13" t="s">
        <v>193</v>
      </c>
      <c r="O236" s="14" t="s">
        <v>1925</v>
      </c>
      <c r="P236" s="14" t="s">
        <v>1949</v>
      </c>
      <c r="Q236" s="14"/>
      <c r="R236" s="14" t="s">
        <v>1927</v>
      </c>
      <c r="S236" s="14"/>
      <c r="T236" s="14"/>
    </row>
    <row r="237" ht="13.5" customHeight="1" spans="1:20">
      <c r="A237" s="13" t="s">
        <v>2784</v>
      </c>
      <c r="B237" s="13" t="s">
        <v>1445</v>
      </c>
      <c r="C237" s="13" t="s">
        <v>1999</v>
      </c>
      <c r="D237" s="13" t="s">
        <v>2082</v>
      </c>
      <c r="E237" s="13" t="s">
        <v>2772</v>
      </c>
      <c r="F237" s="13" t="s">
        <v>1931</v>
      </c>
      <c r="G237" s="13" t="s">
        <v>2785</v>
      </c>
      <c r="H237" s="13" t="s">
        <v>1922</v>
      </c>
      <c r="I237" s="13" t="s">
        <v>1934</v>
      </c>
      <c r="J237" s="13" t="s">
        <v>2786</v>
      </c>
      <c r="K237" s="14">
        <v>1</v>
      </c>
      <c r="L237" s="13" t="s">
        <v>1445</v>
      </c>
      <c r="M237" s="13" t="s">
        <v>2784</v>
      </c>
      <c r="N237" s="13" t="s">
        <v>193</v>
      </c>
      <c r="O237" s="14" t="s">
        <v>1996</v>
      </c>
      <c r="P237" s="14" t="s">
        <v>1926</v>
      </c>
      <c r="Q237" s="14"/>
      <c r="R237" s="14" t="s">
        <v>1939</v>
      </c>
      <c r="S237" s="14"/>
      <c r="T237" s="14"/>
    </row>
    <row r="238" ht="13.5" customHeight="1" spans="1:20">
      <c r="A238" s="13" t="s">
        <v>2787</v>
      </c>
      <c r="B238" s="13" t="s">
        <v>1468</v>
      </c>
      <c r="C238" s="13" t="s">
        <v>1999</v>
      </c>
      <c r="D238" s="13" t="s">
        <v>2089</v>
      </c>
      <c r="E238" s="13" t="s">
        <v>2788</v>
      </c>
      <c r="F238" s="13" t="s">
        <v>1931</v>
      </c>
      <c r="G238" s="13" t="s">
        <v>2056</v>
      </c>
      <c r="H238" s="13" t="s">
        <v>1947</v>
      </c>
      <c r="I238" s="13" t="s">
        <v>1923</v>
      </c>
      <c r="J238" s="13" t="s">
        <v>2789</v>
      </c>
      <c r="K238" s="14">
        <v>1</v>
      </c>
      <c r="L238" s="13" t="s">
        <v>1468</v>
      </c>
      <c r="M238" s="13" t="s">
        <v>2787</v>
      </c>
      <c r="N238" s="13" t="s">
        <v>193</v>
      </c>
      <c r="O238" s="14" t="s">
        <v>2049</v>
      </c>
      <c r="P238" s="14" t="s">
        <v>1949</v>
      </c>
      <c r="Q238" s="14"/>
      <c r="R238" s="14" t="s">
        <v>1927</v>
      </c>
      <c r="S238" s="14"/>
      <c r="T238" s="14"/>
    </row>
    <row r="239" ht="13.5" customHeight="1" spans="1:20">
      <c r="A239" s="13" t="s">
        <v>2790</v>
      </c>
      <c r="B239" s="13" t="s">
        <v>1494</v>
      </c>
      <c r="C239" s="13" t="s">
        <v>1999</v>
      </c>
      <c r="D239" s="13" t="s">
        <v>2791</v>
      </c>
      <c r="E239" s="13" t="s">
        <v>2792</v>
      </c>
      <c r="F239" s="13" t="s">
        <v>1931</v>
      </c>
      <c r="G239" s="13" t="s">
        <v>2056</v>
      </c>
      <c r="H239" s="13" t="s">
        <v>2793</v>
      </c>
      <c r="I239" s="13" t="s">
        <v>1957</v>
      </c>
      <c r="J239" s="13" t="s">
        <v>2794</v>
      </c>
      <c r="K239" s="14">
        <v>1</v>
      </c>
      <c r="L239" s="13" t="s">
        <v>1494</v>
      </c>
      <c r="M239" s="13" t="s">
        <v>2790</v>
      </c>
      <c r="N239" s="13" t="s">
        <v>193</v>
      </c>
      <c r="O239" s="14" t="s">
        <v>1969</v>
      </c>
      <c r="P239" s="14" t="s">
        <v>1937</v>
      </c>
      <c r="Q239" s="14" t="s">
        <v>2795</v>
      </c>
      <c r="R239" s="14" t="s">
        <v>1939</v>
      </c>
      <c r="S239" s="14"/>
      <c r="T239" s="14"/>
    </row>
    <row r="240" ht="13.5" customHeight="1" spans="1:20">
      <c r="A240" s="13" t="s">
        <v>2796</v>
      </c>
      <c r="B240" s="13" t="s">
        <v>1500</v>
      </c>
      <c r="C240" s="13" t="s">
        <v>1999</v>
      </c>
      <c r="D240" s="13" t="s">
        <v>2383</v>
      </c>
      <c r="E240" s="13" t="s">
        <v>2797</v>
      </c>
      <c r="F240" s="13" t="s">
        <v>1931</v>
      </c>
      <c r="G240" s="13" t="s">
        <v>1921</v>
      </c>
      <c r="H240" s="13" t="s">
        <v>2403</v>
      </c>
      <c r="I240" s="13" t="s">
        <v>2010</v>
      </c>
      <c r="J240" s="13" t="s">
        <v>2798</v>
      </c>
      <c r="K240" s="14">
        <v>1</v>
      </c>
      <c r="L240" s="13" t="s">
        <v>1500</v>
      </c>
      <c r="M240" s="13" t="s">
        <v>2796</v>
      </c>
      <c r="N240" s="13" t="s">
        <v>193</v>
      </c>
      <c r="O240" s="14" t="s">
        <v>1989</v>
      </c>
      <c r="P240" s="14" t="s">
        <v>1937</v>
      </c>
      <c r="Q240" s="14" t="s">
        <v>2405</v>
      </c>
      <c r="R240" s="14" t="s">
        <v>1927</v>
      </c>
      <c r="S240" s="14"/>
      <c r="T240" s="14"/>
    </row>
    <row r="241" ht="13.5" customHeight="1" spans="1:20">
      <c r="A241" s="13" t="s">
        <v>2799</v>
      </c>
      <c r="B241" s="13" t="s">
        <v>1539</v>
      </c>
      <c r="C241" s="13" t="s">
        <v>1999</v>
      </c>
      <c r="D241" s="13" t="s">
        <v>2800</v>
      </c>
      <c r="E241" s="13" t="s">
        <v>2788</v>
      </c>
      <c r="F241" s="13" t="s">
        <v>2143</v>
      </c>
      <c r="G241" s="13" t="s">
        <v>2279</v>
      </c>
      <c r="H241" s="13" t="s">
        <v>2801</v>
      </c>
      <c r="I241" s="13" t="s">
        <v>2139</v>
      </c>
      <c r="J241" s="13" t="s">
        <v>2802</v>
      </c>
      <c r="K241" s="14">
        <v>1</v>
      </c>
      <c r="L241" s="13" t="s">
        <v>1539</v>
      </c>
      <c r="M241" s="13" t="s">
        <v>2799</v>
      </c>
      <c r="N241" s="13" t="s">
        <v>193</v>
      </c>
      <c r="O241" s="14" t="s">
        <v>2049</v>
      </c>
      <c r="P241" s="14" t="s">
        <v>1937</v>
      </c>
      <c r="Q241" s="14" t="s">
        <v>2803</v>
      </c>
      <c r="R241" s="14" t="s">
        <v>1939</v>
      </c>
      <c r="S241" s="14"/>
      <c r="T241" s="14"/>
    </row>
    <row r="242" ht="13.5" customHeight="1" spans="1:20">
      <c r="A242" s="13" t="s">
        <v>2804</v>
      </c>
      <c r="B242" s="13" t="s">
        <v>1541</v>
      </c>
      <c r="C242" s="13" t="s">
        <v>1999</v>
      </c>
      <c r="D242" s="13" t="s">
        <v>1951</v>
      </c>
      <c r="E242" s="13" t="s">
        <v>2769</v>
      </c>
      <c r="F242" s="13" t="s">
        <v>1931</v>
      </c>
      <c r="G242" s="13" t="s">
        <v>2009</v>
      </c>
      <c r="H242" s="13" t="s">
        <v>2805</v>
      </c>
      <c r="I242" s="13" t="s">
        <v>1923</v>
      </c>
      <c r="J242" s="13" t="s">
        <v>2806</v>
      </c>
      <c r="K242" s="14">
        <v>1</v>
      </c>
      <c r="L242" s="13" t="s">
        <v>1541</v>
      </c>
      <c r="M242" s="13" t="s">
        <v>2804</v>
      </c>
      <c r="N242" s="13" t="s">
        <v>193</v>
      </c>
      <c r="O242" s="14" t="s">
        <v>2028</v>
      </c>
      <c r="P242" s="14" t="s">
        <v>1937</v>
      </c>
      <c r="Q242" s="14" t="s">
        <v>2807</v>
      </c>
      <c r="R242" s="14" t="s">
        <v>1927</v>
      </c>
      <c r="S242" s="14"/>
      <c r="T242" s="14"/>
    </row>
    <row r="243" ht="13.5" customHeight="1" spans="1:20">
      <c r="A243" s="13" t="s">
        <v>2808</v>
      </c>
      <c r="B243" s="13" t="s">
        <v>1542</v>
      </c>
      <c r="C243" s="13" t="s">
        <v>1999</v>
      </c>
      <c r="D243" s="13" t="s">
        <v>1951</v>
      </c>
      <c r="E243" s="13" t="s">
        <v>2777</v>
      </c>
      <c r="F243" s="13" t="s">
        <v>1931</v>
      </c>
      <c r="G243" s="13" t="s">
        <v>1941</v>
      </c>
      <c r="H243" s="13" t="s">
        <v>2809</v>
      </c>
      <c r="I243" s="13" t="s">
        <v>2010</v>
      </c>
      <c r="J243" s="13" t="s">
        <v>2810</v>
      </c>
      <c r="K243" s="14">
        <v>1</v>
      </c>
      <c r="L243" s="13" t="s">
        <v>1542</v>
      </c>
      <c r="M243" s="13" t="s">
        <v>2808</v>
      </c>
      <c r="N243" s="13" t="s">
        <v>193</v>
      </c>
      <c r="O243" s="14" t="s">
        <v>1925</v>
      </c>
      <c r="P243" s="14" t="s">
        <v>1937</v>
      </c>
      <c r="Q243" s="14" t="s">
        <v>2811</v>
      </c>
      <c r="R243" s="14" t="s">
        <v>1927</v>
      </c>
      <c r="S243" s="14"/>
      <c r="T243" s="14"/>
    </row>
    <row r="244" ht="13.5" customHeight="1" spans="1:20">
      <c r="A244" s="13" t="s">
        <v>2812</v>
      </c>
      <c r="B244" s="13" t="s">
        <v>1548</v>
      </c>
      <c r="C244" s="13" t="s">
        <v>1999</v>
      </c>
      <c r="D244" s="13" t="s">
        <v>2155</v>
      </c>
      <c r="E244" s="13" t="s">
        <v>2769</v>
      </c>
      <c r="F244" s="13" t="s">
        <v>1931</v>
      </c>
      <c r="G244" s="13" t="s">
        <v>1932</v>
      </c>
      <c r="H244" s="13" t="s">
        <v>1947</v>
      </c>
      <c r="I244" s="13" t="s">
        <v>1923</v>
      </c>
      <c r="J244" s="13" t="s">
        <v>2813</v>
      </c>
      <c r="K244" s="14">
        <v>1</v>
      </c>
      <c r="L244" s="13" t="s">
        <v>1548</v>
      </c>
      <c r="M244" s="13" t="s">
        <v>2812</v>
      </c>
      <c r="N244" s="13" t="s">
        <v>193</v>
      </c>
      <c r="O244" s="14" t="s">
        <v>2028</v>
      </c>
      <c r="P244" s="14" t="s">
        <v>1949</v>
      </c>
      <c r="Q244" s="14"/>
      <c r="R244" s="14" t="s">
        <v>1927</v>
      </c>
      <c r="S244" s="14"/>
      <c r="T244" s="14"/>
    </row>
    <row r="245" ht="13.5" customHeight="1" spans="1:20">
      <c r="A245" s="13" t="s">
        <v>2814</v>
      </c>
      <c r="B245" s="13" t="s">
        <v>1553</v>
      </c>
      <c r="C245" s="13" t="s">
        <v>1999</v>
      </c>
      <c r="D245" s="13" t="s">
        <v>245</v>
      </c>
      <c r="E245" s="13" t="s">
        <v>2792</v>
      </c>
      <c r="F245" s="13" t="s">
        <v>1931</v>
      </c>
      <c r="G245" s="13" t="s">
        <v>2678</v>
      </c>
      <c r="H245" s="13" t="s">
        <v>1922</v>
      </c>
      <c r="I245" s="13" t="s">
        <v>1987</v>
      </c>
      <c r="J245" s="13" t="s">
        <v>2815</v>
      </c>
      <c r="K245" s="14">
        <v>1</v>
      </c>
      <c r="L245" s="13" t="s">
        <v>1553</v>
      </c>
      <c r="M245" s="13" t="s">
        <v>2814</v>
      </c>
      <c r="N245" s="13" t="s">
        <v>193</v>
      </c>
      <c r="O245" s="14" t="s">
        <v>1969</v>
      </c>
      <c r="P245" s="14" t="s">
        <v>1926</v>
      </c>
      <c r="Q245" s="14"/>
      <c r="R245" s="14" t="s">
        <v>1927</v>
      </c>
      <c r="S245" s="14"/>
      <c r="T245" s="14"/>
    </row>
    <row r="246" ht="13.5" customHeight="1" spans="1:20">
      <c r="A246" s="13" t="s">
        <v>2816</v>
      </c>
      <c r="B246" s="13" t="s">
        <v>1554</v>
      </c>
      <c r="C246" s="13" t="s">
        <v>1999</v>
      </c>
      <c r="D246" s="13" t="s">
        <v>245</v>
      </c>
      <c r="E246" s="13" t="s">
        <v>2792</v>
      </c>
      <c r="F246" s="13" t="s">
        <v>1931</v>
      </c>
      <c r="G246" s="13" t="s">
        <v>2678</v>
      </c>
      <c r="H246" s="13" t="s">
        <v>1922</v>
      </c>
      <c r="I246" s="13" t="s">
        <v>1987</v>
      </c>
      <c r="J246" s="13" t="s">
        <v>2817</v>
      </c>
      <c r="K246" s="14">
        <v>1</v>
      </c>
      <c r="L246" s="13" t="s">
        <v>1554</v>
      </c>
      <c r="M246" s="13" t="s">
        <v>2816</v>
      </c>
      <c r="N246" s="13" t="s">
        <v>193</v>
      </c>
      <c r="O246" s="14" t="s">
        <v>1969</v>
      </c>
      <c r="P246" s="14" t="s">
        <v>1926</v>
      </c>
      <c r="Q246" s="14"/>
      <c r="R246" s="14" t="s">
        <v>1927</v>
      </c>
      <c r="S246" s="14"/>
      <c r="T246" s="14"/>
    </row>
    <row r="247" ht="13.5" customHeight="1" spans="1:20">
      <c r="A247" s="13" t="s">
        <v>2818</v>
      </c>
      <c r="B247" s="13" t="s">
        <v>1567</v>
      </c>
      <c r="C247" s="13" t="s">
        <v>1999</v>
      </c>
      <c r="D247" s="13" t="s">
        <v>245</v>
      </c>
      <c r="E247" s="13" t="s">
        <v>2759</v>
      </c>
      <c r="F247" s="13" t="s">
        <v>1920</v>
      </c>
      <c r="G247" s="13" t="s">
        <v>1921</v>
      </c>
      <c r="H247" s="13" t="s">
        <v>1922</v>
      </c>
      <c r="I247" s="13" t="s">
        <v>1923</v>
      </c>
      <c r="J247" s="13" t="s">
        <v>2819</v>
      </c>
      <c r="K247" s="14">
        <v>1</v>
      </c>
      <c r="L247" s="13" t="s">
        <v>1567</v>
      </c>
      <c r="M247" s="13" t="s">
        <v>2818</v>
      </c>
      <c r="N247" s="13" t="s">
        <v>193</v>
      </c>
      <c r="O247" s="14" t="s">
        <v>1936</v>
      </c>
      <c r="P247" s="14" t="s">
        <v>1926</v>
      </c>
      <c r="Q247" s="14"/>
      <c r="R247" s="14" t="s">
        <v>1927</v>
      </c>
      <c r="S247" s="14"/>
      <c r="T247" s="14"/>
    </row>
    <row r="248" ht="13.5" customHeight="1" spans="1:20">
      <c r="A248" s="13" t="s">
        <v>2820</v>
      </c>
      <c r="B248" s="13" t="s">
        <v>1576</v>
      </c>
      <c r="C248" s="13" t="s">
        <v>1999</v>
      </c>
      <c r="D248" s="13" t="s">
        <v>2821</v>
      </c>
      <c r="E248" s="13" t="s">
        <v>2792</v>
      </c>
      <c r="F248" s="13" t="s">
        <v>1931</v>
      </c>
      <c r="G248" s="13" t="s">
        <v>1941</v>
      </c>
      <c r="H248" s="13" t="s">
        <v>2822</v>
      </c>
      <c r="I248" s="13" t="s">
        <v>1923</v>
      </c>
      <c r="J248" s="13" t="s">
        <v>2823</v>
      </c>
      <c r="K248" s="14">
        <v>1</v>
      </c>
      <c r="L248" s="13" t="s">
        <v>1576</v>
      </c>
      <c r="M248" s="13" t="s">
        <v>2820</v>
      </c>
      <c r="N248" s="13" t="s">
        <v>193</v>
      </c>
      <c r="O248" s="14" t="s">
        <v>1969</v>
      </c>
      <c r="P248" s="14" t="s">
        <v>1937</v>
      </c>
      <c r="Q248" s="14" t="s">
        <v>2824</v>
      </c>
      <c r="R248" s="14" t="s">
        <v>1927</v>
      </c>
      <c r="S248" s="14"/>
      <c r="T248" s="14"/>
    </row>
    <row r="249" ht="13.5" customHeight="1" spans="1:20">
      <c r="A249" s="13" t="s">
        <v>2825</v>
      </c>
      <c r="B249" s="13" t="s">
        <v>1581</v>
      </c>
      <c r="C249" s="13" t="s">
        <v>1999</v>
      </c>
      <c r="D249" s="13" t="s">
        <v>1955</v>
      </c>
      <c r="E249" s="13" t="s">
        <v>2792</v>
      </c>
      <c r="F249" s="13" t="s">
        <v>1931</v>
      </c>
      <c r="G249" s="13" t="s">
        <v>2056</v>
      </c>
      <c r="H249" s="13" t="s">
        <v>1947</v>
      </c>
      <c r="I249" s="13" t="s">
        <v>1979</v>
      </c>
      <c r="J249" s="13" t="s">
        <v>2826</v>
      </c>
      <c r="K249" s="14">
        <v>1</v>
      </c>
      <c r="L249" s="13" t="s">
        <v>1581</v>
      </c>
      <c r="M249" s="13" t="s">
        <v>2825</v>
      </c>
      <c r="N249" s="13" t="s">
        <v>193</v>
      </c>
      <c r="O249" s="14" t="s">
        <v>1969</v>
      </c>
      <c r="P249" s="14" t="s">
        <v>1949</v>
      </c>
      <c r="Q249" s="14"/>
      <c r="R249" s="14" t="s">
        <v>1939</v>
      </c>
      <c r="S249" s="14"/>
      <c r="T249" s="14"/>
    </row>
    <row r="250" ht="13.5" customHeight="1" spans="1:20">
      <c r="A250" s="13" t="s">
        <v>2827</v>
      </c>
      <c r="B250" s="13" t="s">
        <v>1601</v>
      </c>
      <c r="C250" s="13" t="s">
        <v>1999</v>
      </c>
      <c r="D250" s="13" t="s">
        <v>2828</v>
      </c>
      <c r="E250" s="13" t="s">
        <v>2777</v>
      </c>
      <c r="F250" s="13" t="s">
        <v>1931</v>
      </c>
      <c r="G250" s="13" t="s">
        <v>2279</v>
      </c>
      <c r="H250" s="13" t="s">
        <v>2829</v>
      </c>
      <c r="I250" s="13" t="s">
        <v>1987</v>
      </c>
      <c r="J250" s="13" t="s">
        <v>2830</v>
      </c>
      <c r="K250" s="14">
        <v>1</v>
      </c>
      <c r="L250" s="13" t="s">
        <v>1601</v>
      </c>
      <c r="M250" s="13" t="s">
        <v>2827</v>
      </c>
      <c r="N250" s="13" t="s">
        <v>193</v>
      </c>
      <c r="O250" s="14" t="s">
        <v>1925</v>
      </c>
      <c r="P250" s="14" t="s">
        <v>1937</v>
      </c>
      <c r="Q250" s="14" t="s">
        <v>2831</v>
      </c>
      <c r="R250" s="14" t="s">
        <v>1927</v>
      </c>
      <c r="S250" s="14"/>
      <c r="T250" s="14"/>
    </row>
    <row r="251" ht="13.5" customHeight="1" spans="1:20">
      <c r="A251" s="13" t="s">
        <v>2832</v>
      </c>
      <c r="B251" s="13" t="s">
        <v>1603</v>
      </c>
      <c r="C251" s="13" t="s">
        <v>1999</v>
      </c>
      <c r="D251" s="13" t="s">
        <v>2828</v>
      </c>
      <c r="E251" s="13" t="s">
        <v>2777</v>
      </c>
      <c r="F251" s="13" t="s">
        <v>1931</v>
      </c>
      <c r="G251" s="13" t="s">
        <v>2056</v>
      </c>
      <c r="H251" s="13" t="s">
        <v>2833</v>
      </c>
      <c r="I251" s="13" t="s">
        <v>1934</v>
      </c>
      <c r="J251" s="13" t="s">
        <v>2834</v>
      </c>
      <c r="K251" s="14">
        <v>1</v>
      </c>
      <c r="L251" s="13" t="s">
        <v>1603</v>
      </c>
      <c r="M251" s="13" t="s">
        <v>2832</v>
      </c>
      <c r="N251" s="13" t="s">
        <v>193</v>
      </c>
      <c r="O251" s="14" t="s">
        <v>1925</v>
      </c>
      <c r="P251" s="14" t="s">
        <v>1937</v>
      </c>
      <c r="Q251" s="14" t="s">
        <v>2835</v>
      </c>
      <c r="R251" s="14" t="s">
        <v>1939</v>
      </c>
      <c r="S251" s="14"/>
      <c r="T251" s="14"/>
    </row>
    <row r="252" ht="13.5" customHeight="1" spans="1:20">
      <c r="A252" s="13" t="s">
        <v>2836</v>
      </c>
      <c r="B252" s="13" t="s">
        <v>1617</v>
      </c>
      <c r="C252" s="13" t="s">
        <v>1999</v>
      </c>
      <c r="D252" s="13" t="s">
        <v>230</v>
      </c>
      <c r="E252" s="13" t="s">
        <v>2837</v>
      </c>
      <c r="F252" s="13" t="s">
        <v>1931</v>
      </c>
      <c r="G252" s="13" t="s">
        <v>1921</v>
      </c>
      <c r="H252" s="13" t="s">
        <v>2838</v>
      </c>
      <c r="I252" s="13" t="s">
        <v>1934</v>
      </c>
      <c r="J252" s="13" t="s">
        <v>2839</v>
      </c>
      <c r="K252" s="14">
        <v>1</v>
      </c>
      <c r="L252" s="13" t="s">
        <v>1617</v>
      </c>
      <c r="M252" s="13" t="s">
        <v>2836</v>
      </c>
      <c r="N252" s="13" t="s">
        <v>193</v>
      </c>
      <c r="O252" s="14" t="s">
        <v>2086</v>
      </c>
      <c r="P252" s="14" t="s">
        <v>1937</v>
      </c>
      <c r="Q252" s="14" t="s">
        <v>2840</v>
      </c>
      <c r="R252" s="14" t="s">
        <v>1939</v>
      </c>
      <c r="S252" s="14"/>
      <c r="T252" s="14"/>
    </row>
    <row r="253" ht="13.5" customHeight="1" spans="1:20">
      <c r="A253" s="13" t="s">
        <v>2841</v>
      </c>
      <c r="B253" s="13" t="s">
        <v>1621</v>
      </c>
      <c r="C253" s="13" t="s">
        <v>1999</v>
      </c>
      <c r="D253" s="13" t="s">
        <v>230</v>
      </c>
      <c r="E253" s="13" t="s">
        <v>2772</v>
      </c>
      <c r="F253" s="13" t="s">
        <v>1931</v>
      </c>
      <c r="G253" s="13" t="s">
        <v>1932</v>
      </c>
      <c r="H253" s="13" t="s">
        <v>1922</v>
      </c>
      <c r="I253" s="13" t="s">
        <v>1979</v>
      </c>
      <c r="J253" s="13" t="s">
        <v>2842</v>
      </c>
      <c r="K253" s="14">
        <v>1</v>
      </c>
      <c r="L253" s="13" t="s">
        <v>1621</v>
      </c>
      <c r="M253" s="13" t="s">
        <v>2841</v>
      </c>
      <c r="N253" s="13" t="s">
        <v>193</v>
      </c>
      <c r="O253" s="14" t="s">
        <v>1996</v>
      </c>
      <c r="P253" s="14" t="s">
        <v>1926</v>
      </c>
      <c r="Q253" s="14"/>
      <c r="R253" s="14" t="s">
        <v>1939</v>
      </c>
      <c r="S253" s="14"/>
      <c r="T253" s="14"/>
    </row>
    <row r="254" ht="13.5" customHeight="1" spans="1:20">
      <c r="A254" s="13" t="s">
        <v>2843</v>
      </c>
      <c r="B254" s="13" t="s">
        <v>1639</v>
      </c>
      <c r="C254" s="13" t="s">
        <v>1999</v>
      </c>
      <c r="D254" s="13" t="s">
        <v>311</v>
      </c>
      <c r="E254" s="13" t="s">
        <v>2797</v>
      </c>
      <c r="F254" s="13" t="s">
        <v>1931</v>
      </c>
      <c r="G254" s="13" t="s">
        <v>1932</v>
      </c>
      <c r="H254" s="13" t="s">
        <v>2844</v>
      </c>
      <c r="I254" s="13" t="s">
        <v>2010</v>
      </c>
      <c r="J254" s="13" t="s">
        <v>2845</v>
      </c>
      <c r="K254" s="14">
        <v>1</v>
      </c>
      <c r="L254" s="13" t="s">
        <v>1639</v>
      </c>
      <c r="M254" s="13" t="s">
        <v>2843</v>
      </c>
      <c r="N254" s="13" t="s">
        <v>193</v>
      </c>
      <c r="O254" s="14" t="s">
        <v>1989</v>
      </c>
      <c r="P254" s="14" t="s">
        <v>1937</v>
      </c>
      <c r="Q254" s="14" t="s">
        <v>2846</v>
      </c>
      <c r="R254" s="14" t="s">
        <v>1927</v>
      </c>
      <c r="S254" s="14"/>
      <c r="T254" s="14"/>
    </row>
    <row r="255" ht="13.5" customHeight="1" spans="1:20">
      <c r="A255" s="13" t="s">
        <v>2847</v>
      </c>
      <c r="B255" s="13" t="s">
        <v>1645</v>
      </c>
      <c r="C255" s="13" t="s">
        <v>1999</v>
      </c>
      <c r="D255" s="13" t="s">
        <v>311</v>
      </c>
      <c r="E255" s="13" t="s">
        <v>2772</v>
      </c>
      <c r="F255" s="13" t="s">
        <v>1931</v>
      </c>
      <c r="G255" s="13" t="s">
        <v>2009</v>
      </c>
      <c r="H255" s="13" t="s">
        <v>2848</v>
      </c>
      <c r="I255" s="13" t="s">
        <v>2849</v>
      </c>
      <c r="J255" s="13" t="s">
        <v>2850</v>
      </c>
      <c r="K255" s="14">
        <v>1</v>
      </c>
      <c r="L255" s="13" t="s">
        <v>1645</v>
      </c>
      <c r="M255" s="13" t="s">
        <v>2847</v>
      </c>
      <c r="N255" s="13" t="s">
        <v>193</v>
      </c>
      <c r="O255" s="14" t="s">
        <v>1996</v>
      </c>
      <c r="P255" s="14" t="s">
        <v>1937</v>
      </c>
      <c r="Q255" s="14" t="s">
        <v>2851</v>
      </c>
      <c r="R255" s="14" t="s">
        <v>1927</v>
      </c>
      <c r="S255" s="14"/>
      <c r="T255" s="14"/>
    </row>
    <row r="256" ht="13.5" customHeight="1" spans="1:20">
      <c r="A256" s="13" t="s">
        <v>2852</v>
      </c>
      <c r="B256" s="13" t="s">
        <v>1646</v>
      </c>
      <c r="C256" s="13" t="s">
        <v>1999</v>
      </c>
      <c r="D256" s="13" t="s">
        <v>311</v>
      </c>
      <c r="E256" s="13" t="s">
        <v>2777</v>
      </c>
      <c r="F256" s="13" t="s">
        <v>2143</v>
      </c>
      <c r="G256" s="13" t="s">
        <v>1946</v>
      </c>
      <c r="H256" s="13" t="s">
        <v>1947</v>
      </c>
      <c r="I256" s="13" t="s">
        <v>1934</v>
      </c>
      <c r="J256" s="13" t="s">
        <v>2853</v>
      </c>
      <c r="K256" s="14">
        <v>1</v>
      </c>
      <c r="L256" s="13" t="s">
        <v>1646</v>
      </c>
      <c r="M256" s="13" t="s">
        <v>2852</v>
      </c>
      <c r="N256" s="13" t="s">
        <v>193</v>
      </c>
      <c r="O256" s="14" t="s">
        <v>1925</v>
      </c>
      <c r="P256" s="14" t="s">
        <v>1949</v>
      </c>
      <c r="Q256" s="14"/>
      <c r="R256" s="14" t="s">
        <v>1939</v>
      </c>
      <c r="S256" s="14"/>
      <c r="T256" s="14"/>
    </row>
    <row r="257" ht="13.5" customHeight="1" spans="1:20">
      <c r="A257" s="13" t="s">
        <v>2854</v>
      </c>
      <c r="B257" s="13" t="s">
        <v>1648</v>
      </c>
      <c r="C257" s="13" t="s">
        <v>1999</v>
      </c>
      <c r="D257" s="13" t="s">
        <v>311</v>
      </c>
      <c r="E257" s="13" t="s">
        <v>2759</v>
      </c>
      <c r="F257" s="13" t="s">
        <v>1931</v>
      </c>
      <c r="G257" s="13" t="s">
        <v>1921</v>
      </c>
      <c r="H257" s="13" t="s">
        <v>2855</v>
      </c>
      <c r="I257" s="13" t="s">
        <v>2143</v>
      </c>
      <c r="J257" s="13" t="s">
        <v>2856</v>
      </c>
      <c r="K257" s="14">
        <v>1</v>
      </c>
      <c r="L257" s="13" t="s">
        <v>1648</v>
      </c>
      <c r="M257" s="13" t="s">
        <v>2854</v>
      </c>
      <c r="N257" s="13" t="s">
        <v>193</v>
      </c>
      <c r="O257" s="14" t="s">
        <v>1936</v>
      </c>
      <c r="P257" s="14" t="s">
        <v>1937</v>
      </c>
      <c r="Q257" s="14" t="s">
        <v>2857</v>
      </c>
      <c r="R257" s="14" t="s">
        <v>1939</v>
      </c>
      <c r="S257" s="14"/>
      <c r="T257" s="14"/>
    </row>
    <row r="258" ht="13.5" customHeight="1" spans="1:20">
      <c r="A258" s="13" t="s">
        <v>2858</v>
      </c>
      <c r="B258" s="13" t="s">
        <v>1651</v>
      </c>
      <c r="C258" s="13" t="s">
        <v>1999</v>
      </c>
      <c r="D258" s="13" t="s">
        <v>311</v>
      </c>
      <c r="E258" s="13" t="s">
        <v>2772</v>
      </c>
      <c r="F258" s="13" t="s">
        <v>1931</v>
      </c>
      <c r="G258" s="13" t="s">
        <v>2056</v>
      </c>
      <c r="H258" s="13" t="s">
        <v>2859</v>
      </c>
      <c r="I258" s="13" t="s">
        <v>1934</v>
      </c>
      <c r="J258" s="13" t="s">
        <v>2860</v>
      </c>
      <c r="K258" s="14">
        <v>1</v>
      </c>
      <c r="L258" s="13" t="s">
        <v>1651</v>
      </c>
      <c r="M258" s="13" t="s">
        <v>2858</v>
      </c>
      <c r="N258" s="13" t="s">
        <v>193</v>
      </c>
      <c r="O258" s="14" t="s">
        <v>1996</v>
      </c>
      <c r="P258" s="14" t="s">
        <v>1937</v>
      </c>
      <c r="Q258" s="14" t="s">
        <v>2861</v>
      </c>
      <c r="R258" s="14" t="s">
        <v>1939</v>
      </c>
      <c r="S258" s="14"/>
      <c r="T258" s="14"/>
    </row>
    <row r="259" ht="13.5" customHeight="1" spans="1:20">
      <c r="A259" s="13" t="s">
        <v>2862</v>
      </c>
      <c r="B259" s="13" t="s">
        <v>1655</v>
      </c>
      <c r="C259" s="13" t="s">
        <v>1999</v>
      </c>
      <c r="D259" s="13" t="s">
        <v>311</v>
      </c>
      <c r="E259" s="13" t="s">
        <v>2772</v>
      </c>
      <c r="F259" s="13" t="s">
        <v>1931</v>
      </c>
      <c r="G259" s="13" t="s">
        <v>1932</v>
      </c>
      <c r="H259" s="13" t="s">
        <v>2863</v>
      </c>
      <c r="I259" s="13" t="s">
        <v>1979</v>
      </c>
      <c r="J259" s="13" t="s">
        <v>2864</v>
      </c>
      <c r="K259" s="14">
        <v>1</v>
      </c>
      <c r="L259" s="13" t="s">
        <v>1655</v>
      </c>
      <c r="M259" s="13" t="s">
        <v>2862</v>
      </c>
      <c r="N259" s="13" t="s">
        <v>193</v>
      </c>
      <c r="O259" s="14" t="s">
        <v>1996</v>
      </c>
      <c r="P259" s="14" t="s">
        <v>1937</v>
      </c>
      <c r="Q259" s="14" t="s">
        <v>2865</v>
      </c>
      <c r="R259" s="14" t="s">
        <v>1939</v>
      </c>
      <c r="S259" s="14"/>
      <c r="T259" s="14"/>
    </row>
    <row r="260" ht="13.5" customHeight="1" spans="1:20">
      <c r="A260" s="13" t="s">
        <v>2866</v>
      </c>
      <c r="B260" s="13" t="s">
        <v>1656</v>
      </c>
      <c r="C260" s="13" t="s">
        <v>1999</v>
      </c>
      <c r="D260" s="13" t="s">
        <v>311</v>
      </c>
      <c r="E260" s="13" t="s">
        <v>2792</v>
      </c>
      <c r="F260" s="13" t="s">
        <v>2143</v>
      </c>
      <c r="G260" s="13" t="s">
        <v>1946</v>
      </c>
      <c r="H260" s="13" t="s">
        <v>2867</v>
      </c>
      <c r="I260" s="13" t="s">
        <v>2139</v>
      </c>
      <c r="J260" s="13" t="s">
        <v>2868</v>
      </c>
      <c r="K260" s="14">
        <v>1</v>
      </c>
      <c r="L260" s="13" t="s">
        <v>1656</v>
      </c>
      <c r="M260" s="13" t="s">
        <v>2866</v>
      </c>
      <c r="N260" s="13" t="s">
        <v>193</v>
      </c>
      <c r="O260" s="14" t="s">
        <v>1969</v>
      </c>
      <c r="P260" s="14" t="s">
        <v>1937</v>
      </c>
      <c r="Q260" s="14" t="s">
        <v>2869</v>
      </c>
      <c r="R260" s="14" t="s">
        <v>1939</v>
      </c>
      <c r="S260" s="14"/>
      <c r="T260" s="14"/>
    </row>
    <row r="261" ht="13.5" customHeight="1" spans="1:20">
      <c r="A261" s="13" t="s">
        <v>2870</v>
      </c>
      <c r="B261" s="13" t="s">
        <v>1659</v>
      </c>
      <c r="C261" s="13" t="s">
        <v>1999</v>
      </c>
      <c r="D261" s="13" t="s">
        <v>311</v>
      </c>
      <c r="E261" s="13" t="s">
        <v>2759</v>
      </c>
      <c r="F261" s="13" t="s">
        <v>1931</v>
      </c>
      <c r="G261" s="13" t="s">
        <v>1932</v>
      </c>
      <c r="H261" s="13" t="s">
        <v>2871</v>
      </c>
      <c r="I261" s="13" t="s">
        <v>1923</v>
      </c>
      <c r="J261" s="13" t="s">
        <v>2872</v>
      </c>
      <c r="K261" s="14">
        <v>1</v>
      </c>
      <c r="L261" s="13" t="s">
        <v>1659</v>
      </c>
      <c r="M261" s="13" t="s">
        <v>2870</v>
      </c>
      <c r="N261" s="13" t="s">
        <v>193</v>
      </c>
      <c r="O261" s="14" t="s">
        <v>1936</v>
      </c>
      <c r="P261" s="14" t="s">
        <v>1937</v>
      </c>
      <c r="Q261" s="14" t="s">
        <v>2873</v>
      </c>
      <c r="R261" s="14" t="s">
        <v>1927</v>
      </c>
      <c r="S261" s="14"/>
      <c r="T261" s="14"/>
    </row>
    <row r="262" ht="13.5" customHeight="1" spans="1:20">
      <c r="A262" s="13" t="s">
        <v>2874</v>
      </c>
      <c r="B262" s="13" t="s">
        <v>1661</v>
      </c>
      <c r="C262" s="13" t="s">
        <v>1999</v>
      </c>
      <c r="D262" s="13" t="s">
        <v>311</v>
      </c>
      <c r="E262" s="13" t="s">
        <v>2788</v>
      </c>
      <c r="F262" s="13" t="s">
        <v>1931</v>
      </c>
      <c r="G262" s="13" t="s">
        <v>1946</v>
      </c>
      <c r="H262" s="13" t="s">
        <v>1947</v>
      </c>
      <c r="I262" s="13" t="s">
        <v>1923</v>
      </c>
      <c r="J262" s="13" t="s">
        <v>2875</v>
      </c>
      <c r="K262" s="14">
        <v>1</v>
      </c>
      <c r="L262" s="13" t="s">
        <v>1661</v>
      </c>
      <c r="M262" s="13" t="s">
        <v>2874</v>
      </c>
      <c r="N262" s="13" t="s">
        <v>193</v>
      </c>
      <c r="O262" s="14" t="s">
        <v>2049</v>
      </c>
      <c r="P262" s="14" t="s">
        <v>1949</v>
      </c>
      <c r="Q262" s="14"/>
      <c r="R262" s="14" t="s">
        <v>1927</v>
      </c>
      <c r="S262" s="14"/>
      <c r="T262" s="14"/>
    </row>
    <row r="263" ht="13.5" customHeight="1" spans="1:20">
      <c r="A263" s="13" t="s">
        <v>2876</v>
      </c>
      <c r="B263" s="13" t="s">
        <v>1677</v>
      </c>
      <c r="C263" s="13" t="s">
        <v>1999</v>
      </c>
      <c r="D263" s="13" t="s">
        <v>2220</v>
      </c>
      <c r="E263" s="13" t="s">
        <v>2792</v>
      </c>
      <c r="F263" s="13" t="s">
        <v>1931</v>
      </c>
      <c r="G263" s="13" t="s">
        <v>2056</v>
      </c>
      <c r="H263" s="13" t="s">
        <v>2877</v>
      </c>
      <c r="I263" s="13" t="s">
        <v>2010</v>
      </c>
      <c r="J263" s="13" t="s">
        <v>2878</v>
      </c>
      <c r="K263" s="14">
        <v>1</v>
      </c>
      <c r="L263" s="13" t="s">
        <v>1677</v>
      </c>
      <c r="M263" s="13" t="s">
        <v>2876</v>
      </c>
      <c r="N263" s="13" t="s">
        <v>193</v>
      </c>
      <c r="O263" s="14" t="s">
        <v>1969</v>
      </c>
      <c r="P263" s="14" t="s">
        <v>1937</v>
      </c>
      <c r="Q263" s="14" t="s">
        <v>2879</v>
      </c>
      <c r="R263" s="14" t="s">
        <v>1927</v>
      </c>
      <c r="S263" s="14"/>
      <c r="T263" s="14"/>
    </row>
    <row r="264" ht="13.5" customHeight="1" spans="1:20">
      <c r="A264" s="13" t="s">
        <v>2880</v>
      </c>
      <c r="B264" s="13" t="s">
        <v>1683</v>
      </c>
      <c r="C264" s="13" t="s">
        <v>1999</v>
      </c>
      <c r="D264" s="13" t="s">
        <v>1984</v>
      </c>
      <c r="E264" s="13" t="s">
        <v>2772</v>
      </c>
      <c r="F264" s="13" t="s">
        <v>1931</v>
      </c>
      <c r="G264" s="13" t="s">
        <v>1941</v>
      </c>
      <c r="H264" s="13" t="s">
        <v>2881</v>
      </c>
      <c r="I264" s="13" t="s">
        <v>2010</v>
      </c>
      <c r="J264" s="13" t="s">
        <v>2882</v>
      </c>
      <c r="K264" s="14">
        <v>1</v>
      </c>
      <c r="L264" s="13" t="s">
        <v>1683</v>
      </c>
      <c r="M264" s="13" t="s">
        <v>2880</v>
      </c>
      <c r="N264" s="13" t="s">
        <v>193</v>
      </c>
      <c r="O264" s="14" t="s">
        <v>1996</v>
      </c>
      <c r="P264" s="14" t="s">
        <v>1937</v>
      </c>
      <c r="Q264" s="14" t="s">
        <v>2883</v>
      </c>
      <c r="R264" s="14" t="s">
        <v>1927</v>
      </c>
      <c r="S264" s="14"/>
      <c r="T264" s="14"/>
    </row>
    <row r="265" ht="13.5" customHeight="1" spans="1:20">
      <c r="A265" s="13" t="s">
        <v>2884</v>
      </c>
      <c r="B265" s="13" t="s">
        <v>1685</v>
      </c>
      <c r="C265" s="13" t="s">
        <v>1999</v>
      </c>
      <c r="D265" s="13" t="s">
        <v>1984</v>
      </c>
      <c r="E265" s="13" t="s">
        <v>2772</v>
      </c>
      <c r="F265" s="13" t="s">
        <v>1920</v>
      </c>
      <c r="G265" s="13" t="s">
        <v>1932</v>
      </c>
      <c r="H265" s="13" t="s">
        <v>1947</v>
      </c>
      <c r="I265" s="13" t="s">
        <v>1923</v>
      </c>
      <c r="J265" s="13" t="s">
        <v>2885</v>
      </c>
      <c r="K265" s="14">
        <v>1</v>
      </c>
      <c r="L265" s="13" t="s">
        <v>1685</v>
      </c>
      <c r="M265" s="13" t="s">
        <v>2884</v>
      </c>
      <c r="N265" s="13" t="s">
        <v>193</v>
      </c>
      <c r="O265" s="14" t="s">
        <v>1996</v>
      </c>
      <c r="P265" s="14" t="s">
        <v>1949</v>
      </c>
      <c r="Q265" s="14"/>
      <c r="R265" s="14" t="s">
        <v>1927</v>
      </c>
      <c r="S265" s="14"/>
      <c r="T265" s="14"/>
    </row>
    <row r="266" ht="13.5" customHeight="1" spans="1:20">
      <c r="A266" s="13" t="s">
        <v>2886</v>
      </c>
      <c r="B266" s="13" t="s">
        <v>1691</v>
      </c>
      <c r="C266" s="13" t="s">
        <v>1999</v>
      </c>
      <c r="D266" s="13" t="s">
        <v>2887</v>
      </c>
      <c r="E266" s="13" t="s">
        <v>2754</v>
      </c>
      <c r="F266" s="13" t="s">
        <v>1931</v>
      </c>
      <c r="G266" s="13" t="s">
        <v>1932</v>
      </c>
      <c r="H266" s="13" t="s">
        <v>2039</v>
      </c>
      <c r="I266" s="13" t="s">
        <v>1934</v>
      </c>
      <c r="J266" s="13" t="s">
        <v>2888</v>
      </c>
      <c r="K266" s="14">
        <v>1</v>
      </c>
      <c r="L266" s="13" t="s">
        <v>1691</v>
      </c>
      <c r="M266" s="13" t="s">
        <v>2886</v>
      </c>
      <c r="N266" s="13" t="s">
        <v>193</v>
      </c>
      <c r="O266" s="14" t="s">
        <v>1974</v>
      </c>
      <c r="P266" s="14" t="s">
        <v>1949</v>
      </c>
      <c r="Q266" s="14"/>
      <c r="R266" s="14" t="s">
        <v>1939</v>
      </c>
      <c r="S266" s="14"/>
      <c r="T266" s="14"/>
    </row>
    <row r="267" ht="13.5" customHeight="1" spans="1:20">
      <c r="A267" s="13" t="s">
        <v>2889</v>
      </c>
      <c r="B267" s="13" t="s">
        <v>1694</v>
      </c>
      <c r="C267" s="13" t="s">
        <v>1999</v>
      </c>
      <c r="D267" s="13" t="s">
        <v>1992</v>
      </c>
      <c r="E267" s="13" t="s">
        <v>2759</v>
      </c>
      <c r="F267" s="13" t="s">
        <v>1931</v>
      </c>
      <c r="G267" s="13" t="s">
        <v>2279</v>
      </c>
      <c r="H267" s="13" t="s">
        <v>2890</v>
      </c>
      <c r="I267" s="13" t="s">
        <v>1934</v>
      </c>
      <c r="J267" s="13" t="s">
        <v>2891</v>
      </c>
      <c r="K267" s="14">
        <v>1</v>
      </c>
      <c r="L267" s="13" t="s">
        <v>1694</v>
      </c>
      <c r="M267" s="13" t="s">
        <v>2889</v>
      </c>
      <c r="N267" s="13" t="s">
        <v>193</v>
      </c>
      <c r="O267" s="14" t="s">
        <v>1936</v>
      </c>
      <c r="P267" s="14" t="s">
        <v>1937</v>
      </c>
      <c r="Q267" s="14" t="s">
        <v>2892</v>
      </c>
      <c r="R267" s="14" t="s">
        <v>1939</v>
      </c>
      <c r="S267" s="14"/>
      <c r="T267" s="14"/>
    </row>
    <row r="268" ht="13.5" customHeight="1" spans="1:20">
      <c r="A268" s="13" t="s">
        <v>2893</v>
      </c>
      <c r="B268" s="13" t="s">
        <v>1699</v>
      </c>
      <c r="C268" s="13" t="s">
        <v>1999</v>
      </c>
      <c r="D268" s="13" t="s">
        <v>1992</v>
      </c>
      <c r="E268" s="13" t="s">
        <v>2759</v>
      </c>
      <c r="F268" s="13" t="s">
        <v>1931</v>
      </c>
      <c r="G268" s="13" t="s">
        <v>1946</v>
      </c>
      <c r="H268" s="13" t="s">
        <v>2894</v>
      </c>
      <c r="I268" s="13" t="s">
        <v>1923</v>
      </c>
      <c r="J268" s="13" t="s">
        <v>2895</v>
      </c>
      <c r="K268" s="14">
        <v>1</v>
      </c>
      <c r="L268" s="13" t="s">
        <v>1699</v>
      </c>
      <c r="M268" s="13" t="s">
        <v>2893</v>
      </c>
      <c r="N268" s="13" t="s">
        <v>193</v>
      </c>
      <c r="O268" s="14" t="s">
        <v>1936</v>
      </c>
      <c r="P268" s="14" t="s">
        <v>1937</v>
      </c>
      <c r="Q268" s="14" t="s">
        <v>2896</v>
      </c>
      <c r="R268" s="14" t="s">
        <v>1927</v>
      </c>
      <c r="S268" s="14"/>
      <c r="T268" s="14"/>
    </row>
    <row r="269" ht="13.5" customHeight="1" spans="1:20">
      <c r="A269" s="13" t="s">
        <v>2897</v>
      </c>
      <c r="B269" s="13" t="s">
        <v>1701</v>
      </c>
      <c r="C269" s="13" t="s">
        <v>1999</v>
      </c>
      <c r="D269" s="13" t="s">
        <v>2898</v>
      </c>
      <c r="E269" s="13" t="s">
        <v>2769</v>
      </c>
      <c r="F269" s="13" t="s">
        <v>1931</v>
      </c>
      <c r="G269" s="13" t="s">
        <v>1941</v>
      </c>
      <c r="H269" s="13" t="s">
        <v>1947</v>
      </c>
      <c r="I269" s="13" t="s">
        <v>1923</v>
      </c>
      <c r="J269" s="13" t="s">
        <v>2899</v>
      </c>
      <c r="K269" s="14">
        <v>1</v>
      </c>
      <c r="L269" s="13" t="s">
        <v>1701</v>
      </c>
      <c r="M269" s="13" t="s">
        <v>2897</v>
      </c>
      <c r="N269" s="13" t="s">
        <v>193</v>
      </c>
      <c r="O269" s="14" t="s">
        <v>2028</v>
      </c>
      <c r="P269" s="14" t="s">
        <v>1949</v>
      </c>
      <c r="Q269" s="14"/>
      <c r="R269" s="14" t="s">
        <v>1927</v>
      </c>
      <c r="S269" s="14"/>
      <c r="T269" s="14"/>
    </row>
    <row r="270" ht="13.5" customHeight="1" spans="1:20">
      <c r="A270" s="13" t="s">
        <v>2900</v>
      </c>
      <c r="B270" s="13" t="s">
        <v>1705</v>
      </c>
      <c r="C270" s="13" t="s">
        <v>1999</v>
      </c>
      <c r="D270" s="13" t="s">
        <v>2901</v>
      </c>
      <c r="E270" s="13" t="s">
        <v>2772</v>
      </c>
      <c r="F270" s="13" t="s">
        <v>1977</v>
      </c>
      <c r="G270" s="13" t="s">
        <v>2009</v>
      </c>
      <c r="H270" s="13" t="s">
        <v>2039</v>
      </c>
      <c r="I270" s="13" t="s">
        <v>2010</v>
      </c>
      <c r="J270" s="13" t="s">
        <v>2902</v>
      </c>
      <c r="K270" s="14">
        <v>1</v>
      </c>
      <c r="L270" s="13" t="s">
        <v>1705</v>
      </c>
      <c r="M270" s="13" t="s">
        <v>2900</v>
      </c>
      <c r="N270" s="13" t="s">
        <v>193</v>
      </c>
      <c r="O270" s="14" t="s">
        <v>1996</v>
      </c>
      <c r="P270" s="14" t="s">
        <v>1949</v>
      </c>
      <c r="Q270" s="14"/>
      <c r="R270" s="14" t="s">
        <v>1927</v>
      </c>
      <c r="S270" s="14"/>
      <c r="T270" s="14"/>
    </row>
    <row r="271" ht="13.5" customHeight="1" spans="1:20">
      <c r="A271" s="13" t="s">
        <v>2903</v>
      </c>
      <c r="B271" s="13" t="s">
        <v>1712</v>
      </c>
      <c r="C271" s="13" t="s">
        <v>1999</v>
      </c>
      <c r="D271" s="13" t="s">
        <v>259</v>
      </c>
      <c r="E271" s="13" t="s">
        <v>2777</v>
      </c>
      <c r="F271" s="13" t="s">
        <v>1931</v>
      </c>
      <c r="G271" s="13" t="s">
        <v>1932</v>
      </c>
      <c r="H271" s="13" t="s">
        <v>1947</v>
      </c>
      <c r="I271" s="13" t="s">
        <v>1987</v>
      </c>
      <c r="J271" s="13" t="s">
        <v>2904</v>
      </c>
      <c r="K271" s="14">
        <v>1</v>
      </c>
      <c r="L271" s="13" t="s">
        <v>1712</v>
      </c>
      <c r="M271" s="13" t="s">
        <v>2903</v>
      </c>
      <c r="N271" s="13" t="s">
        <v>193</v>
      </c>
      <c r="O271" s="14" t="s">
        <v>1925</v>
      </c>
      <c r="P271" s="14" t="s">
        <v>1949</v>
      </c>
      <c r="Q271" s="14"/>
      <c r="R271" s="14" t="s">
        <v>1927</v>
      </c>
      <c r="S271" s="14"/>
      <c r="T271" s="14"/>
    </row>
    <row r="272" ht="13.5" customHeight="1" spans="1:20">
      <c r="A272" s="13" t="s">
        <v>2905</v>
      </c>
      <c r="B272" s="13" t="s">
        <v>1726</v>
      </c>
      <c r="C272" s="13" t="s">
        <v>2233</v>
      </c>
      <c r="D272" s="13" t="s">
        <v>1929</v>
      </c>
      <c r="E272" s="13" t="s">
        <v>2759</v>
      </c>
      <c r="F272" s="13" t="s">
        <v>1931</v>
      </c>
      <c r="G272" s="13" t="s">
        <v>2234</v>
      </c>
      <c r="H272" s="13" t="s">
        <v>1947</v>
      </c>
      <c r="I272" s="13" t="s">
        <v>1923</v>
      </c>
      <c r="J272" s="13" t="s">
        <v>2906</v>
      </c>
      <c r="K272" s="14">
        <v>1</v>
      </c>
      <c r="L272" s="13" t="s">
        <v>1726</v>
      </c>
      <c r="M272" s="13" t="s">
        <v>2905</v>
      </c>
      <c r="N272" s="13" t="s">
        <v>193</v>
      </c>
      <c r="O272" s="14" t="s">
        <v>1936</v>
      </c>
      <c r="P272" s="14" t="s">
        <v>1949</v>
      </c>
      <c r="Q272" s="14"/>
      <c r="R272" s="14" t="s">
        <v>1927</v>
      </c>
      <c r="S272" s="14"/>
      <c r="T272" s="14"/>
    </row>
    <row r="273" ht="13.5" customHeight="1" spans="1:20">
      <c r="A273" s="13" t="s">
        <v>2907</v>
      </c>
      <c r="B273" s="13" t="s">
        <v>1727</v>
      </c>
      <c r="C273" s="13" t="s">
        <v>2233</v>
      </c>
      <c r="D273" s="13" t="s">
        <v>1929</v>
      </c>
      <c r="E273" s="13" t="s">
        <v>2759</v>
      </c>
      <c r="F273" s="13" t="s">
        <v>1931</v>
      </c>
      <c r="G273" s="13" t="s">
        <v>2234</v>
      </c>
      <c r="H273" s="13" t="s">
        <v>2908</v>
      </c>
      <c r="I273" s="13" t="s">
        <v>1934</v>
      </c>
      <c r="J273" s="13" t="s">
        <v>2909</v>
      </c>
      <c r="K273" s="14">
        <v>1</v>
      </c>
      <c r="L273" s="13" t="s">
        <v>1727</v>
      </c>
      <c r="M273" s="13" t="s">
        <v>2907</v>
      </c>
      <c r="N273" s="13" t="s">
        <v>193</v>
      </c>
      <c r="O273" s="14" t="s">
        <v>1936</v>
      </c>
      <c r="P273" s="14" t="s">
        <v>1937</v>
      </c>
      <c r="Q273" s="14" t="s">
        <v>2910</v>
      </c>
      <c r="R273" s="14" t="s">
        <v>1939</v>
      </c>
      <c r="S273" s="14"/>
      <c r="T273" s="14"/>
    </row>
    <row r="274" ht="13.5" customHeight="1" spans="1:20">
      <c r="A274" s="13" t="s">
        <v>2911</v>
      </c>
      <c r="B274" s="13" t="s">
        <v>1749</v>
      </c>
      <c r="C274" s="13" t="s">
        <v>2233</v>
      </c>
      <c r="D274" s="13" t="s">
        <v>1992</v>
      </c>
      <c r="E274" s="13" t="s">
        <v>2772</v>
      </c>
      <c r="F274" s="13" t="s">
        <v>1931</v>
      </c>
      <c r="G274" s="13" t="s">
        <v>2009</v>
      </c>
      <c r="H274" s="13" t="s">
        <v>2554</v>
      </c>
      <c r="I274" s="13" t="s">
        <v>1923</v>
      </c>
      <c r="J274" s="13" t="s">
        <v>2912</v>
      </c>
      <c r="K274" s="14">
        <v>1</v>
      </c>
      <c r="L274" s="13" t="s">
        <v>1749</v>
      </c>
      <c r="M274" s="13" t="s">
        <v>2911</v>
      </c>
      <c r="N274" s="13" t="s">
        <v>193</v>
      </c>
      <c r="O274" s="14" t="s">
        <v>1996</v>
      </c>
      <c r="P274" s="14" t="s">
        <v>1937</v>
      </c>
      <c r="Q274" s="14" t="s">
        <v>2556</v>
      </c>
      <c r="R274" s="14" t="s">
        <v>1927</v>
      </c>
      <c r="S274" s="14"/>
      <c r="T274" s="14"/>
    </row>
    <row r="275" ht="13.5" customHeight="1" spans="1:20">
      <c r="A275" s="13" t="s">
        <v>2913</v>
      </c>
      <c r="B275" s="13" t="s">
        <v>1751</v>
      </c>
      <c r="C275" s="13" t="s">
        <v>2233</v>
      </c>
      <c r="D275" s="13" t="s">
        <v>2782</v>
      </c>
      <c r="E275" s="13" t="s">
        <v>2777</v>
      </c>
      <c r="F275" s="13" t="s">
        <v>1931</v>
      </c>
      <c r="G275" s="13" t="s">
        <v>2009</v>
      </c>
      <c r="H275" s="13" t="s">
        <v>1947</v>
      </c>
      <c r="I275" s="13" t="s">
        <v>1923</v>
      </c>
      <c r="J275" s="13" t="s">
        <v>2914</v>
      </c>
      <c r="K275" s="14">
        <v>1</v>
      </c>
      <c r="L275" s="13" t="s">
        <v>1751</v>
      </c>
      <c r="M275" s="13" t="s">
        <v>2913</v>
      </c>
      <c r="N275" s="13" t="s">
        <v>193</v>
      </c>
      <c r="O275" s="14" t="s">
        <v>1925</v>
      </c>
      <c r="P275" s="14" t="s">
        <v>1949</v>
      </c>
      <c r="Q275" s="14"/>
      <c r="R275" s="14" t="s">
        <v>1927</v>
      </c>
      <c r="S275" s="14"/>
      <c r="T275" s="14"/>
    </row>
    <row r="276" ht="13.5" customHeight="1" spans="1:20">
      <c r="A276" s="13" t="s">
        <v>2915</v>
      </c>
      <c r="B276" s="13" t="s">
        <v>1264</v>
      </c>
      <c r="C276" s="13" t="s">
        <v>1918</v>
      </c>
      <c r="D276" s="13" t="s">
        <v>2000</v>
      </c>
      <c r="E276" s="13" t="s">
        <v>2916</v>
      </c>
      <c r="F276" s="13" t="s">
        <v>1931</v>
      </c>
      <c r="G276" s="13" t="s">
        <v>1932</v>
      </c>
      <c r="H276" s="13" t="s">
        <v>2917</v>
      </c>
      <c r="I276" s="13" t="s">
        <v>1934</v>
      </c>
      <c r="J276" s="13" t="s">
        <v>2918</v>
      </c>
      <c r="K276" s="14">
        <v>1</v>
      </c>
      <c r="L276" s="13" t="s">
        <v>1264</v>
      </c>
      <c r="M276" s="13" t="s">
        <v>2915</v>
      </c>
      <c r="N276" s="13" t="s">
        <v>195</v>
      </c>
      <c r="O276" s="14" t="s">
        <v>1996</v>
      </c>
      <c r="P276" s="14" t="s">
        <v>1981</v>
      </c>
      <c r="Q276" s="14" t="s">
        <v>2919</v>
      </c>
      <c r="R276" s="14" t="s">
        <v>1939</v>
      </c>
      <c r="S276" s="14"/>
      <c r="T276" s="14"/>
    </row>
    <row r="277" ht="13.5" customHeight="1" spans="1:20">
      <c r="A277" s="13" t="s">
        <v>2920</v>
      </c>
      <c r="B277" s="13" t="s">
        <v>1268</v>
      </c>
      <c r="C277" s="13" t="s">
        <v>1918</v>
      </c>
      <c r="D277" s="13" t="s">
        <v>2245</v>
      </c>
      <c r="E277" s="13" t="s">
        <v>2921</v>
      </c>
      <c r="F277" s="13" t="s">
        <v>1931</v>
      </c>
      <c r="G277" s="13" t="s">
        <v>1941</v>
      </c>
      <c r="H277" s="13" t="s">
        <v>1947</v>
      </c>
      <c r="I277" s="13" t="s">
        <v>1923</v>
      </c>
      <c r="J277" s="13" t="s">
        <v>2922</v>
      </c>
      <c r="K277" s="14">
        <v>1</v>
      </c>
      <c r="L277" s="13" t="s">
        <v>1268</v>
      </c>
      <c r="M277" s="13" t="s">
        <v>2920</v>
      </c>
      <c r="N277" s="13" t="s">
        <v>195</v>
      </c>
      <c r="O277" s="14" t="s">
        <v>1974</v>
      </c>
      <c r="P277" s="14" t="s">
        <v>1949</v>
      </c>
      <c r="Q277" s="14"/>
      <c r="R277" s="14" t="s">
        <v>1927</v>
      </c>
      <c r="S277" s="14"/>
      <c r="T277" s="14"/>
    </row>
    <row r="278" ht="13.5" customHeight="1" spans="1:20">
      <c r="A278" s="13" t="s">
        <v>2923</v>
      </c>
      <c r="B278" s="13" t="s">
        <v>1269</v>
      </c>
      <c r="C278" s="13" t="s">
        <v>1918</v>
      </c>
      <c r="D278" s="13" t="s">
        <v>2245</v>
      </c>
      <c r="E278" s="13" t="s">
        <v>2916</v>
      </c>
      <c r="F278" s="13" t="s">
        <v>1920</v>
      </c>
      <c r="G278" s="13" t="s">
        <v>1921</v>
      </c>
      <c r="H278" s="13" t="s">
        <v>1922</v>
      </c>
      <c r="I278" s="13" t="s">
        <v>1923</v>
      </c>
      <c r="J278" s="13" t="s">
        <v>2924</v>
      </c>
      <c r="K278" s="14">
        <v>1</v>
      </c>
      <c r="L278" s="13" t="s">
        <v>1269</v>
      </c>
      <c r="M278" s="13" t="s">
        <v>2923</v>
      </c>
      <c r="N278" s="13" t="s">
        <v>195</v>
      </c>
      <c r="O278" s="14" t="s">
        <v>1996</v>
      </c>
      <c r="P278" s="14" t="s">
        <v>1926</v>
      </c>
      <c r="Q278" s="14"/>
      <c r="R278" s="14" t="s">
        <v>1927</v>
      </c>
      <c r="S278" s="14"/>
      <c r="T278" s="14"/>
    </row>
    <row r="279" ht="13.5" customHeight="1" spans="1:20">
      <c r="A279" s="13" t="s">
        <v>2925</v>
      </c>
      <c r="B279" s="13" t="s">
        <v>1278</v>
      </c>
      <c r="C279" s="13" t="s">
        <v>1918</v>
      </c>
      <c r="D279" s="13" t="s">
        <v>2245</v>
      </c>
      <c r="E279" s="13" t="s">
        <v>2926</v>
      </c>
      <c r="F279" s="13" t="s">
        <v>1931</v>
      </c>
      <c r="G279" s="13" t="s">
        <v>1946</v>
      </c>
      <c r="H279" s="13" t="s">
        <v>2927</v>
      </c>
      <c r="I279" s="13" t="s">
        <v>1987</v>
      </c>
      <c r="J279" s="13" t="s">
        <v>2928</v>
      </c>
      <c r="K279" s="14">
        <v>1</v>
      </c>
      <c r="L279" s="13" t="s">
        <v>1278</v>
      </c>
      <c r="M279" s="13" t="s">
        <v>2925</v>
      </c>
      <c r="N279" s="13" t="s">
        <v>195</v>
      </c>
      <c r="O279" s="14" t="s">
        <v>1936</v>
      </c>
      <c r="P279" s="14" t="s">
        <v>1937</v>
      </c>
      <c r="Q279" s="14" t="s">
        <v>2929</v>
      </c>
      <c r="R279" s="14" t="s">
        <v>1927</v>
      </c>
      <c r="S279" s="14"/>
      <c r="T279" s="14"/>
    </row>
    <row r="280" ht="13.5" customHeight="1" spans="1:20">
      <c r="A280" s="13" t="s">
        <v>2930</v>
      </c>
      <c r="B280" s="13" t="s">
        <v>1283</v>
      </c>
      <c r="C280" s="13" t="s">
        <v>1918</v>
      </c>
      <c r="D280" s="13" t="s">
        <v>1929</v>
      </c>
      <c r="E280" s="13" t="s">
        <v>2926</v>
      </c>
      <c r="F280" s="13" t="s">
        <v>1931</v>
      </c>
      <c r="G280" s="13" t="s">
        <v>2009</v>
      </c>
      <c r="H280" s="13" t="s">
        <v>1922</v>
      </c>
      <c r="I280" s="13" t="s">
        <v>1923</v>
      </c>
      <c r="J280" s="13" t="s">
        <v>2931</v>
      </c>
      <c r="K280" s="14">
        <v>1</v>
      </c>
      <c r="L280" s="13" t="s">
        <v>1283</v>
      </c>
      <c r="M280" s="13" t="s">
        <v>2930</v>
      </c>
      <c r="N280" s="13" t="s">
        <v>195</v>
      </c>
      <c r="O280" s="14" t="s">
        <v>1936</v>
      </c>
      <c r="P280" s="14" t="s">
        <v>1926</v>
      </c>
      <c r="Q280" s="14"/>
      <c r="R280" s="14" t="s">
        <v>1927</v>
      </c>
      <c r="S280" s="14"/>
      <c r="T280" s="14"/>
    </row>
    <row r="281" ht="13.5" customHeight="1" spans="1:20">
      <c r="A281" s="13" t="s">
        <v>2932</v>
      </c>
      <c r="B281" s="13" t="s">
        <v>1291</v>
      </c>
      <c r="C281" s="13" t="s">
        <v>1918</v>
      </c>
      <c r="D281" s="13" t="s">
        <v>2526</v>
      </c>
      <c r="E281" s="13" t="s">
        <v>2933</v>
      </c>
      <c r="F281" s="13" t="s">
        <v>1931</v>
      </c>
      <c r="G281" s="13" t="s">
        <v>1946</v>
      </c>
      <c r="H281" s="13" t="s">
        <v>1947</v>
      </c>
      <c r="I281" s="13" t="s">
        <v>1934</v>
      </c>
      <c r="J281" s="13" t="s">
        <v>2934</v>
      </c>
      <c r="K281" s="14">
        <v>1</v>
      </c>
      <c r="L281" s="13" t="s">
        <v>1291</v>
      </c>
      <c r="M281" s="13" t="s">
        <v>2932</v>
      </c>
      <c r="N281" s="13" t="s">
        <v>195</v>
      </c>
      <c r="O281" s="14" t="s">
        <v>2028</v>
      </c>
      <c r="P281" s="14" t="s">
        <v>1949</v>
      </c>
      <c r="Q281" s="14"/>
      <c r="R281" s="14" t="s">
        <v>1939</v>
      </c>
      <c r="S281" s="14"/>
      <c r="T281" s="14"/>
    </row>
    <row r="282" ht="13.5" customHeight="1" spans="1:20">
      <c r="A282" s="13" t="s">
        <v>2935</v>
      </c>
      <c r="B282" s="13" t="s">
        <v>1295</v>
      </c>
      <c r="C282" s="13" t="s">
        <v>1918</v>
      </c>
      <c r="D282" s="13" t="s">
        <v>2089</v>
      </c>
      <c r="E282" s="13" t="s">
        <v>2936</v>
      </c>
      <c r="F282" s="13" t="s">
        <v>1931</v>
      </c>
      <c r="G282" s="13" t="s">
        <v>1958</v>
      </c>
      <c r="H282" s="13" t="s">
        <v>1947</v>
      </c>
      <c r="I282" s="13" t="s">
        <v>2010</v>
      </c>
      <c r="J282" s="13" t="s">
        <v>2937</v>
      </c>
      <c r="K282" s="14">
        <v>1</v>
      </c>
      <c r="L282" s="13" t="s">
        <v>1295</v>
      </c>
      <c r="M282" s="13" t="s">
        <v>2935</v>
      </c>
      <c r="N282" s="13" t="s">
        <v>195</v>
      </c>
      <c r="O282" s="14" t="s">
        <v>1925</v>
      </c>
      <c r="P282" s="14" t="s">
        <v>1949</v>
      </c>
      <c r="Q282" s="14"/>
      <c r="R282" s="14" t="s">
        <v>1927</v>
      </c>
      <c r="S282" s="14"/>
      <c r="T282" s="14"/>
    </row>
    <row r="283" ht="13.5" customHeight="1" spans="1:20">
      <c r="A283" s="13" t="s">
        <v>2938</v>
      </c>
      <c r="B283" s="13" t="s">
        <v>1303</v>
      </c>
      <c r="C283" s="13" t="s">
        <v>1918</v>
      </c>
      <c r="D283" s="13" t="s">
        <v>1955</v>
      </c>
      <c r="E283" s="13" t="s">
        <v>2926</v>
      </c>
      <c r="F283" s="13" t="s">
        <v>1920</v>
      </c>
      <c r="G283" s="13" t="s">
        <v>1958</v>
      </c>
      <c r="H283" s="13" t="s">
        <v>1947</v>
      </c>
      <c r="I283" s="13" t="s">
        <v>2010</v>
      </c>
      <c r="J283" s="13" t="s">
        <v>2939</v>
      </c>
      <c r="K283" s="14">
        <v>1</v>
      </c>
      <c r="L283" s="13" t="s">
        <v>1303</v>
      </c>
      <c r="M283" s="13" t="s">
        <v>2938</v>
      </c>
      <c r="N283" s="13" t="s">
        <v>195</v>
      </c>
      <c r="O283" s="14" t="s">
        <v>1936</v>
      </c>
      <c r="P283" s="14" t="s">
        <v>1949</v>
      </c>
      <c r="Q283" s="14"/>
      <c r="R283" s="14" t="s">
        <v>1927</v>
      </c>
      <c r="S283" s="14"/>
      <c r="T283" s="14"/>
    </row>
    <row r="284" ht="13.5" customHeight="1" spans="1:20">
      <c r="A284" s="13" t="s">
        <v>2940</v>
      </c>
      <c r="B284" s="13" t="s">
        <v>1305</v>
      </c>
      <c r="C284" s="13" t="s">
        <v>1918</v>
      </c>
      <c r="D284" s="13" t="s">
        <v>2422</v>
      </c>
      <c r="E284" s="13" t="s">
        <v>2926</v>
      </c>
      <c r="F284" s="13" t="s">
        <v>1931</v>
      </c>
      <c r="G284" s="13" t="s">
        <v>1941</v>
      </c>
      <c r="H284" s="13" t="s">
        <v>2941</v>
      </c>
      <c r="I284" s="13" t="s">
        <v>1923</v>
      </c>
      <c r="J284" s="13" t="s">
        <v>2942</v>
      </c>
      <c r="K284" s="14">
        <v>1</v>
      </c>
      <c r="L284" s="13" t="s">
        <v>1305</v>
      </c>
      <c r="M284" s="13" t="s">
        <v>2940</v>
      </c>
      <c r="N284" s="13" t="s">
        <v>195</v>
      </c>
      <c r="O284" s="14" t="s">
        <v>1936</v>
      </c>
      <c r="P284" s="14" t="s">
        <v>1937</v>
      </c>
      <c r="Q284" s="14" t="s">
        <v>2943</v>
      </c>
      <c r="R284" s="14" t="s">
        <v>1927</v>
      </c>
      <c r="S284" s="14"/>
      <c r="T284" s="14"/>
    </row>
    <row r="285" ht="13.5" customHeight="1" spans="1:20">
      <c r="A285" s="13" t="s">
        <v>2944</v>
      </c>
      <c r="B285" s="13" t="s">
        <v>1311</v>
      </c>
      <c r="C285" s="13" t="s">
        <v>1918</v>
      </c>
      <c r="D285" s="13" t="s">
        <v>1971</v>
      </c>
      <c r="E285" s="13" t="s">
        <v>2921</v>
      </c>
      <c r="F285" s="13" t="s">
        <v>1931</v>
      </c>
      <c r="G285" s="13" t="s">
        <v>1941</v>
      </c>
      <c r="H285" s="13" t="s">
        <v>1947</v>
      </c>
      <c r="I285" s="13" t="s">
        <v>2010</v>
      </c>
      <c r="J285" s="13" t="s">
        <v>2945</v>
      </c>
      <c r="K285" s="14">
        <v>1</v>
      </c>
      <c r="L285" s="13" t="s">
        <v>1311</v>
      </c>
      <c r="M285" s="13" t="s">
        <v>2944</v>
      </c>
      <c r="N285" s="13" t="s">
        <v>195</v>
      </c>
      <c r="O285" s="14" t="s">
        <v>1974</v>
      </c>
      <c r="P285" s="14" t="s">
        <v>1949</v>
      </c>
      <c r="Q285" s="14"/>
      <c r="R285" s="14" t="s">
        <v>1927</v>
      </c>
      <c r="S285" s="14"/>
      <c r="T285" s="14"/>
    </row>
    <row r="286" ht="13.5" customHeight="1" spans="1:20">
      <c r="A286" s="13" t="s">
        <v>2946</v>
      </c>
      <c r="B286" s="13" t="s">
        <v>1312</v>
      </c>
      <c r="C286" s="13" t="s">
        <v>1918</v>
      </c>
      <c r="D286" s="13" t="s">
        <v>1971</v>
      </c>
      <c r="E286" s="13" t="s">
        <v>2916</v>
      </c>
      <c r="F286" s="13" t="s">
        <v>1977</v>
      </c>
      <c r="G286" s="13" t="s">
        <v>2009</v>
      </c>
      <c r="H286" s="13" t="s">
        <v>2947</v>
      </c>
      <c r="I286" s="13" t="s">
        <v>2010</v>
      </c>
      <c r="J286" s="13" t="s">
        <v>2948</v>
      </c>
      <c r="K286" s="14">
        <v>1</v>
      </c>
      <c r="L286" s="13" t="s">
        <v>1312</v>
      </c>
      <c r="M286" s="13" t="s">
        <v>2946</v>
      </c>
      <c r="N286" s="13" t="s">
        <v>195</v>
      </c>
      <c r="O286" s="14" t="s">
        <v>1996</v>
      </c>
      <c r="P286" s="14" t="s">
        <v>1937</v>
      </c>
      <c r="Q286" s="14" t="s">
        <v>2949</v>
      </c>
      <c r="R286" s="14" t="s">
        <v>1927</v>
      </c>
      <c r="S286" s="14"/>
      <c r="T286" s="14"/>
    </row>
    <row r="287" ht="13.5" customHeight="1" spans="1:20">
      <c r="A287" s="13" t="s">
        <v>2950</v>
      </c>
      <c r="B287" s="13" t="s">
        <v>1314</v>
      </c>
      <c r="C287" s="13" t="s">
        <v>1918</v>
      </c>
      <c r="D287" s="13" t="s">
        <v>1971</v>
      </c>
      <c r="E287" s="13" t="s">
        <v>2921</v>
      </c>
      <c r="F287" s="13" t="s">
        <v>1931</v>
      </c>
      <c r="G287" s="13" t="s">
        <v>1941</v>
      </c>
      <c r="H287" s="13" t="s">
        <v>2951</v>
      </c>
      <c r="I287" s="13" t="s">
        <v>1934</v>
      </c>
      <c r="J287" s="13" t="s">
        <v>2952</v>
      </c>
      <c r="K287" s="14">
        <v>1</v>
      </c>
      <c r="L287" s="13" t="s">
        <v>1314</v>
      </c>
      <c r="M287" s="13" t="s">
        <v>2950</v>
      </c>
      <c r="N287" s="13" t="s">
        <v>195</v>
      </c>
      <c r="O287" s="14" t="s">
        <v>1974</v>
      </c>
      <c r="P287" s="14" t="s">
        <v>2095</v>
      </c>
      <c r="Q287" s="14" t="s">
        <v>2953</v>
      </c>
      <c r="R287" s="14" t="s">
        <v>1939</v>
      </c>
      <c r="S287" s="14"/>
      <c r="T287" s="14"/>
    </row>
    <row r="288" ht="13.5" customHeight="1" spans="1:20">
      <c r="A288" s="13" t="s">
        <v>2954</v>
      </c>
      <c r="B288" s="13" t="s">
        <v>1330</v>
      </c>
      <c r="C288" s="13" t="s">
        <v>1918</v>
      </c>
      <c r="D288" s="13" t="s">
        <v>1984</v>
      </c>
      <c r="E288" s="13" t="s">
        <v>2926</v>
      </c>
      <c r="F288" s="13" t="s">
        <v>1931</v>
      </c>
      <c r="G288" s="13" t="s">
        <v>1946</v>
      </c>
      <c r="H288" s="13" t="s">
        <v>1947</v>
      </c>
      <c r="I288" s="13" t="s">
        <v>1923</v>
      </c>
      <c r="J288" s="13" t="s">
        <v>2955</v>
      </c>
      <c r="K288" s="14">
        <v>1</v>
      </c>
      <c r="L288" s="13" t="s">
        <v>1330</v>
      </c>
      <c r="M288" s="13" t="s">
        <v>2954</v>
      </c>
      <c r="N288" s="13" t="s">
        <v>195</v>
      </c>
      <c r="O288" s="14" t="s">
        <v>1936</v>
      </c>
      <c r="P288" s="14" t="s">
        <v>1949</v>
      </c>
      <c r="Q288" s="14"/>
      <c r="R288" s="14" t="s">
        <v>1927</v>
      </c>
      <c r="S288" s="14"/>
      <c r="T288" s="14"/>
    </row>
    <row r="289" ht="13.5" customHeight="1" spans="1:20">
      <c r="A289" s="13" t="s">
        <v>2956</v>
      </c>
      <c r="B289" s="13" t="s">
        <v>1339</v>
      </c>
      <c r="C289" s="13" t="s">
        <v>1918</v>
      </c>
      <c r="D289" s="13" t="s">
        <v>1992</v>
      </c>
      <c r="E289" s="13" t="s">
        <v>2936</v>
      </c>
      <c r="F289" s="13" t="s">
        <v>1931</v>
      </c>
      <c r="G289" s="13" t="s">
        <v>2279</v>
      </c>
      <c r="H289" s="13" t="s">
        <v>1947</v>
      </c>
      <c r="I289" s="13" t="s">
        <v>2010</v>
      </c>
      <c r="J289" s="13" t="s">
        <v>2957</v>
      </c>
      <c r="K289" s="14">
        <v>1</v>
      </c>
      <c r="L289" s="13" t="s">
        <v>1339</v>
      </c>
      <c r="M289" s="13" t="s">
        <v>2956</v>
      </c>
      <c r="N289" s="13" t="s">
        <v>195</v>
      </c>
      <c r="O289" s="14" t="s">
        <v>1925</v>
      </c>
      <c r="P289" s="14" t="s">
        <v>1949</v>
      </c>
      <c r="Q289" s="14"/>
      <c r="R289" s="14" t="s">
        <v>1927</v>
      </c>
      <c r="S289" s="14"/>
      <c r="T289" s="14"/>
    </row>
    <row r="290" ht="13.5" customHeight="1" spans="1:20">
      <c r="A290" s="13" t="s">
        <v>2958</v>
      </c>
      <c r="B290" s="13" t="s">
        <v>1351</v>
      </c>
      <c r="C290" s="13" t="s">
        <v>1918</v>
      </c>
      <c r="D290" s="13" t="s">
        <v>2901</v>
      </c>
      <c r="E290" s="13" t="s">
        <v>2936</v>
      </c>
      <c r="F290" s="13" t="s">
        <v>1931</v>
      </c>
      <c r="G290" s="13" t="s">
        <v>1946</v>
      </c>
      <c r="H290" s="13" t="s">
        <v>2959</v>
      </c>
      <c r="I290" s="13" t="s">
        <v>2452</v>
      </c>
      <c r="J290" s="13" t="s">
        <v>2960</v>
      </c>
      <c r="K290" s="14">
        <v>1</v>
      </c>
      <c r="L290" s="13" t="s">
        <v>1351</v>
      </c>
      <c r="M290" s="13" t="s">
        <v>2958</v>
      </c>
      <c r="N290" s="13" t="s">
        <v>195</v>
      </c>
      <c r="O290" s="14" t="s">
        <v>1925</v>
      </c>
      <c r="P290" s="14" t="s">
        <v>1937</v>
      </c>
      <c r="Q290" s="14" t="s">
        <v>2961</v>
      </c>
      <c r="R290" s="14" t="s">
        <v>1939</v>
      </c>
      <c r="S290" s="14"/>
      <c r="T290" s="14"/>
    </row>
    <row r="291" ht="13.5" customHeight="1" spans="1:20">
      <c r="A291" s="13" t="s">
        <v>2962</v>
      </c>
      <c r="B291" s="13" t="s">
        <v>1356</v>
      </c>
      <c r="C291" s="13" t="s">
        <v>1918</v>
      </c>
      <c r="D291" s="13" t="s">
        <v>259</v>
      </c>
      <c r="E291" s="13" t="s">
        <v>2926</v>
      </c>
      <c r="F291" s="13" t="s">
        <v>1931</v>
      </c>
      <c r="G291" s="13" t="s">
        <v>1946</v>
      </c>
      <c r="H291" s="13" t="s">
        <v>2963</v>
      </c>
      <c r="I291" s="13" t="s">
        <v>1923</v>
      </c>
      <c r="J291" s="13" t="s">
        <v>2964</v>
      </c>
      <c r="K291" s="14">
        <v>1</v>
      </c>
      <c r="L291" s="13" t="s">
        <v>1356</v>
      </c>
      <c r="M291" s="13" t="s">
        <v>2962</v>
      </c>
      <c r="N291" s="13" t="s">
        <v>195</v>
      </c>
      <c r="O291" s="14" t="s">
        <v>1936</v>
      </c>
      <c r="P291" s="14" t="s">
        <v>1937</v>
      </c>
      <c r="Q291" s="14" t="s">
        <v>2965</v>
      </c>
      <c r="R291" s="14" t="s">
        <v>1927</v>
      </c>
      <c r="S291" s="14"/>
      <c r="T291" s="14"/>
    </row>
    <row r="292" ht="13.5" customHeight="1" spans="1:20">
      <c r="A292" s="13" t="s">
        <v>2966</v>
      </c>
      <c r="B292" s="13" t="s">
        <v>1365</v>
      </c>
      <c r="C292" s="13" t="s">
        <v>1999</v>
      </c>
      <c r="D292" s="13" t="s">
        <v>318</v>
      </c>
      <c r="E292" s="13" t="s">
        <v>2916</v>
      </c>
      <c r="F292" s="13" t="s">
        <v>1931</v>
      </c>
      <c r="G292" s="13" t="s">
        <v>2234</v>
      </c>
      <c r="H292" s="13" t="s">
        <v>2561</v>
      </c>
      <c r="I292" s="13" t="s">
        <v>1934</v>
      </c>
      <c r="J292" s="13" t="s">
        <v>2967</v>
      </c>
      <c r="K292" s="14">
        <v>1</v>
      </c>
      <c r="L292" s="13" t="s">
        <v>1365</v>
      </c>
      <c r="M292" s="13" t="s">
        <v>2966</v>
      </c>
      <c r="N292" s="13" t="s">
        <v>195</v>
      </c>
      <c r="O292" s="14" t="s">
        <v>1996</v>
      </c>
      <c r="P292" s="14" t="s">
        <v>1937</v>
      </c>
      <c r="Q292" s="14" t="s">
        <v>2563</v>
      </c>
      <c r="R292" s="14" t="s">
        <v>1939</v>
      </c>
      <c r="S292" s="14"/>
      <c r="T292" s="14"/>
    </row>
    <row r="293" ht="13.5" customHeight="1" spans="1:20">
      <c r="A293" s="13" t="s">
        <v>2968</v>
      </c>
      <c r="B293" s="13" t="s">
        <v>1371</v>
      </c>
      <c r="C293" s="13" t="s">
        <v>1999</v>
      </c>
      <c r="D293" s="13" t="s">
        <v>318</v>
      </c>
      <c r="E293" s="13" t="s">
        <v>2936</v>
      </c>
      <c r="F293" s="13" t="s">
        <v>1920</v>
      </c>
      <c r="G293" s="13" t="s">
        <v>2056</v>
      </c>
      <c r="H293" s="13" t="s">
        <v>2969</v>
      </c>
      <c r="I293" s="13" t="s">
        <v>1923</v>
      </c>
      <c r="J293" s="13" t="s">
        <v>2970</v>
      </c>
      <c r="K293" s="14">
        <v>1</v>
      </c>
      <c r="L293" s="13" t="s">
        <v>1371</v>
      </c>
      <c r="M293" s="13" t="s">
        <v>2968</v>
      </c>
      <c r="N293" s="13" t="s">
        <v>195</v>
      </c>
      <c r="O293" s="14" t="s">
        <v>1925</v>
      </c>
      <c r="P293" s="14" t="s">
        <v>1937</v>
      </c>
      <c r="Q293" s="14" t="s">
        <v>2971</v>
      </c>
      <c r="R293" s="14" t="s">
        <v>1927</v>
      </c>
      <c r="S293" s="14"/>
      <c r="T293" s="14"/>
    </row>
    <row r="294" ht="13.5" customHeight="1" spans="1:20">
      <c r="A294" s="13" t="s">
        <v>2972</v>
      </c>
      <c r="B294" s="13" t="s">
        <v>1372</v>
      </c>
      <c r="C294" s="13" t="s">
        <v>1999</v>
      </c>
      <c r="D294" s="13" t="s">
        <v>2291</v>
      </c>
      <c r="E294" s="13" t="s">
        <v>2973</v>
      </c>
      <c r="F294" s="13" t="s">
        <v>1977</v>
      </c>
      <c r="G294" s="13" t="s">
        <v>1921</v>
      </c>
      <c r="H294" s="13" t="s">
        <v>1922</v>
      </c>
      <c r="I294" s="13" t="s">
        <v>1977</v>
      </c>
      <c r="J294" s="13" t="s">
        <v>2974</v>
      </c>
      <c r="K294" s="14">
        <v>1</v>
      </c>
      <c r="L294" s="13" t="s">
        <v>1372</v>
      </c>
      <c r="M294" s="13" t="s">
        <v>2972</v>
      </c>
      <c r="N294" s="13" t="s">
        <v>195</v>
      </c>
      <c r="O294" s="14" t="s">
        <v>2086</v>
      </c>
      <c r="P294" s="14" t="s">
        <v>1926</v>
      </c>
      <c r="Q294" s="14"/>
      <c r="R294" s="14" t="s">
        <v>1939</v>
      </c>
      <c r="S294" s="14"/>
      <c r="T294" s="14"/>
    </row>
    <row r="295" ht="13.5" customHeight="1" spans="1:20">
      <c r="A295" s="13" t="s">
        <v>2975</v>
      </c>
      <c r="B295" s="13" t="s">
        <v>1384</v>
      </c>
      <c r="C295" s="13" t="s">
        <v>1999</v>
      </c>
      <c r="D295" s="13" t="s">
        <v>1929</v>
      </c>
      <c r="E295" s="13" t="s">
        <v>2976</v>
      </c>
      <c r="F295" s="13" t="s">
        <v>1977</v>
      </c>
      <c r="G295" s="13" t="s">
        <v>1932</v>
      </c>
      <c r="H295" s="13" t="s">
        <v>2977</v>
      </c>
      <c r="I295" s="13" t="s">
        <v>50</v>
      </c>
      <c r="J295" s="13" t="s">
        <v>2978</v>
      </c>
      <c r="K295" s="14">
        <v>1</v>
      </c>
      <c r="L295" s="13" t="s">
        <v>1384</v>
      </c>
      <c r="M295" s="13" t="s">
        <v>2975</v>
      </c>
      <c r="N295" s="13" t="s">
        <v>195</v>
      </c>
      <c r="O295" s="14" t="s">
        <v>2049</v>
      </c>
      <c r="P295" s="14" t="s">
        <v>1937</v>
      </c>
      <c r="Q295" s="14" t="s">
        <v>2979</v>
      </c>
      <c r="R295" s="14" t="s">
        <v>1939</v>
      </c>
      <c r="S295" s="14"/>
      <c r="T295" s="14"/>
    </row>
    <row r="296" ht="13.5" customHeight="1" spans="1:20">
      <c r="A296" s="13" t="s">
        <v>2980</v>
      </c>
      <c r="B296" s="13" t="s">
        <v>1406</v>
      </c>
      <c r="C296" s="13" t="s">
        <v>1999</v>
      </c>
      <c r="D296" s="13" t="s">
        <v>1929</v>
      </c>
      <c r="E296" s="13" t="s">
        <v>2916</v>
      </c>
      <c r="F296" s="13" t="s">
        <v>1931</v>
      </c>
      <c r="G296" s="13" t="s">
        <v>1946</v>
      </c>
      <c r="H296" s="13" t="s">
        <v>2039</v>
      </c>
      <c r="I296" s="13" t="s">
        <v>1987</v>
      </c>
      <c r="J296" s="13" t="s">
        <v>2981</v>
      </c>
      <c r="K296" s="14">
        <v>1</v>
      </c>
      <c r="L296" s="13" t="s">
        <v>1406</v>
      </c>
      <c r="M296" s="13" t="s">
        <v>2980</v>
      </c>
      <c r="N296" s="13" t="s">
        <v>195</v>
      </c>
      <c r="O296" s="14" t="s">
        <v>1996</v>
      </c>
      <c r="P296" s="14" t="s">
        <v>1949</v>
      </c>
      <c r="Q296" s="14"/>
      <c r="R296" s="14" t="s">
        <v>1927</v>
      </c>
      <c r="S296" s="14"/>
      <c r="T296" s="14"/>
    </row>
    <row r="297" ht="13.5" customHeight="1" spans="1:20">
      <c r="A297" s="13" t="s">
        <v>2982</v>
      </c>
      <c r="B297" s="13" t="s">
        <v>1408</v>
      </c>
      <c r="C297" s="13" t="s">
        <v>1999</v>
      </c>
      <c r="D297" s="13" t="s">
        <v>1929</v>
      </c>
      <c r="E297" s="13" t="s">
        <v>2926</v>
      </c>
      <c r="F297" s="13" t="s">
        <v>1931</v>
      </c>
      <c r="G297" s="13" t="s">
        <v>2560</v>
      </c>
      <c r="H297" s="13" t="s">
        <v>2983</v>
      </c>
      <c r="I297" s="13" t="s">
        <v>1934</v>
      </c>
      <c r="J297" s="13" t="s">
        <v>2984</v>
      </c>
      <c r="K297" s="14">
        <v>1</v>
      </c>
      <c r="L297" s="13" t="s">
        <v>1408</v>
      </c>
      <c r="M297" s="13" t="s">
        <v>2982</v>
      </c>
      <c r="N297" s="13" t="s">
        <v>195</v>
      </c>
      <c r="O297" s="14" t="s">
        <v>1936</v>
      </c>
      <c r="P297" s="14" t="s">
        <v>1937</v>
      </c>
      <c r="Q297" s="14" t="s">
        <v>2985</v>
      </c>
      <c r="R297" s="14" t="s">
        <v>1939</v>
      </c>
      <c r="S297" s="14"/>
      <c r="T297" s="14"/>
    </row>
    <row r="298" ht="13.5" customHeight="1" spans="1:20">
      <c r="A298" s="13" t="s">
        <v>2986</v>
      </c>
      <c r="B298" s="13" t="s">
        <v>1429</v>
      </c>
      <c r="C298" s="13" t="s">
        <v>1999</v>
      </c>
      <c r="D298" s="13" t="s">
        <v>1929</v>
      </c>
      <c r="E298" s="13" t="s">
        <v>2936</v>
      </c>
      <c r="F298" s="13" t="s">
        <v>1931</v>
      </c>
      <c r="G298" s="13" t="s">
        <v>1941</v>
      </c>
      <c r="H298" s="13" t="s">
        <v>1947</v>
      </c>
      <c r="I298" s="13" t="s">
        <v>1987</v>
      </c>
      <c r="J298" s="13" t="s">
        <v>2987</v>
      </c>
      <c r="K298" s="14">
        <v>1</v>
      </c>
      <c r="L298" s="13" t="s">
        <v>1429</v>
      </c>
      <c r="M298" s="13" t="s">
        <v>2986</v>
      </c>
      <c r="N298" s="13" t="s">
        <v>195</v>
      </c>
      <c r="O298" s="14" t="s">
        <v>1925</v>
      </c>
      <c r="P298" s="14" t="s">
        <v>1949</v>
      </c>
      <c r="Q298" s="14"/>
      <c r="R298" s="14" t="s">
        <v>1927</v>
      </c>
      <c r="S298" s="14"/>
      <c r="T298" s="14"/>
    </row>
    <row r="299" ht="13.5" customHeight="1" spans="1:20">
      <c r="A299" s="13" t="s">
        <v>2988</v>
      </c>
      <c r="B299" s="13" t="s">
        <v>1434</v>
      </c>
      <c r="C299" s="13" t="s">
        <v>1999</v>
      </c>
      <c r="D299" s="13" t="s">
        <v>2068</v>
      </c>
      <c r="E299" s="13" t="s">
        <v>2976</v>
      </c>
      <c r="F299" s="13" t="s">
        <v>1977</v>
      </c>
      <c r="G299" s="13" t="s">
        <v>50</v>
      </c>
      <c r="H299" s="13" t="s">
        <v>2989</v>
      </c>
      <c r="I299" s="13" t="s">
        <v>1979</v>
      </c>
      <c r="J299" s="13" t="s">
        <v>2990</v>
      </c>
      <c r="K299" s="14">
        <v>1</v>
      </c>
      <c r="L299" s="13" t="s">
        <v>1434</v>
      </c>
      <c r="M299" s="13" t="s">
        <v>2988</v>
      </c>
      <c r="N299" s="13" t="s">
        <v>195</v>
      </c>
      <c r="O299" s="14" t="s">
        <v>2049</v>
      </c>
      <c r="P299" s="14" t="s">
        <v>1937</v>
      </c>
      <c r="Q299" s="14" t="s">
        <v>2991</v>
      </c>
      <c r="R299" s="14" t="s">
        <v>1939</v>
      </c>
      <c r="S299" s="14"/>
      <c r="T299" s="14"/>
    </row>
    <row r="300" ht="13.5" customHeight="1" spans="1:20">
      <c r="A300" s="13" t="s">
        <v>2992</v>
      </c>
      <c r="B300" s="13" t="s">
        <v>1450</v>
      </c>
      <c r="C300" s="13" t="s">
        <v>1999</v>
      </c>
      <c r="D300" s="13" t="s">
        <v>2082</v>
      </c>
      <c r="E300" s="13" t="s">
        <v>2933</v>
      </c>
      <c r="F300" s="13" t="s">
        <v>1931</v>
      </c>
      <c r="G300" s="13" t="s">
        <v>2009</v>
      </c>
      <c r="H300" s="13" t="s">
        <v>2374</v>
      </c>
      <c r="I300" s="13" t="s">
        <v>1923</v>
      </c>
      <c r="J300" s="13" t="s">
        <v>2993</v>
      </c>
      <c r="K300" s="14">
        <v>1</v>
      </c>
      <c r="L300" s="13" t="s">
        <v>1450</v>
      </c>
      <c r="M300" s="13" t="s">
        <v>2992</v>
      </c>
      <c r="N300" s="13" t="s">
        <v>195</v>
      </c>
      <c r="O300" s="14" t="s">
        <v>2028</v>
      </c>
      <c r="P300" s="14" t="s">
        <v>1937</v>
      </c>
      <c r="Q300" s="14" t="s">
        <v>2376</v>
      </c>
      <c r="R300" s="14" t="s">
        <v>1927</v>
      </c>
      <c r="S300" s="14"/>
      <c r="T300" s="14"/>
    </row>
    <row r="301" ht="13.5" customHeight="1" spans="1:20">
      <c r="A301" s="13" t="s">
        <v>2994</v>
      </c>
      <c r="B301" s="13" t="s">
        <v>1463</v>
      </c>
      <c r="C301" s="13" t="s">
        <v>1999</v>
      </c>
      <c r="D301" s="13" t="s">
        <v>2089</v>
      </c>
      <c r="E301" s="13" t="s">
        <v>2936</v>
      </c>
      <c r="F301" s="13" t="s">
        <v>1931</v>
      </c>
      <c r="G301" s="13" t="s">
        <v>1946</v>
      </c>
      <c r="H301" s="13" t="s">
        <v>2039</v>
      </c>
      <c r="I301" s="13" t="s">
        <v>1923</v>
      </c>
      <c r="J301" s="13" t="s">
        <v>2995</v>
      </c>
      <c r="K301" s="14">
        <v>1</v>
      </c>
      <c r="L301" s="13" t="s">
        <v>1463</v>
      </c>
      <c r="M301" s="13" t="s">
        <v>2994</v>
      </c>
      <c r="N301" s="13" t="s">
        <v>195</v>
      </c>
      <c r="O301" s="14" t="s">
        <v>1925</v>
      </c>
      <c r="P301" s="14" t="s">
        <v>1949</v>
      </c>
      <c r="Q301" s="14"/>
      <c r="R301" s="14" t="s">
        <v>1927</v>
      </c>
      <c r="S301" s="14"/>
      <c r="T301" s="14"/>
    </row>
    <row r="302" ht="13.5" customHeight="1" spans="1:20">
      <c r="A302" s="13" t="s">
        <v>2996</v>
      </c>
      <c r="B302" s="13" t="s">
        <v>1466</v>
      </c>
      <c r="C302" s="13" t="s">
        <v>1999</v>
      </c>
      <c r="D302" s="13" t="s">
        <v>2089</v>
      </c>
      <c r="E302" s="13" t="s">
        <v>2933</v>
      </c>
      <c r="F302" s="13" t="s">
        <v>1931</v>
      </c>
      <c r="G302" s="13" t="s">
        <v>1941</v>
      </c>
      <c r="H302" s="13" t="s">
        <v>1947</v>
      </c>
      <c r="I302" s="13" t="s">
        <v>1923</v>
      </c>
      <c r="J302" s="13" t="s">
        <v>2997</v>
      </c>
      <c r="K302" s="14">
        <v>1</v>
      </c>
      <c r="L302" s="13" t="s">
        <v>1466</v>
      </c>
      <c r="M302" s="13" t="s">
        <v>2996</v>
      </c>
      <c r="N302" s="13" t="s">
        <v>195</v>
      </c>
      <c r="O302" s="14" t="s">
        <v>2028</v>
      </c>
      <c r="P302" s="14" t="s">
        <v>1949</v>
      </c>
      <c r="Q302" s="14"/>
      <c r="R302" s="14" t="s">
        <v>1927</v>
      </c>
      <c r="S302" s="14"/>
      <c r="T302" s="14"/>
    </row>
    <row r="303" ht="13.5" customHeight="1" spans="1:20">
      <c r="A303" s="13" t="s">
        <v>2998</v>
      </c>
      <c r="B303" s="13" t="s">
        <v>1473</v>
      </c>
      <c r="C303" s="13" t="s">
        <v>1999</v>
      </c>
      <c r="D303" s="13" t="s">
        <v>2089</v>
      </c>
      <c r="E303" s="13" t="s">
        <v>2976</v>
      </c>
      <c r="F303" s="13" t="s">
        <v>1931</v>
      </c>
      <c r="G303" s="13" t="s">
        <v>1932</v>
      </c>
      <c r="H303" s="13" t="s">
        <v>1947</v>
      </c>
      <c r="I303" s="13" t="s">
        <v>1979</v>
      </c>
      <c r="J303" s="13" t="s">
        <v>2999</v>
      </c>
      <c r="K303" s="14">
        <v>1</v>
      </c>
      <c r="L303" s="13" t="s">
        <v>1473</v>
      </c>
      <c r="M303" s="13" t="s">
        <v>2998</v>
      </c>
      <c r="N303" s="13" t="s">
        <v>195</v>
      </c>
      <c r="O303" s="14" t="s">
        <v>2049</v>
      </c>
      <c r="P303" s="14" t="s">
        <v>1949</v>
      </c>
      <c r="Q303" s="14"/>
      <c r="R303" s="14" t="s">
        <v>1939</v>
      </c>
      <c r="S303" s="14"/>
      <c r="T303" s="14"/>
    </row>
    <row r="304" ht="13.5" customHeight="1" spans="1:20">
      <c r="A304" s="13" t="s">
        <v>3000</v>
      </c>
      <c r="B304" s="13" t="s">
        <v>1478</v>
      </c>
      <c r="C304" s="13" t="s">
        <v>1999</v>
      </c>
      <c r="D304" s="13" t="s">
        <v>2089</v>
      </c>
      <c r="E304" s="13" t="s">
        <v>2916</v>
      </c>
      <c r="F304" s="13" t="s">
        <v>1977</v>
      </c>
      <c r="G304" s="13" t="s">
        <v>1952</v>
      </c>
      <c r="H304" s="13" t="s">
        <v>3001</v>
      </c>
      <c r="I304" s="13" t="s">
        <v>1967</v>
      </c>
      <c r="J304" s="13" t="s">
        <v>3002</v>
      </c>
      <c r="K304" s="14">
        <v>1</v>
      </c>
      <c r="L304" s="13" t="s">
        <v>1478</v>
      </c>
      <c r="M304" s="13" t="s">
        <v>3000</v>
      </c>
      <c r="N304" s="13" t="s">
        <v>195</v>
      </c>
      <c r="O304" s="14" t="s">
        <v>1996</v>
      </c>
      <c r="P304" s="14" t="s">
        <v>2095</v>
      </c>
      <c r="Q304" s="14" t="s">
        <v>3003</v>
      </c>
      <c r="R304" s="14" t="s">
        <v>1939</v>
      </c>
      <c r="S304" s="14"/>
      <c r="T304" s="14"/>
    </row>
    <row r="305" ht="13.5" customHeight="1" spans="1:20">
      <c r="A305" s="13" t="s">
        <v>3004</v>
      </c>
      <c r="B305" s="13" t="s">
        <v>1487</v>
      </c>
      <c r="C305" s="13" t="s">
        <v>1999</v>
      </c>
      <c r="D305" s="13" t="s">
        <v>2370</v>
      </c>
      <c r="E305" s="13" t="s">
        <v>2921</v>
      </c>
      <c r="F305" s="13" t="s">
        <v>1957</v>
      </c>
      <c r="G305" s="13" t="s">
        <v>2056</v>
      </c>
      <c r="H305" s="13" t="s">
        <v>3005</v>
      </c>
      <c r="I305" s="13" t="s">
        <v>1934</v>
      </c>
      <c r="J305" s="13" t="s">
        <v>3006</v>
      </c>
      <c r="K305" s="14">
        <v>1</v>
      </c>
      <c r="L305" s="13" t="s">
        <v>1487</v>
      </c>
      <c r="M305" s="13" t="s">
        <v>3004</v>
      </c>
      <c r="N305" s="13" t="s">
        <v>195</v>
      </c>
      <c r="O305" s="14" t="s">
        <v>1974</v>
      </c>
      <c r="P305" s="14" t="s">
        <v>1937</v>
      </c>
      <c r="Q305" s="14" t="s">
        <v>3007</v>
      </c>
      <c r="R305" s="14" t="s">
        <v>1939</v>
      </c>
      <c r="S305" s="14"/>
      <c r="T305" s="14"/>
    </row>
    <row r="306" ht="13.5" customHeight="1" spans="1:20">
      <c r="A306" s="13" t="s">
        <v>3008</v>
      </c>
      <c r="B306" s="13" t="s">
        <v>1491</v>
      </c>
      <c r="C306" s="13" t="s">
        <v>1999</v>
      </c>
      <c r="D306" s="13" t="s">
        <v>2639</v>
      </c>
      <c r="E306" s="13" t="s">
        <v>3009</v>
      </c>
      <c r="F306" s="13" t="s">
        <v>2143</v>
      </c>
      <c r="G306" s="13" t="s">
        <v>1921</v>
      </c>
      <c r="H306" s="13" t="s">
        <v>3010</v>
      </c>
      <c r="I306" s="13" t="s">
        <v>1934</v>
      </c>
      <c r="J306" s="13" t="s">
        <v>3011</v>
      </c>
      <c r="K306" s="14">
        <v>1</v>
      </c>
      <c r="L306" s="13" t="s">
        <v>1491</v>
      </c>
      <c r="M306" s="13" t="s">
        <v>3008</v>
      </c>
      <c r="N306" s="13" t="s">
        <v>195</v>
      </c>
      <c r="O306" s="14" t="s">
        <v>1989</v>
      </c>
      <c r="P306" s="14" t="s">
        <v>1937</v>
      </c>
      <c r="Q306" s="14" t="s">
        <v>3012</v>
      </c>
      <c r="R306" s="14" t="s">
        <v>1939</v>
      </c>
      <c r="S306" s="14"/>
      <c r="T306" s="14"/>
    </row>
    <row r="307" ht="13.5" customHeight="1" spans="1:20">
      <c r="A307" s="13" t="s">
        <v>3013</v>
      </c>
      <c r="B307" s="13" t="s">
        <v>1495</v>
      </c>
      <c r="C307" s="13" t="s">
        <v>1999</v>
      </c>
      <c r="D307" s="13" t="s">
        <v>3014</v>
      </c>
      <c r="E307" s="13" t="s">
        <v>3009</v>
      </c>
      <c r="F307" s="13" t="s">
        <v>2143</v>
      </c>
      <c r="G307" s="13" t="s">
        <v>1921</v>
      </c>
      <c r="H307" s="13" t="s">
        <v>3015</v>
      </c>
      <c r="I307" s="13" t="s">
        <v>3016</v>
      </c>
      <c r="J307" s="13" t="s">
        <v>3017</v>
      </c>
      <c r="K307" s="14">
        <v>1</v>
      </c>
      <c r="L307" s="13" t="s">
        <v>1495</v>
      </c>
      <c r="M307" s="13" t="s">
        <v>3013</v>
      </c>
      <c r="N307" s="13" t="s">
        <v>195</v>
      </c>
      <c r="O307" s="14" t="s">
        <v>1989</v>
      </c>
      <c r="P307" s="14" t="s">
        <v>1937</v>
      </c>
      <c r="Q307" s="14" t="s">
        <v>3018</v>
      </c>
      <c r="R307" s="14" t="s">
        <v>1927</v>
      </c>
      <c r="S307" s="14"/>
      <c r="T307" s="14"/>
    </row>
    <row r="308" ht="13.5" customHeight="1" spans="1:20">
      <c r="A308" s="13" t="s">
        <v>3019</v>
      </c>
      <c r="B308" s="13" t="s">
        <v>1505</v>
      </c>
      <c r="C308" s="13" t="s">
        <v>1999</v>
      </c>
      <c r="D308" s="13" t="s">
        <v>3020</v>
      </c>
      <c r="E308" s="13" t="s">
        <v>2933</v>
      </c>
      <c r="F308" s="13" t="s">
        <v>1977</v>
      </c>
      <c r="G308" s="13" t="s">
        <v>1941</v>
      </c>
      <c r="H308" s="13" t="s">
        <v>1922</v>
      </c>
      <c r="I308" s="13" t="s">
        <v>3021</v>
      </c>
      <c r="J308" s="13" t="s">
        <v>3022</v>
      </c>
      <c r="K308" s="14">
        <v>1</v>
      </c>
      <c r="L308" s="13" t="s">
        <v>1505</v>
      </c>
      <c r="M308" s="13" t="s">
        <v>3019</v>
      </c>
      <c r="N308" s="13" t="s">
        <v>195</v>
      </c>
      <c r="O308" s="14" t="s">
        <v>2028</v>
      </c>
      <c r="P308" s="14" t="s">
        <v>1926</v>
      </c>
      <c r="Q308" s="14"/>
      <c r="R308" s="14" t="s">
        <v>1939</v>
      </c>
      <c r="S308" s="14"/>
      <c r="T308" s="14"/>
    </row>
    <row r="309" ht="13.5" customHeight="1" spans="1:20">
      <c r="A309" s="13" t="s">
        <v>3023</v>
      </c>
      <c r="B309" s="13" t="s">
        <v>1507</v>
      </c>
      <c r="C309" s="13" t="s">
        <v>1999</v>
      </c>
      <c r="D309" s="13" t="s">
        <v>2655</v>
      </c>
      <c r="E309" s="13" t="s">
        <v>3024</v>
      </c>
      <c r="F309" s="13" t="s">
        <v>1957</v>
      </c>
      <c r="G309" s="13" t="s">
        <v>1941</v>
      </c>
      <c r="H309" s="13" t="s">
        <v>3025</v>
      </c>
      <c r="I309" s="13"/>
      <c r="J309" s="13" t="s">
        <v>3026</v>
      </c>
      <c r="K309" s="14">
        <v>1</v>
      </c>
      <c r="L309" s="13" t="s">
        <v>1507</v>
      </c>
      <c r="M309" s="13" t="s">
        <v>3023</v>
      </c>
      <c r="N309" s="13" t="s">
        <v>195</v>
      </c>
      <c r="O309" s="14" t="s">
        <v>1969</v>
      </c>
      <c r="P309" s="14" t="s">
        <v>1937</v>
      </c>
      <c r="Q309" s="14" t="s">
        <v>3027</v>
      </c>
      <c r="R309" s="14" t="s">
        <v>1939</v>
      </c>
      <c r="S309" s="14"/>
      <c r="T309" s="14"/>
    </row>
    <row r="310" ht="13.5" customHeight="1" spans="1:20">
      <c r="A310" s="13" t="s">
        <v>3028</v>
      </c>
      <c r="B310" s="13" t="s">
        <v>1509</v>
      </c>
      <c r="C310" s="13" t="s">
        <v>1999</v>
      </c>
      <c r="D310" s="13" t="s">
        <v>2115</v>
      </c>
      <c r="E310" s="13" t="s">
        <v>3024</v>
      </c>
      <c r="F310" s="13" t="s">
        <v>1931</v>
      </c>
      <c r="G310" s="13" t="s">
        <v>2056</v>
      </c>
      <c r="H310" s="13" t="s">
        <v>3029</v>
      </c>
      <c r="I310" s="13" t="s">
        <v>1934</v>
      </c>
      <c r="J310" s="13" t="s">
        <v>3030</v>
      </c>
      <c r="K310" s="14">
        <v>1</v>
      </c>
      <c r="L310" s="13" t="s">
        <v>1509</v>
      </c>
      <c r="M310" s="13" t="s">
        <v>3028</v>
      </c>
      <c r="N310" s="13" t="s">
        <v>195</v>
      </c>
      <c r="O310" s="14" t="s">
        <v>1969</v>
      </c>
      <c r="P310" s="14" t="s">
        <v>1937</v>
      </c>
      <c r="Q310" s="14" t="s">
        <v>3031</v>
      </c>
      <c r="R310" s="14" t="s">
        <v>1939</v>
      </c>
      <c r="S310" s="14"/>
      <c r="T310" s="14"/>
    </row>
    <row r="311" ht="13.5" customHeight="1" spans="1:20">
      <c r="A311" s="13" t="s">
        <v>3032</v>
      </c>
      <c r="B311" s="13" t="s">
        <v>1511</v>
      </c>
      <c r="C311" s="13" t="s">
        <v>1999</v>
      </c>
      <c r="D311" s="13" t="s">
        <v>2115</v>
      </c>
      <c r="E311" s="13" t="s">
        <v>2926</v>
      </c>
      <c r="F311" s="13" t="s">
        <v>1931</v>
      </c>
      <c r="G311" s="13" t="s">
        <v>1941</v>
      </c>
      <c r="H311" s="13" t="s">
        <v>1947</v>
      </c>
      <c r="I311" s="13" t="s">
        <v>1934</v>
      </c>
      <c r="J311" s="13" t="s">
        <v>3033</v>
      </c>
      <c r="K311" s="14">
        <v>1</v>
      </c>
      <c r="L311" s="13" t="s">
        <v>1511</v>
      </c>
      <c r="M311" s="13" t="s">
        <v>3032</v>
      </c>
      <c r="N311" s="13" t="s">
        <v>195</v>
      </c>
      <c r="O311" s="14" t="s">
        <v>1936</v>
      </c>
      <c r="P311" s="14" t="s">
        <v>1949</v>
      </c>
      <c r="Q311" s="14"/>
      <c r="R311" s="14" t="s">
        <v>1939</v>
      </c>
      <c r="S311" s="14"/>
      <c r="T311" s="14"/>
    </row>
    <row r="312" ht="13.5" customHeight="1" spans="1:20">
      <c r="A312" s="13" t="s">
        <v>3034</v>
      </c>
      <c r="B312" s="13" t="s">
        <v>1522</v>
      </c>
      <c r="C312" s="13" t="s">
        <v>1999</v>
      </c>
      <c r="D312" s="13" t="s">
        <v>2123</v>
      </c>
      <c r="E312" s="13" t="s">
        <v>2976</v>
      </c>
      <c r="F312" s="13" t="s">
        <v>1931</v>
      </c>
      <c r="G312" s="13" t="s">
        <v>1921</v>
      </c>
      <c r="H312" s="13" t="s">
        <v>1942</v>
      </c>
      <c r="I312" s="13" t="s">
        <v>2010</v>
      </c>
      <c r="J312" s="13" t="s">
        <v>3035</v>
      </c>
      <c r="K312" s="14">
        <v>1</v>
      </c>
      <c r="L312" s="13" t="s">
        <v>1522</v>
      </c>
      <c r="M312" s="13" t="s">
        <v>3034</v>
      </c>
      <c r="N312" s="13" t="s">
        <v>195</v>
      </c>
      <c r="O312" s="14" t="s">
        <v>2049</v>
      </c>
      <c r="P312" s="14" t="s">
        <v>1944</v>
      </c>
      <c r="Q312" s="14"/>
      <c r="R312" s="14" t="s">
        <v>1927</v>
      </c>
      <c r="S312" s="14"/>
      <c r="T312" s="14"/>
    </row>
    <row r="313" ht="13.5" customHeight="1" spans="1:20">
      <c r="A313" s="13" t="s">
        <v>3036</v>
      </c>
      <c r="B313" s="13" t="s">
        <v>1523</v>
      </c>
      <c r="C313" s="13" t="s">
        <v>1999</v>
      </c>
      <c r="D313" s="13" t="s">
        <v>2123</v>
      </c>
      <c r="E313" s="13" t="s">
        <v>2933</v>
      </c>
      <c r="F313" s="13" t="s">
        <v>1931</v>
      </c>
      <c r="G313" s="13" t="s">
        <v>1932</v>
      </c>
      <c r="H313" s="13" t="s">
        <v>1947</v>
      </c>
      <c r="I313" s="13" t="s">
        <v>1923</v>
      </c>
      <c r="J313" s="13" t="s">
        <v>3037</v>
      </c>
      <c r="K313" s="14">
        <v>1</v>
      </c>
      <c r="L313" s="13" t="s">
        <v>1523</v>
      </c>
      <c r="M313" s="13" t="s">
        <v>3036</v>
      </c>
      <c r="N313" s="13" t="s">
        <v>195</v>
      </c>
      <c r="O313" s="14" t="s">
        <v>2028</v>
      </c>
      <c r="P313" s="14" t="s">
        <v>1949</v>
      </c>
      <c r="Q313" s="14"/>
      <c r="R313" s="14" t="s">
        <v>1927</v>
      </c>
      <c r="S313" s="14"/>
      <c r="T313" s="14"/>
    </row>
    <row r="314" ht="13.5" customHeight="1" spans="1:20">
      <c r="A314" s="13" t="s">
        <v>3038</v>
      </c>
      <c r="B314" s="13" t="s">
        <v>1545</v>
      </c>
      <c r="C314" s="13" t="s">
        <v>1999</v>
      </c>
      <c r="D314" s="13" t="s">
        <v>2152</v>
      </c>
      <c r="E314" s="13" t="s">
        <v>2936</v>
      </c>
      <c r="F314" s="13" t="s">
        <v>1979</v>
      </c>
      <c r="G314" s="13" t="s">
        <v>2056</v>
      </c>
      <c r="H314" s="13" t="s">
        <v>3039</v>
      </c>
      <c r="I314" s="13" t="s">
        <v>1934</v>
      </c>
      <c r="J314" s="13" t="s">
        <v>3040</v>
      </c>
      <c r="K314" s="14">
        <v>1</v>
      </c>
      <c r="L314" s="13" t="s">
        <v>1545</v>
      </c>
      <c r="M314" s="13" t="s">
        <v>3038</v>
      </c>
      <c r="N314" s="13" t="s">
        <v>195</v>
      </c>
      <c r="O314" s="14" t="s">
        <v>1925</v>
      </c>
      <c r="P314" s="14" t="s">
        <v>1937</v>
      </c>
      <c r="Q314" s="14" t="s">
        <v>3041</v>
      </c>
      <c r="R314" s="14" t="s">
        <v>1939</v>
      </c>
      <c r="S314" s="14"/>
      <c r="T314" s="14"/>
    </row>
    <row r="315" ht="13.5" customHeight="1" spans="1:20">
      <c r="A315" s="13" t="s">
        <v>3042</v>
      </c>
      <c r="B315" s="13" t="s">
        <v>1556</v>
      </c>
      <c r="C315" s="13" t="s">
        <v>1999</v>
      </c>
      <c r="D315" s="13" t="s">
        <v>245</v>
      </c>
      <c r="E315" s="13" t="s">
        <v>3024</v>
      </c>
      <c r="F315" s="13" t="s">
        <v>1920</v>
      </c>
      <c r="G315" s="13" t="s">
        <v>1921</v>
      </c>
      <c r="H315" s="13" t="s">
        <v>1922</v>
      </c>
      <c r="I315" s="13" t="s">
        <v>1923</v>
      </c>
      <c r="J315" s="13" t="s">
        <v>3043</v>
      </c>
      <c r="K315" s="14">
        <v>1</v>
      </c>
      <c r="L315" s="13" t="s">
        <v>1556</v>
      </c>
      <c r="M315" s="13" t="s">
        <v>3042</v>
      </c>
      <c r="N315" s="13" t="s">
        <v>195</v>
      </c>
      <c r="O315" s="14" t="s">
        <v>1969</v>
      </c>
      <c r="P315" s="14" t="s">
        <v>1926</v>
      </c>
      <c r="Q315" s="14"/>
      <c r="R315" s="14" t="s">
        <v>1927</v>
      </c>
      <c r="S315" s="14"/>
      <c r="T315" s="14"/>
    </row>
    <row r="316" ht="13.5" customHeight="1" spans="1:20">
      <c r="A316" s="13" t="s">
        <v>3044</v>
      </c>
      <c r="B316" s="13" t="s">
        <v>1559</v>
      </c>
      <c r="C316" s="13" t="s">
        <v>1999</v>
      </c>
      <c r="D316" s="13" t="s">
        <v>245</v>
      </c>
      <c r="E316" s="13" t="s">
        <v>3024</v>
      </c>
      <c r="F316" s="13" t="s">
        <v>1931</v>
      </c>
      <c r="G316" s="13" t="s">
        <v>2678</v>
      </c>
      <c r="H316" s="13" t="s">
        <v>1922</v>
      </c>
      <c r="I316" s="13" t="s">
        <v>1987</v>
      </c>
      <c r="J316" s="13" t="s">
        <v>3045</v>
      </c>
      <c r="K316" s="14">
        <v>1</v>
      </c>
      <c r="L316" s="13" t="s">
        <v>1559</v>
      </c>
      <c r="M316" s="13" t="s">
        <v>3044</v>
      </c>
      <c r="N316" s="13" t="s">
        <v>195</v>
      </c>
      <c r="O316" s="14" t="s">
        <v>1969</v>
      </c>
      <c r="P316" s="14" t="s">
        <v>1926</v>
      </c>
      <c r="Q316" s="14"/>
      <c r="R316" s="14" t="s">
        <v>1927</v>
      </c>
      <c r="S316" s="14"/>
      <c r="T316" s="14"/>
    </row>
    <row r="317" ht="13.5" customHeight="1" spans="1:20">
      <c r="A317" s="13" t="s">
        <v>3046</v>
      </c>
      <c r="B317" s="13" t="s">
        <v>1562</v>
      </c>
      <c r="C317" s="13" t="s">
        <v>1999</v>
      </c>
      <c r="D317" s="13" t="s">
        <v>245</v>
      </c>
      <c r="E317" s="13" t="s">
        <v>2926</v>
      </c>
      <c r="F317" s="13" t="s">
        <v>1931</v>
      </c>
      <c r="G317" s="13" t="s">
        <v>2675</v>
      </c>
      <c r="H317" s="13" t="s">
        <v>1922</v>
      </c>
      <c r="I317" s="13" t="s">
        <v>1934</v>
      </c>
      <c r="J317" s="13" t="s">
        <v>3047</v>
      </c>
      <c r="K317" s="14">
        <v>1</v>
      </c>
      <c r="L317" s="13" t="s">
        <v>1562</v>
      </c>
      <c r="M317" s="13" t="s">
        <v>3046</v>
      </c>
      <c r="N317" s="13" t="s">
        <v>195</v>
      </c>
      <c r="O317" s="14" t="s">
        <v>1936</v>
      </c>
      <c r="P317" s="14" t="s">
        <v>1926</v>
      </c>
      <c r="Q317" s="14"/>
      <c r="R317" s="14" t="s">
        <v>1939</v>
      </c>
      <c r="S317" s="14"/>
      <c r="T317" s="14"/>
    </row>
    <row r="318" ht="13.5" customHeight="1" spans="1:20">
      <c r="A318" s="13" t="s">
        <v>3048</v>
      </c>
      <c r="B318" s="13" t="s">
        <v>1583</v>
      </c>
      <c r="C318" s="13" t="s">
        <v>1999</v>
      </c>
      <c r="D318" s="13" t="s">
        <v>1955</v>
      </c>
      <c r="E318" s="13" t="s">
        <v>3024</v>
      </c>
      <c r="F318" s="13" t="s">
        <v>1931</v>
      </c>
      <c r="G318" s="13" t="s">
        <v>1921</v>
      </c>
      <c r="H318" s="13" t="s">
        <v>3049</v>
      </c>
      <c r="I318" s="13" t="s">
        <v>1923</v>
      </c>
      <c r="J318" s="13" t="s">
        <v>3050</v>
      </c>
      <c r="K318" s="14">
        <v>1</v>
      </c>
      <c r="L318" s="13" t="s">
        <v>1583</v>
      </c>
      <c r="M318" s="13" t="s">
        <v>3048</v>
      </c>
      <c r="N318" s="13" t="s">
        <v>195</v>
      </c>
      <c r="O318" s="14" t="s">
        <v>1969</v>
      </c>
      <c r="P318" s="14" t="s">
        <v>1937</v>
      </c>
      <c r="Q318" s="14" t="s">
        <v>3051</v>
      </c>
      <c r="R318" s="14" t="s">
        <v>1927</v>
      </c>
      <c r="S318" s="14"/>
      <c r="T318" s="14"/>
    </row>
    <row r="319" ht="13.5" customHeight="1" spans="1:20">
      <c r="A319" s="13" t="s">
        <v>3052</v>
      </c>
      <c r="B319" s="13" t="s">
        <v>1596</v>
      </c>
      <c r="C319" s="13" t="s">
        <v>1999</v>
      </c>
      <c r="D319" s="13" t="s">
        <v>3053</v>
      </c>
      <c r="E319" s="13" t="s">
        <v>2916</v>
      </c>
      <c r="F319" s="13" t="s">
        <v>1931</v>
      </c>
      <c r="G319" s="13" t="s">
        <v>2279</v>
      </c>
      <c r="H319" s="13" t="s">
        <v>3054</v>
      </c>
      <c r="I319" s="13" t="s">
        <v>1987</v>
      </c>
      <c r="J319" s="13" t="s">
        <v>3055</v>
      </c>
      <c r="K319" s="14">
        <v>1</v>
      </c>
      <c r="L319" s="13" t="s">
        <v>1596</v>
      </c>
      <c r="M319" s="13" t="s">
        <v>3052</v>
      </c>
      <c r="N319" s="13" t="s">
        <v>195</v>
      </c>
      <c r="O319" s="14" t="s">
        <v>1996</v>
      </c>
      <c r="P319" s="14" t="s">
        <v>1937</v>
      </c>
      <c r="Q319" s="14" t="s">
        <v>3056</v>
      </c>
      <c r="R319" s="14" t="s">
        <v>1927</v>
      </c>
      <c r="S319" s="14"/>
      <c r="T319" s="14"/>
    </row>
    <row r="320" ht="13.5" customHeight="1" spans="1:20">
      <c r="A320" s="13" t="s">
        <v>3057</v>
      </c>
      <c r="B320" s="13" t="s">
        <v>1604</v>
      </c>
      <c r="C320" s="13" t="s">
        <v>1999</v>
      </c>
      <c r="D320" s="13" t="s">
        <v>2195</v>
      </c>
      <c r="E320" s="13" t="s">
        <v>2921</v>
      </c>
      <c r="F320" s="13" t="s">
        <v>1931</v>
      </c>
      <c r="G320" s="13" t="s">
        <v>2056</v>
      </c>
      <c r="H320" s="13" t="s">
        <v>2039</v>
      </c>
      <c r="I320" s="13" t="s">
        <v>3058</v>
      </c>
      <c r="J320" s="13" t="s">
        <v>3059</v>
      </c>
      <c r="K320" s="14">
        <v>1</v>
      </c>
      <c r="L320" s="13" t="s">
        <v>1604</v>
      </c>
      <c r="M320" s="13" t="s">
        <v>3057</v>
      </c>
      <c r="N320" s="13" t="s">
        <v>195</v>
      </c>
      <c r="O320" s="14" t="s">
        <v>1974</v>
      </c>
      <c r="P320" s="14" t="s">
        <v>1949</v>
      </c>
      <c r="Q320" s="14"/>
      <c r="R320" s="14" t="s">
        <v>1939</v>
      </c>
      <c r="S320" s="14"/>
      <c r="T320" s="14"/>
    </row>
    <row r="321" ht="13.5" customHeight="1" spans="1:20">
      <c r="A321" s="13" t="s">
        <v>3060</v>
      </c>
      <c r="B321" s="13" t="s">
        <v>1615</v>
      </c>
      <c r="C321" s="13" t="s">
        <v>1999</v>
      </c>
      <c r="D321" s="13" t="s">
        <v>230</v>
      </c>
      <c r="E321" s="13" t="s">
        <v>2973</v>
      </c>
      <c r="F321" s="13" t="s">
        <v>1977</v>
      </c>
      <c r="G321" s="13" t="s">
        <v>1921</v>
      </c>
      <c r="H321" s="13" t="s">
        <v>3061</v>
      </c>
      <c r="I321" s="13" t="s">
        <v>1977</v>
      </c>
      <c r="J321" s="13" t="s">
        <v>3062</v>
      </c>
      <c r="K321" s="14">
        <v>1</v>
      </c>
      <c r="L321" s="13" t="s">
        <v>1615</v>
      </c>
      <c r="M321" s="13" t="s">
        <v>3060</v>
      </c>
      <c r="N321" s="13" t="s">
        <v>195</v>
      </c>
      <c r="O321" s="14" t="s">
        <v>2086</v>
      </c>
      <c r="P321" s="14" t="s">
        <v>1937</v>
      </c>
      <c r="Q321" s="14" t="s">
        <v>3063</v>
      </c>
      <c r="R321" s="14" t="s">
        <v>1939</v>
      </c>
      <c r="S321" s="14"/>
      <c r="T321" s="14"/>
    </row>
    <row r="322" ht="13.5" customHeight="1" spans="1:20">
      <c r="A322" s="13" t="s">
        <v>3064</v>
      </c>
      <c r="B322" s="13" t="s">
        <v>1619</v>
      </c>
      <c r="C322" s="13" t="s">
        <v>1999</v>
      </c>
      <c r="D322" s="13" t="s">
        <v>230</v>
      </c>
      <c r="E322" s="13" t="s">
        <v>2926</v>
      </c>
      <c r="F322" s="13" t="s">
        <v>1931</v>
      </c>
      <c r="G322" s="13" t="s">
        <v>1941</v>
      </c>
      <c r="H322" s="13" t="s">
        <v>3065</v>
      </c>
      <c r="I322" s="13" t="s">
        <v>1934</v>
      </c>
      <c r="J322" s="13" t="s">
        <v>3066</v>
      </c>
      <c r="K322" s="14">
        <v>1</v>
      </c>
      <c r="L322" s="13" t="s">
        <v>1619</v>
      </c>
      <c r="M322" s="13" t="s">
        <v>3064</v>
      </c>
      <c r="N322" s="13" t="s">
        <v>195</v>
      </c>
      <c r="O322" s="14" t="s">
        <v>1936</v>
      </c>
      <c r="P322" s="14" t="s">
        <v>1937</v>
      </c>
      <c r="Q322" s="14" t="s">
        <v>3067</v>
      </c>
      <c r="R322" s="14" t="s">
        <v>1939</v>
      </c>
      <c r="S322" s="14"/>
      <c r="T322" s="14"/>
    </row>
    <row r="323" ht="13.5" customHeight="1" spans="1:20">
      <c r="A323" s="13" t="s">
        <v>3068</v>
      </c>
      <c r="B323" s="13" t="s">
        <v>1623</v>
      </c>
      <c r="C323" s="13" t="s">
        <v>1999</v>
      </c>
      <c r="D323" s="13" t="s">
        <v>230</v>
      </c>
      <c r="E323" s="13" t="s">
        <v>2926</v>
      </c>
      <c r="F323" s="13" t="s">
        <v>2139</v>
      </c>
      <c r="G323" s="13" t="s">
        <v>2056</v>
      </c>
      <c r="H323" s="13" t="s">
        <v>3069</v>
      </c>
      <c r="I323" s="13" t="s">
        <v>2394</v>
      </c>
      <c r="J323" s="13" t="s">
        <v>3070</v>
      </c>
      <c r="K323" s="14">
        <v>1</v>
      </c>
      <c r="L323" s="13" t="s">
        <v>1623</v>
      </c>
      <c r="M323" s="13" t="s">
        <v>3068</v>
      </c>
      <c r="N323" s="13" t="s">
        <v>195</v>
      </c>
      <c r="O323" s="14" t="s">
        <v>1936</v>
      </c>
      <c r="P323" s="14" t="s">
        <v>1937</v>
      </c>
      <c r="Q323" s="14" t="s">
        <v>3071</v>
      </c>
      <c r="R323" s="14" t="s">
        <v>1939</v>
      </c>
      <c r="S323" s="14"/>
      <c r="T323" s="14"/>
    </row>
    <row r="324" ht="13.5" customHeight="1" spans="1:20">
      <c r="A324" s="13" t="s">
        <v>3072</v>
      </c>
      <c r="B324" s="13" t="s">
        <v>1641</v>
      </c>
      <c r="C324" s="13" t="s">
        <v>1999</v>
      </c>
      <c r="D324" s="13" t="s">
        <v>311</v>
      </c>
      <c r="E324" s="13" t="s">
        <v>2926</v>
      </c>
      <c r="F324" s="13" t="s">
        <v>1931</v>
      </c>
      <c r="G324" s="13" t="s">
        <v>1946</v>
      </c>
      <c r="H324" s="13" t="s">
        <v>3073</v>
      </c>
      <c r="I324" s="13" t="s">
        <v>1923</v>
      </c>
      <c r="J324" s="13" t="s">
        <v>3074</v>
      </c>
      <c r="K324" s="14">
        <v>1</v>
      </c>
      <c r="L324" s="13" t="s">
        <v>1641</v>
      </c>
      <c r="M324" s="13" t="s">
        <v>3072</v>
      </c>
      <c r="N324" s="13" t="s">
        <v>195</v>
      </c>
      <c r="O324" s="14" t="s">
        <v>1936</v>
      </c>
      <c r="P324" s="14" t="s">
        <v>1937</v>
      </c>
      <c r="Q324" s="14" t="s">
        <v>3075</v>
      </c>
      <c r="R324" s="14" t="s">
        <v>1927</v>
      </c>
      <c r="S324" s="14"/>
      <c r="T324" s="14"/>
    </row>
    <row r="325" ht="13.5" customHeight="1" spans="1:20">
      <c r="A325" s="13" t="s">
        <v>3076</v>
      </c>
      <c r="B325" s="13" t="s">
        <v>1660</v>
      </c>
      <c r="C325" s="13" t="s">
        <v>1999</v>
      </c>
      <c r="D325" s="13" t="s">
        <v>311</v>
      </c>
      <c r="E325" s="13" t="s">
        <v>2936</v>
      </c>
      <c r="F325" s="13" t="s">
        <v>1931</v>
      </c>
      <c r="G325" s="13" t="s">
        <v>1932</v>
      </c>
      <c r="H325" s="13" t="s">
        <v>3077</v>
      </c>
      <c r="I325" s="13" t="s">
        <v>1957</v>
      </c>
      <c r="J325" s="13" t="s">
        <v>3078</v>
      </c>
      <c r="K325" s="14">
        <v>1</v>
      </c>
      <c r="L325" s="13" t="s">
        <v>1660</v>
      </c>
      <c r="M325" s="13" t="s">
        <v>3076</v>
      </c>
      <c r="N325" s="13" t="s">
        <v>195</v>
      </c>
      <c r="O325" s="14" t="s">
        <v>1925</v>
      </c>
      <c r="P325" s="14" t="s">
        <v>1937</v>
      </c>
      <c r="Q325" s="14" t="s">
        <v>3079</v>
      </c>
      <c r="R325" s="14" t="s">
        <v>1939</v>
      </c>
      <c r="S325" s="14"/>
      <c r="T325" s="14"/>
    </row>
    <row r="326" ht="13.5" customHeight="1" spans="1:20">
      <c r="A326" s="13" t="s">
        <v>3080</v>
      </c>
      <c r="B326" s="13" t="s">
        <v>1664</v>
      </c>
      <c r="C326" s="13" t="s">
        <v>1999</v>
      </c>
      <c r="D326" s="13" t="s">
        <v>311</v>
      </c>
      <c r="E326" s="13" t="s">
        <v>2973</v>
      </c>
      <c r="F326" s="13" t="s">
        <v>1931</v>
      </c>
      <c r="G326" s="13" t="s">
        <v>1932</v>
      </c>
      <c r="H326" s="13" t="s">
        <v>3081</v>
      </c>
      <c r="I326" s="13" t="s">
        <v>1957</v>
      </c>
      <c r="J326" s="13" t="s">
        <v>3082</v>
      </c>
      <c r="K326" s="14">
        <v>1</v>
      </c>
      <c r="L326" s="13" t="s">
        <v>1664</v>
      </c>
      <c r="M326" s="13" t="s">
        <v>3080</v>
      </c>
      <c r="N326" s="13" t="s">
        <v>195</v>
      </c>
      <c r="O326" s="14" t="s">
        <v>2086</v>
      </c>
      <c r="P326" s="14" t="s">
        <v>1937</v>
      </c>
      <c r="Q326" s="14" t="s">
        <v>3083</v>
      </c>
      <c r="R326" s="14" t="s">
        <v>1939</v>
      </c>
      <c r="S326" s="14"/>
      <c r="T326" s="14"/>
    </row>
    <row r="327" ht="13.5" customHeight="1" spans="1:20">
      <c r="A327" s="13" t="s">
        <v>3084</v>
      </c>
      <c r="B327" s="13" t="s">
        <v>1670</v>
      </c>
      <c r="C327" s="13" t="s">
        <v>1999</v>
      </c>
      <c r="D327" s="13" t="s">
        <v>311</v>
      </c>
      <c r="E327" s="13" t="s">
        <v>2926</v>
      </c>
      <c r="F327" s="13" t="s">
        <v>1931</v>
      </c>
      <c r="G327" s="13" t="s">
        <v>1946</v>
      </c>
      <c r="H327" s="13" t="s">
        <v>3085</v>
      </c>
      <c r="I327" s="13" t="s">
        <v>1987</v>
      </c>
      <c r="J327" s="13" t="s">
        <v>3086</v>
      </c>
      <c r="K327" s="14">
        <v>1</v>
      </c>
      <c r="L327" s="13" t="s">
        <v>1670</v>
      </c>
      <c r="M327" s="13" t="s">
        <v>3084</v>
      </c>
      <c r="N327" s="13" t="s">
        <v>195</v>
      </c>
      <c r="O327" s="14" t="s">
        <v>1936</v>
      </c>
      <c r="P327" s="14" t="s">
        <v>1937</v>
      </c>
      <c r="Q327" s="14" t="s">
        <v>3087</v>
      </c>
      <c r="R327" s="14" t="s">
        <v>1927</v>
      </c>
      <c r="S327" s="14"/>
      <c r="T327" s="14"/>
    </row>
    <row r="328" ht="13.5" customHeight="1" spans="1:20">
      <c r="A328" s="13" t="s">
        <v>3088</v>
      </c>
      <c r="B328" s="13" t="s">
        <v>1681</v>
      </c>
      <c r="C328" s="13" t="s">
        <v>1999</v>
      </c>
      <c r="D328" s="13" t="s">
        <v>1984</v>
      </c>
      <c r="E328" s="13" t="s">
        <v>2973</v>
      </c>
      <c r="F328" s="13" t="s">
        <v>1977</v>
      </c>
      <c r="G328" s="13" t="s">
        <v>1921</v>
      </c>
      <c r="H328" s="13" t="s">
        <v>2039</v>
      </c>
      <c r="I328" s="13" t="s">
        <v>1934</v>
      </c>
      <c r="J328" s="13" t="s">
        <v>3089</v>
      </c>
      <c r="K328" s="14">
        <v>1</v>
      </c>
      <c r="L328" s="13" t="s">
        <v>1681</v>
      </c>
      <c r="M328" s="13" t="s">
        <v>3088</v>
      </c>
      <c r="N328" s="13" t="s">
        <v>195</v>
      </c>
      <c r="O328" s="14" t="s">
        <v>2086</v>
      </c>
      <c r="P328" s="14" t="s">
        <v>1949</v>
      </c>
      <c r="Q328" s="14"/>
      <c r="R328" s="14" t="s">
        <v>1939</v>
      </c>
      <c r="S328" s="14"/>
      <c r="T328" s="14"/>
    </row>
    <row r="329" ht="13.5" customHeight="1" spans="1:20">
      <c r="A329" s="13" t="s">
        <v>3090</v>
      </c>
      <c r="B329" s="13" t="s">
        <v>1688</v>
      </c>
      <c r="C329" s="13" t="s">
        <v>1999</v>
      </c>
      <c r="D329" s="13" t="s">
        <v>1984</v>
      </c>
      <c r="E329" s="13" t="s">
        <v>2916</v>
      </c>
      <c r="F329" s="13" t="s">
        <v>1931</v>
      </c>
      <c r="G329" s="13" t="s">
        <v>1921</v>
      </c>
      <c r="H329" s="13" t="s">
        <v>1947</v>
      </c>
      <c r="I329" s="13" t="s">
        <v>1923</v>
      </c>
      <c r="J329" s="13" t="s">
        <v>3091</v>
      </c>
      <c r="K329" s="14">
        <v>1</v>
      </c>
      <c r="L329" s="13" t="s">
        <v>1688</v>
      </c>
      <c r="M329" s="13" t="s">
        <v>3090</v>
      </c>
      <c r="N329" s="13" t="s">
        <v>195</v>
      </c>
      <c r="O329" s="14" t="s">
        <v>1996</v>
      </c>
      <c r="P329" s="14" t="s">
        <v>1949</v>
      </c>
      <c r="Q329" s="14"/>
      <c r="R329" s="14" t="s">
        <v>1927</v>
      </c>
      <c r="S329" s="14"/>
      <c r="T329" s="14"/>
    </row>
    <row r="330" ht="13.5" customHeight="1" spans="1:20">
      <c r="A330" s="13" t="s">
        <v>3092</v>
      </c>
      <c r="B330" s="13" t="s">
        <v>1700</v>
      </c>
      <c r="C330" s="13" t="s">
        <v>1999</v>
      </c>
      <c r="D330" s="13" t="s">
        <v>1992</v>
      </c>
      <c r="E330" s="13" t="s">
        <v>2926</v>
      </c>
      <c r="F330" s="13" t="s">
        <v>1931</v>
      </c>
      <c r="G330" s="13" t="s">
        <v>1946</v>
      </c>
      <c r="H330" s="13" t="s">
        <v>3093</v>
      </c>
      <c r="I330" s="13" t="s">
        <v>1987</v>
      </c>
      <c r="J330" s="13" t="s">
        <v>3094</v>
      </c>
      <c r="K330" s="14">
        <v>1</v>
      </c>
      <c r="L330" s="13" t="s">
        <v>1700</v>
      </c>
      <c r="M330" s="13" t="s">
        <v>3092</v>
      </c>
      <c r="N330" s="13" t="s">
        <v>195</v>
      </c>
      <c r="O330" s="14" t="s">
        <v>1936</v>
      </c>
      <c r="P330" s="14" t="s">
        <v>1937</v>
      </c>
      <c r="Q330" s="14" t="s">
        <v>3095</v>
      </c>
      <c r="R330" s="14" t="s">
        <v>1927</v>
      </c>
      <c r="S330" s="14"/>
      <c r="T330" s="14"/>
    </row>
    <row r="331" ht="13.5" customHeight="1" spans="1:20">
      <c r="A331" s="13" t="s">
        <v>3096</v>
      </c>
      <c r="B331" s="13" t="s">
        <v>1704</v>
      </c>
      <c r="C331" s="13" t="s">
        <v>1999</v>
      </c>
      <c r="D331" s="13" t="s">
        <v>2901</v>
      </c>
      <c r="E331" s="13" t="s">
        <v>2916</v>
      </c>
      <c r="F331" s="13" t="s">
        <v>1977</v>
      </c>
      <c r="G331" s="13" t="s">
        <v>2009</v>
      </c>
      <c r="H331" s="13" t="s">
        <v>3097</v>
      </c>
      <c r="I331" s="13" t="s">
        <v>2010</v>
      </c>
      <c r="J331" s="13" t="s">
        <v>3098</v>
      </c>
      <c r="K331" s="14">
        <v>1</v>
      </c>
      <c r="L331" s="13" t="s">
        <v>1704</v>
      </c>
      <c r="M331" s="13" t="s">
        <v>3096</v>
      </c>
      <c r="N331" s="13" t="s">
        <v>195</v>
      </c>
      <c r="O331" s="14" t="s">
        <v>1996</v>
      </c>
      <c r="P331" s="14" t="s">
        <v>1937</v>
      </c>
      <c r="Q331" s="14" t="s">
        <v>3099</v>
      </c>
      <c r="R331" s="14" t="s">
        <v>1927</v>
      </c>
      <c r="S331" s="14"/>
      <c r="T331" s="14"/>
    </row>
    <row r="332" ht="13.5" customHeight="1" spans="1:20">
      <c r="A332" s="13" t="s">
        <v>3100</v>
      </c>
      <c r="B332" s="13" t="s">
        <v>1708</v>
      </c>
      <c r="C332" s="13" t="s">
        <v>1999</v>
      </c>
      <c r="D332" s="13" t="s">
        <v>259</v>
      </c>
      <c r="E332" s="13" t="s">
        <v>3024</v>
      </c>
      <c r="F332" s="13" t="s">
        <v>1931</v>
      </c>
      <c r="G332" s="13" t="s">
        <v>2018</v>
      </c>
      <c r="H332" s="13" t="s">
        <v>1947</v>
      </c>
      <c r="I332" s="13" t="s">
        <v>2010</v>
      </c>
      <c r="J332" s="13" t="s">
        <v>3101</v>
      </c>
      <c r="K332" s="14">
        <v>1</v>
      </c>
      <c r="L332" s="13" t="s">
        <v>1708</v>
      </c>
      <c r="M332" s="13" t="s">
        <v>3100</v>
      </c>
      <c r="N332" s="13" t="s">
        <v>195</v>
      </c>
      <c r="O332" s="14" t="s">
        <v>1969</v>
      </c>
      <c r="P332" s="14" t="s">
        <v>1949</v>
      </c>
      <c r="Q332" s="14"/>
      <c r="R332" s="14" t="s">
        <v>1927</v>
      </c>
      <c r="S332" s="14"/>
      <c r="T332" s="14"/>
    </row>
    <row r="333" ht="13.5" customHeight="1" spans="1:20">
      <c r="A333" s="13" t="s">
        <v>3102</v>
      </c>
      <c r="B333" s="13" t="s">
        <v>1714</v>
      </c>
      <c r="C333" s="13" t="s">
        <v>1999</v>
      </c>
      <c r="D333" s="13" t="s">
        <v>259</v>
      </c>
      <c r="E333" s="13" t="s">
        <v>2936</v>
      </c>
      <c r="F333" s="13" t="s">
        <v>1957</v>
      </c>
      <c r="G333" s="13" t="s">
        <v>2056</v>
      </c>
      <c r="H333" s="13" t="s">
        <v>3103</v>
      </c>
      <c r="I333" s="13" t="s">
        <v>1934</v>
      </c>
      <c r="J333" s="13" t="s">
        <v>3104</v>
      </c>
      <c r="K333" s="14">
        <v>1</v>
      </c>
      <c r="L333" s="13" t="s">
        <v>1714</v>
      </c>
      <c r="M333" s="13" t="s">
        <v>3102</v>
      </c>
      <c r="N333" s="13" t="s">
        <v>195</v>
      </c>
      <c r="O333" s="14" t="s">
        <v>1925</v>
      </c>
      <c r="P333" s="14" t="s">
        <v>1937</v>
      </c>
      <c r="Q333" s="14" t="s">
        <v>3105</v>
      </c>
      <c r="R333" s="14" t="s">
        <v>1939</v>
      </c>
      <c r="S333" s="14"/>
      <c r="T333" s="14"/>
    </row>
    <row r="334" ht="13.5" customHeight="1" spans="1:20">
      <c r="A334" s="13" t="s">
        <v>3106</v>
      </c>
      <c r="B334" s="13" t="s">
        <v>1723</v>
      </c>
      <c r="C334" s="13" t="s">
        <v>2233</v>
      </c>
      <c r="D334" s="13" t="s">
        <v>1929</v>
      </c>
      <c r="E334" s="13" t="s">
        <v>2926</v>
      </c>
      <c r="F334" s="13" t="s">
        <v>1931</v>
      </c>
      <c r="G334" s="13" t="s">
        <v>2009</v>
      </c>
      <c r="H334" s="13" t="s">
        <v>1922</v>
      </c>
      <c r="I334" s="13" t="s">
        <v>1923</v>
      </c>
      <c r="J334" s="13" t="s">
        <v>3107</v>
      </c>
      <c r="K334" s="14">
        <v>1</v>
      </c>
      <c r="L334" s="13" t="s">
        <v>1723</v>
      </c>
      <c r="M334" s="13" t="s">
        <v>3106</v>
      </c>
      <c r="N334" s="13" t="s">
        <v>195</v>
      </c>
      <c r="O334" s="14" t="s">
        <v>1936</v>
      </c>
      <c r="P334" s="14" t="s">
        <v>1926</v>
      </c>
      <c r="Q334" s="14"/>
      <c r="R334" s="14" t="s">
        <v>1927</v>
      </c>
      <c r="S334" s="14"/>
      <c r="T334" s="14"/>
    </row>
    <row r="335" ht="13.5" customHeight="1" spans="1:20">
      <c r="A335" s="13" t="s">
        <v>3108</v>
      </c>
      <c r="B335" s="13" t="s">
        <v>1736</v>
      </c>
      <c r="C335" s="13" t="s">
        <v>2233</v>
      </c>
      <c r="D335" s="13" t="s">
        <v>2278</v>
      </c>
      <c r="E335" s="13" t="s">
        <v>2936</v>
      </c>
      <c r="F335" s="13" t="s">
        <v>1931</v>
      </c>
      <c r="G335" s="13" t="s">
        <v>1921</v>
      </c>
      <c r="H335" s="13" t="s">
        <v>1947</v>
      </c>
      <c r="I335" s="13" t="s">
        <v>1987</v>
      </c>
      <c r="J335" s="13" t="s">
        <v>3109</v>
      </c>
      <c r="K335" s="14">
        <v>1</v>
      </c>
      <c r="L335" s="13" t="s">
        <v>1736</v>
      </c>
      <c r="M335" s="13" t="s">
        <v>3108</v>
      </c>
      <c r="N335" s="13" t="s">
        <v>195</v>
      </c>
      <c r="O335" s="14" t="s">
        <v>1925</v>
      </c>
      <c r="P335" s="14" t="s">
        <v>1949</v>
      </c>
      <c r="Q335" s="14"/>
      <c r="R335" s="14" t="s">
        <v>1927</v>
      </c>
      <c r="S335" s="14"/>
      <c r="T335" s="14"/>
    </row>
    <row r="336" ht="13.5" customHeight="1" spans="1:20">
      <c r="A336" s="13" t="s">
        <v>3110</v>
      </c>
      <c r="B336" s="13" t="s">
        <v>1740</v>
      </c>
      <c r="C336" s="13" t="s">
        <v>2233</v>
      </c>
      <c r="D336" s="13" t="s">
        <v>1992</v>
      </c>
      <c r="E336" s="13" t="s">
        <v>2936</v>
      </c>
      <c r="F336" s="13" t="s">
        <v>1931</v>
      </c>
      <c r="G336" s="13" t="s">
        <v>2279</v>
      </c>
      <c r="H336" s="13" t="s">
        <v>1947</v>
      </c>
      <c r="I336" s="13" t="s">
        <v>2010</v>
      </c>
      <c r="J336" s="13" t="s">
        <v>3111</v>
      </c>
      <c r="K336" s="14">
        <v>1</v>
      </c>
      <c r="L336" s="13" t="s">
        <v>1740</v>
      </c>
      <c r="M336" s="13" t="s">
        <v>3110</v>
      </c>
      <c r="N336" s="13" t="s">
        <v>195</v>
      </c>
      <c r="O336" s="14" t="s">
        <v>1925</v>
      </c>
      <c r="P336" s="14" t="s">
        <v>1949</v>
      </c>
      <c r="Q336" s="14"/>
      <c r="R336" s="14" t="s">
        <v>1927</v>
      </c>
      <c r="S336" s="14"/>
      <c r="T336" s="14"/>
    </row>
    <row r="337" ht="13.5" customHeight="1" spans="1:20">
      <c r="A337" s="13" t="s">
        <v>3112</v>
      </c>
      <c r="B337" s="13" t="s">
        <v>1752</v>
      </c>
      <c r="C337" s="13" t="s">
        <v>2233</v>
      </c>
      <c r="D337" s="13" t="s">
        <v>2901</v>
      </c>
      <c r="E337" s="13" t="s">
        <v>2936</v>
      </c>
      <c r="F337" s="13" t="s">
        <v>1931</v>
      </c>
      <c r="G337" s="13" t="s">
        <v>1946</v>
      </c>
      <c r="H337" s="13" t="s">
        <v>2959</v>
      </c>
      <c r="I337" s="13" t="s">
        <v>1934</v>
      </c>
      <c r="J337" s="13" t="s">
        <v>3113</v>
      </c>
      <c r="K337" s="14">
        <v>1</v>
      </c>
      <c r="L337" s="13" t="s">
        <v>1752</v>
      </c>
      <c r="M337" s="13" t="s">
        <v>3112</v>
      </c>
      <c r="N337" s="13" t="s">
        <v>195</v>
      </c>
      <c r="O337" s="14" t="s">
        <v>1925</v>
      </c>
      <c r="P337" s="14" t="s">
        <v>1937</v>
      </c>
      <c r="Q337" s="14" t="s">
        <v>2961</v>
      </c>
      <c r="R337" s="14" t="s">
        <v>1939</v>
      </c>
      <c r="S337" s="14"/>
      <c r="T337" s="14"/>
    </row>
    <row r="338" ht="13.5" customHeight="1" spans="1:20">
      <c r="A338" s="13" t="s">
        <v>3114</v>
      </c>
      <c r="B338" s="13" t="s">
        <v>1755</v>
      </c>
      <c r="C338" s="13" t="s">
        <v>2233</v>
      </c>
      <c r="D338" s="13" t="s">
        <v>259</v>
      </c>
      <c r="E338" s="13" t="s">
        <v>2926</v>
      </c>
      <c r="F338" s="13" t="s">
        <v>1931</v>
      </c>
      <c r="G338" s="13" t="s">
        <v>1946</v>
      </c>
      <c r="H338" s="13" t="s">
        <v>2963</v>
      </c>
      <c r="I338" s="13" t="s">
        <v>1923</v>
      </c>
      <c r="J338" s="13" t="s">
        <v>3115</v>
      </c>
      <c r="K338" s="14">
        <v>1</v>
      </c>
      <c r="L338" s="13" t="s">
        <v>1755</v>
      </c>
      <c r="M338" s="13" t="s">
        <v>3114</v>
      </c>
      <c r="N338" s="13" t="s">
        <v>195</v>
      </c>
      <c r="O338" s="14" t="s">
        <v>1936</v>
      </c>
      <c r="P338" s="14" t="s">
        <v>1937</v>
      </c>
      <c r="Q338" s="14" t="s">
        <v>2965</v>
      </c>
      <c r="R338" s="14" t="s">
        <v>1927</v>
      </c>
      <c r="S338" s="14"/>
      <c r="T338" s="14"/>
    </row>
    <row r="339" ht="13.5" customHeight="1" spans="1:20">
      <c r="A339" s="13" t="s">
        <v>3116</v>
      </c>
      <c r="B339" s="13" t="s">
        <v>1270</v>
      </c>
      <c r="C339" s="13" t="s">
        <v>1918</v>
      </c>
      <c r="D339" s="13" t="s">
        <v>2245</v>
      </c>
      <c r="E339" s="13" t="s">
        <v>3117</v>
      </c>
      <c r="F339" s="13" t="s">
        <v>1931</v>
      </c>
      <c r="G339" s="13" t="s">
        <v>1941</v>
      </c>
      <c r="H339" s="13" t="s">
        <v>1942</v>
      </c>
      <c r="I339" s="13" t="s">
        <v>1923</v>
      </c>
      <c r="J339" s="13" t="s">
        <v>3118</v>
      </c>
      <c r="K339" s="14">
        <v>1</v>
      </c>
      <c r="L339" s="13" t="s">
        <v>1270</v>
      </c>
      <c r="M339" s="13" t="s">
        <v>3116</v>
      </c>
      <c r="N339" s="13" t="s">
        <v>197</v>
      </c>
      <c r="O339" s="14" t="s">
        <v>2049</v>
      </c>
      <c r="P339" s="14" t="s">
        <v>1944</v>
      </c>
      <c r="Q339" s="14"/>
      <c r="R339" s="14" t="s">
        <v>1927</v>
      </c>
      <c r="S339" s="14"/>
      <c r="T339" s="14"/>
    </row>
    <row r="340" ht="13.5" customHeight="1" spans="1:20">
      <c r="A340" s="13" t="s">
        <v>3119</v>
      </c>
      <c r="B340" s="13" t="s">
        <v>1274</v>
      </c>
      <c r="C340" s="13" t="s">
        <v>1918</v>
      </c>
      <c r="D340" s="13" t="s">
        <v>2245</v>
      </c>
      <c r="E340" s="13" t="s">
        <v>3120</v>
      </c>
      <c r="F340" s="13" t="s">
        <v>1931</v>
      </c>
      <c r="G340" s="13" t="s">
        <v>1932</v>
      </c>
      <c r="H340" s="13" t="s">
        <v>1922</v>
      </c>
      <c r="I340" s="13" t="s">
        <v>1934</v>
      </c>
      <c r="J340" s="13" t="s">
        <v>3121</v>
      </c>
      <c r="K340" s="14">
        <v>1</v>
      </c>
      <c r="L340" s="13" t="s">
        <v>1274</v>
      </c>
      <c r="M340" s="13" t="s">
        <v>3119</v>
      </c>
      <c r="N340" s="13" t="s">
        <v>197</v>
      </c>
      <c r="O340" s="14" t="s">
        <v>1996</v>
      </c>
      <c r="P340" s="14" t="s">
        <v>1926</v>
      </c>
      <c r="Q340" s="14"/>
      <c r="R340" s="14" t="s">
        <v>1939</v>
      </c>
      <c r="S340" s="14"/>
      <c r="T340" s="14"/>
    </row>
    <row r="341" ht="13.5" customHeight="1" spans="1:20">
      <c r="A341" s="13" t="s">
        <v>3122</v>
      </c>
      <c r="B341" s="13" t="s">
        <v>1315</v>
      </c>
      <c r="C341" s="13" t="s">
        <v>1918</v>
      </c>
      <c r="D341" s="13" t="s">
        <v>1971</v>
      </c>
      <c r="E341" s="13" t="s">
        <v>3123</v>
      </c>
      <c r="F341" s="13" t="s">
        <v>3124</v>
      </c>
      <c r="G341" s="13" t="s">
        <v>1941</v>
      </c>
      <c r="H341" s="13" t="s">
        <v>3125</v>
      </c>
      <c r="I341" s="13" t="s">
        <v>1979</v>
      </c>
      <c r="J341" s="13" t="s">
        <v>3126</v>
      </c>
      <c r="K341" s="14">
        <v>1</v>
      </c>
      <c r="L341" s="13" t="s">
        <v>1315</v>
      </c>
      <c r="M341" s="13" t="s">
        <v>3122</v>
      </c>
      <c r="N341" s="13" t="s">
        <v>197</v>
      </c>
      <c r="O341" s="14" t="s">
        <v>1974</v>
      </c>
      <c r="P341" s="14" t="s">
        <v>1937</v>
      </c>
      <c r="Q341" s="14" t="s">
        <v>3127</v>
      </c>
      <c r="R341" s="14" t="s">
        <v>1939</v>
      </c>
      <c r="S341" s="14"/>
      <c r="T341" s="14"/>
    </row>
    <row r="342" ht="13.5" customHeight="1" spans="1:20">
      <c r="A342" s="13" t="s">
        <v>3128</v>
      </c>
      <c r="B342" s="13" t="s">
        <v>1318</v>
      </c>
      <c r="C342" s="13" t="s">
        <v>1918</v>
      </c>
      <c r="D342" s="13" t="s">
        <v>311</v>
      </c>
      <c r="E342" s="13" t="s">
        <v>3129</v>
      </c>
      <c r="F342" s="13" t="s">
        <v>1957</v>
      </c>
      <c r="G342" s="13" t="s">
        <v>1958</v>
      </c>
      <c r="H342" s="13" t="s">
        <v>3130</v>
      </c>
      <c r="I342" s="13" t="s">
        <v>1934</v>
      </c>
      <c r="J342" s="13" t="s">
        <v>3131</v>
      </c>
      <c r="K342" s="14">
        <v>1</v>
      </c>
      <c r="L342" s="13" t="s">
        <v>1318</v>
      </c>
      <c r="M342" s="13" t="s">
        <v>3128</v>
      </c>
      <c r="N342" s="13" t="s">
        <v>197</v>
      </c>
      <c r="O342" s="14" t="s">
        <v>1925</v>
      </c>
      <c r="P342" s="14" t="s">
        <v>1937</v>
      </c>
      <c r="Q342" s="14" t="s">
        <v>3132</v>
      </c>
      <c r="R342" s="14" t="s">
        <v>1939</v>
      </c>
      <c r="S342" s="14"/>
      <c r="T342" s="14"/>
    </row>
    <row r="343" ht="13.5" customHeight="1" spans="1:20">
      <c r="A343" s="13" t="s">
        <v>3133</v>
      </c>
      <c r="B343" s="13" t="s">
        <v>1322</v>
      </c>
      <c r="C343" s="13" t="s">
        <v>1918</v>
      </c>
      <c r="D343" s="13" t="s">
        <v>311</v>
      </c>
      <c r="E343" s="13" t="s">
        <v>3129</v>
      </c>
      <c r="F343" s="13" t="s">
        <v>1931</v>
      </c>
      <c r="G343" s="13" t="s">
        <v>1921</v>
      </c>
      <c r="H343" s="13" t="s">
        <v>3134</v>
      </c>
      <c r="I343" s="13" t="s">
        <v>1987</v>
      </c>
      <c r="J343" s="13" t="s">
        <v>3135</v>
      </c>
      <c r="K343" s="14">
        <v>1</v>
      </c>
      <c r="L343" s="13" t="s">
        <v>1322</v>
      </c>
      <c r="M343" s="13" t="s">
        <v>3133</v>
      </c>
      <c r="N343" s="13" t="s">
        <v>197</v>
      </c>
      <c r="O343" s="14" t="s">
        <v>1925</v>
      </c>
      <c r="P343" s="14" t="s">
        <v>1937</v>
      </c>
      <c r="Q343" s="14" t="s">
        <v>3136</v>
      </c>
      <c r="R343" s="14" t="s">
        <v>1927</v>
      </c>
      <c r="S343" s="14"/>
      <c r="T343" s="14"/>
    </row>
    <row r="344" ht="13.5" customHeight="1" spans="1:20">
      <c r="A344" s="13" t="s">
        <v>3137</v>
      </c>
      <c r="B344" s="13" t="s">
        <v>1335</v>
      </c>
      <c r="C344" s="13" t="s">
        <v>1918</v>
      </c>
      <c r="D344" s="13" t="s">
        <v>2278</v>
      </c>
      <c r="E344" s="13" t="s">
        <v>3129</v>
      </c>
      <c r="F344" s="13" t="s">
        <v>1931</v>
      </c>
      <c r="G344" s="13" t="s">
        <v>1921</v>
      </c>
      <c r="H344" s="13" t="s">
        <v>1947</v>
      </c>
      <c r="I344" s="13" t="s">
        <v>1987</v>
      </c>
      <c r="J344" s="13" t="s">
        <v>3138</v>
      </c>
      <c r="K344" s="14">
        <v>1</v>
      </c>
      <c r="L344" s="13" t="s">
        <v>1335</v>
      </c>
      <c r="M344" s="13" t="s">
        <v>3137</v>
      </c>
      <c r="N344" s="13" t="s">
        <v>197</v>
      </c>
      <c r="O344" s="14" t="s">
        <v>1925</v>
      </c>
      <c r="P344" s="14" t="s">
        <v>1949</v>
      </c>
      <c r="Q344" s="14"/>
      <c r="R344" s="14" t="s">
        <v>1927</v>
      </c>
      <c r="S344" s="14"/>
      <c r="T344" s="14"/>
    </row>
    <row r="345" ht="13.5" customHeight="1" spans="1:20">
      <c r="A345" s="13" t="s">
        <v>3139</v>
      </c>
      <c r="B345" s="13" t="s">
        <v>1336</v>
      </c>
      <c r="C345" s="13" t="s">
        <v>1918</v>
      </c>
      <c r="D345" s="13" t="s">
        <v>2278</v>
      </c>
      <c r="E345" s="13" t="s">
        <v>3129</v>
      </c>
      <c r="F345" s="13" t="s">
        <v>1931</v>
      </c>
      <c r="G345" s="13" t="s">
        <v>1921</v>
      </c>
      <c r="H345" s="13" t="s">
        <v>1947</v>
      </c>
      <c r="I345" s="13" t="s">
        <v>1987</v>
      </c>
      <c r="J345" s="13" t="s">
        <v>3140</v>
      </c>
      <c r="K345" s="14">
        <v>1</v>
      </c>
      <c r="L345" s="13" t="s">
        <v>1336</v>
      </c>
      <c r="M345" s="13" t="s">
        <v>3139</v>
      </c>
      <c r="N345" s="13" t="s">
        <v>197</v>
      </c>
      <c r="O345" s="14" t="s">
        <v>1925</v>
      </c>
      <c r="P345" s="14" t="s">
        <v>1949</v>
      </c>
      <c r="Q345" s="14"/>
      <c r="R345" s="14" t="s">
        <v>1927</v>
      </c>
      <c r="S345" s="14"/>
      <c r="T345" s="14"/>
    </row>
    <row r="346" ht="13.5" customHeight="1" spans="1:20">
      <c r="A346" s="13" t="s">
        <v>3141</v>
      </c>
      <c r="B346" s="13" t="s">
        <v>1337</v>
      </c>
      <c r="C346" s="13" t="s">
        <v>1918</v>
      </c>
      <c r="D346" s="13" t="s">
        <v>2278</v>
      </c>
      <c r="E346" s="13" t="s">
        <v>3129</v>
      </c>
      <c r="F346" s="13" t="s">
        <v>1931</v>
      </c>
      <c r="G346" s="13" t="s">
        <v>1921</v>
      </c>
      <c r="H346" s="13" t="s">
        <v>1947</v>
      </c>
      <c r="I346" s="13" t="s">
        <v>1987</v>
      </c>
      <c r="J346" s="13" t="s">
        <v>3142</v>
      </c>
      <c r="K346" s="14">
        <v>1</v>
      </c>
      <c r="L346" s="13" t="s">
        <v>1337</v>
      </c>
      <c r="M346" s="13" t="s">
        <v>3141</v>
      </c>
      <c r="N346" s="13" t="s">
        <v>197</v>
      </c>
      <c r="O346" s="14" t="s">
        <v>1925</v>
      </c>
      <c r="P346" s="14" t="s">
        <v>1949</v>
      </c>
      <c r="Q346" s="14"/>
      <c r="R346" s="14" t="s">
        <v>1927</v>
      </c>
      <c r="S346" s="14"/>
      <c r="T346" s="14"/>
    </row>
    <row r="347" ht="13.5" customHeight="1" spans="1:20">
      <c r="A347" s="13" t="s">
        <v>3143</v>
      </c>
      <c r="B347" s="13" t="s">
        <v>1338</v>
      </c>
      <c r="C347" s="13" t="s">
        <v>1918</v>
      </c>
      <c r="D347" s="13" t="s">
        <v>2278</v>
      </c>
      <c r="E347" s="13" t="s">
        <v>3129</v>
      </c>
      <c r="F347" s="13" t="s">
        <v>1931</v>
      </c>
      <c r="G347" s="13" t="s">
        <v>1921</v>
      </c>
      <c r="H347" s="13" t="s">
        <v>1947</v>
      </c>
      <c r="I347" s="13" t="s">
        <v>1987</v>
      </c>
      <c r="J347" s="13" t="s">
        <v>3144</v>
      </c>
      <c r="K347" s="14">
        <v>1</v>
      </c>
      <c r="L347" s="13" t="s">
        <v>1338</v>
      </c>
      <c r="M347" s="13" t="s">
        <v>3143</v>
      </c>
      <c r="N347" s="13" t="s">
        <v>197</v>
      </c>
      <c r="O347" s="14" t="s">
        <v>1925</v>
      </c>
      <c r="P347" s="14" t="s">
        <v>1949</v>
      </c>
      <c r="Q347" s="14"/>
      <c r="R347" s="14" t="s">
        <v>1927</v>
      </c>
      <c r="S347" s="14"/>
      <c r="T347" s="14"/>
    </row>
    <row r="348" ht="13.5" customHeight="1" spans="1:20">
      <c r="A348" s="13" t="s">
        <v>3145</v>
      </c>
      <c r="B348" s="13" t="s">
        <v>1354</v>
      </c>
      <c r="C348" s="13" t="s">
        <v>1918</v>
      </c>
      <c r="D348" s="13" t="s">
        <v>259</v>
      </c>
      <c r="E348" s="13" t="s">
        <v>3129</v>
      </c>
      <c r="F348" s="13" t="s">
        <v>1931</v>
      </c>
      <c r="G348" s="13" t="s">
        <v>1946</v>
      </c>
      <c r="H348" s="13" t="s">
        <v>1947</v>
      </c>
      <c r="I348" s="13" t="s">
        <v>1934</v>
      </c>
      <c r="J348" s="13" t="s">
        <v>3146</v>
      </c>
      <c r="K348" s="14">
        <v>1</v>
      </c>
      <c r="L348" s="13" t="s">
        <v>1354</v>
      </c>
      <c r="M348" s="13" t="s">
        <v>3145</v>
      </c>
      <c r="N348" s="13" t="s">
        <v>197</v>
      </c>
      <c r="O348" s="14" t="s">
        <v>1925</v>
      </c>
      <c r="P348" s="14" t="s">
        <v>1949</v>
      </c>
      <c r="Q348" s="14"/>
      <c r="R348" s="14" t="s">
        <v>1939</v>
      </c>
      <c r="S348" s="14"/>
      <c r="T348" s="14"/>
    </row>
    <row r="349" ht="13.5" customHeight="1" spans="1:20">
      <c r="A349" s="13" t="s">
        <v>3147</v>
      </c>
      <c r="B349" s="13" t="s">
        <v>1355</v>
      </c>
      <c r="C349" s="13" t="s">
        <v>1918</v>
      </c>
      <c r="D349" s="13" t="s">
        <v>259</v>
      </c>
      <c r="E349" s="13" t="s">
        <v>3148</v>
      </c>
      <c r="F349" s="13" t="s">
        <v>2143</v>
      </c>
      <c r="G349" s="13" t="s">
        <v>1958</v>
      </c>
      <c r="H349" s="13" t="s">
        <v>3149</v>
      </c>
      <c r="I349" s="13" t="s">
        <v>2139</v>
      </c>
      <c r="J349" s="13" t="s">
        <v>3150</v>
      </c>
      <c r="K349" s="14">
        <v>1</v>
      </c>
      <c r="L349" s="13" t="s">
        <v>1355</v>
      </c>
      <c r="M349" s="13" t="s">
        <v>3147</v>
      </c>
      <c r="N349" s="13" t="s">
        <v>197</v>
      </c>
      <c r="O349" s="14" t="s">
        <v>1969</v>
      </c>
      <c r="P349" s="14" t="s">
        <v>1937</v>
      </c>
      <c r="Q349" s="14" t="s">
        <v>3151</v>
      </c>
      <c r="R349" s="14" t="s">
        <v>1939</v>
      </c>
      <c r="S349" s="14"/>
      <c r="T349" s="14"/>
    </row>
    <row r="350" ht="13.5" customHeight="1" spans="1:20">
      <c r="A350" s="13" t="s">
        <v>3152</v>
      </c>
      <c r="B350" s="13" t="s">
        <v>1358</v>
      </c>
      <c r="C350" s="13" t="s">
        <v>1918</v>
      </c>
      <c r="D350" s="13" t="s">
        <v>259</v>
      </c>
      <c r="E350" s="13" t="s">
        <v>3148</v>
      </c>
      <c r="F350" s="13" t="s">
        <v>1931</v>
      </c>
      <c r="G350" s="13" t="s">
        <v>1921</v>
      </c>
      <c r="H350" s="13" t="s">
        <v>1947</v>
      </c>
      <c r="I350" s="13" t="s">
        <v>1923</v>
      </c>
      <c r="J350" s="13" t="s">
        <v>3153</v>
      </c>
      <c r="K350" s="14">
        <v>1</v>
      </c>
      <c r="L350" s="13" t="s">
        <v>1358</v>
      </c>
      <c r="M350" s="13" t="s">
        <v>3152</v>
      </c>
      <c r="N350" s="13" t="s">
        <v>197</v>
      </c>
      <c r="O350" s="14" t="s">
        <v>1969</v>
      </c>
      <c r="P350" s="14" t="s">
        <v>1949</v>
      </c>
      <c r="Q350" s="14"/>
      <c r="R350" s="14" t="s">
        <v>1927</v>
      </c>
      <c r="S350" s="14"/>
      <c r="T350" s="14"/>
    </row>
    <row r="351" ht="13.5" customHeight="1" spans="1:20">
      <c r="A351" s="13" t="s">
        <v>3154</v>
      </c>
      <c r="B351" s="13" t="s">
        <v>1374</v>
      </c>
      <c r="C351" s="13" t="s">
        <v>1999</v>
      </c>
      <c r="D351" s="13" t="s">
        <v>2291</v>
      </c>
      <c r="E351" s="13" t="s">
        <v>3129</v>
      </c>
      <c r="F351" s="13" t="s">
        <v>1931</v>
      </c>
      <c r="G351" s="13" t="s">
        <v>1941</v>
      </c>
      <c r="H351" s="13" t="s">
        <v>3155</v>
      </c>
      <c r="I351" s="13" t="s">
        <v>1923</v>
      </c>
      <c r="J351" s="13" t="s">
        <v>3156</v>
      </c>
      <c r="K351" s="14">
        <v>1</v>
      </c>
      <c r="L351" s="13" t="s">
        <v>1374</v>
      </c>
      <c r="M351" s="13" t="s">
        <v>3154</v>
      </c>
      <c r="N351" s="13" t="s">
        <v>197</v>
      </c>
      <c r="O351" s="14" t="s">
        <v>1925</v>
      </c>
      <c r="P351" s="14" t="s">
        <v>1937</v>
      </c>
      <c r="Q351" s="14" t="s">
        <v>3157</v>
      </c>
      <c r="R351" s="14" t="s">
        <v>1927</v>
      </c>
      <c r="S351" s="14"/>
      <c r="T351" s="14"/>
    </row>
    <row r="352" ht="13.5" customHeight="1" spans="1:20">
      <c r="A352" s="13" t="s">
        <v>3158</v>
      </c>
      <c r="B352" s="13" t="s">
        <v>1386</v>
      </c>
      <c r="C352" s="13" t="s">
        <v>1999</v>
      </c>
      <c r="D352" s="13" t="s">
        <v>2031</v>
      </c>
      <c r="E352" s="13" t="s">
        <v>3120</v>
      </c>
      <c r="F352" s="13" t="s">
        <v>1931</v>
      </c>
      <c r="G352" s="13" t="s">
        <v>2785</v>
      </c>
      <c r="H352" s="13" t="s">
        <v>1947</v>
      </c>
      <c r="I352" s="13" t="s">
        <v>1987</v>
      </c>
      <c r="J352" s="13" t="s">
        <v>3159</v>
      </c>
      <c r="K352" s="14">
        <v>1</v>
      </c>
      <c r="L352" s="13" t="s">
        <v>1386</v>
      </c>
      <c r="M352" s="13" t="s">
        <v>3158</v>
      </c>
      <c r="N352" s="13" t="s">
        <v>197</v>
      </c>
      <c r="O352" s="14" t="s">
        <v>1996</v>
      </c>
      <c r="P352" s="14" t="s">
        <v>1949</v>
      </c>
      <c r="Q352" s="14"/>
      <c r="R352" s="14" t="s">
        <v>1927</v>
      </c>
      <c r="S352" s="14"/>
      <c r="T352" s="14"/>
    </row>
    <row r="353" ht="13.5" customHeight="1" spans="1:20">
      <c r="A353" s="13" t="s">
        <v>3160</v>
      </c>
      <c r="B353" s="13" t="s">
        <v>1388</v>
      </c>
      <c r="C353" s="13" t="s">
        <v>1999</v>
      </c>
      <c r="D353" s="13" t="s">
        <v>2031</v>
      </c>
      <c r="E353" s="13" t="s">
        <v>3123</v>
      </c>
      <c r="F353" s="13" t="s">
        <v>1931</v>
      </c>
      <c r="G353" s="13" t="s">
        <v>2234</v>
      </c>
      <c r="H353" s="13" t="s">
        <v>3161</v>
      </c>
      <c r="I353" s="13" t="s">
        <v>1934</v>
      </c>
      <c r="J353" s="13" t="s">
        <v>3162</v>
      </c>
      <c r="K353" s="14">
        <v>1</v>
      </c>
      <c r="L353" s="13" t="s">
        <v>1388</v>
      </c>
      <c r="M353" s="13" t="s">
        <v>3160</v>
      </c>
      <c r="N353" s="13" t="s">
        <v>197</v>
      </c>
      <c r="O353" s="14" t="s">
        <v>1974</v>
      </c>
      <c r="P353" s="14" t="s">
        <v>1937</v>
      </c>
      <c r="Q353" s="14" t="s">
        <v>3163</v>
      </c>
      <c r="R353" s="14" t="s">
        <v>1939</v>
      </c>
      <c r="S353" s="14"/>
      <c r="T353" s="14"/>
    </row>
    <row r="354" ht="13.5" customHeight="1" spans="1:20">
      <c r="A354" s="13" t="s">
        <v>3164</v>
      </c>
      <c r="B354" s="13" t="s">
        <v>1404</v>
      </c>
      <c r="C354" s="13" t="s">
        <v>1999</v>
      </c>
      <c r="D354" s="13" t="s">
        <v>1929</v>
      </c>
      <c r="E354" s="13" t="s">
        <v>3165</v>
      </c>
      <c r="F354" s="13" t="s">
        <v>1931</v>
      </c>
      <c r="G354" s="13" t="s">
        <v>2234</v>
      </c>
      <c r="H354" s="13" t="s">
        <v>3166</v>
      </c>
      <c r="I354" s="13" t="s">
        <v>1934</v>
      </c>
      <c r="J354" s="13" t="s">
        <v>3167</v>
      </c>
      <c r="K354" s="14">
        <v>1</v>
      </c>
      <c r="L354" s="13" t="s">
        <v>1404</v>
      </c>
      <c r="M354" s="13" t="s">
        <v>3164</v>
      </c>
      <c r="N354" s="13" t="s">
        <v>197</v>
      </c>
      <c r="O354" s="14" t="s">
        <v>1936</v>
      </c>
      <c r="P354" s="14" t="s">
        <v>1937</v>
      </c>
      <c r="Q354" s="14" t="s">
        <v>3168</v>
      </c>
      <c r="R354" s="14" t="s">
        <v>1939</v>
      </c>
      <c r="S354" s="14"/>
      <c r="T354" s="14"/>
    </row>
    <row r="355" ht="13.5" customHeight="1" spans="1:20">
      <c r="A355" s="13" t="s">
        <v>3169</v>
      </c>
      <c r="B355" s="13" t="s">
        <v>1410</v>
      </c>
      <c r="C355" s="13" t="s">
        <v>1999</v>
      </c>
      <c r="D355" s="13" t="s">
        <v>1929</v>
      </c>
      <c r="E355" s="13" t="s">
        <v>3129</v>
      </c>
      <c r="F355" s="13" t="s">
        <v>1931</v>
      </c>
      <c r="G355" s="13" t="s">
        <v>1941</v>
      </c>
      <c r="H355" s="13" t="s">
        <v>3170</v>
      </c>
      <c r="I355" s="13" t="s">
        <v>1934</v>
      </c>
      <c r="J355" s="13" t="s">
        <v>3171</v>
      </c>
      <c r="K355" s="14">
        <v>1</v>
      </c>
      <c r="L355" s="13" t="s">
        <v>1410</v>
      </c>
      <c r="M355" s="13" t="s">
        <v>3169</v>
      </c>
      <c r="N355" s="13" t="s">
        <v>197</v>
      </c>
      <c r="O355" s="14" t="s">
        <v>1925</v>
      </c>
      <c r="P355" s="14" t="s">
        <v>1937</v>
      </c>
      <c r="Q355" s="14" t="s">
        <v>3172</v>
      </c>
      <c r="R355" s="14" t="s">
        <v>1939</v>
      </c>
      <c r="S355" s="14"/>
      <c r="T355" s="14"/>
    </row>
    <row r="356" ht="13.5" customHeight="1" spans="1:20">
      <c r="A356" s="13" t="s">
        <v>3173</v>
      </c>
      <c r="B356" s="13" t="s">
        <v>1415</v>
      </c>
      <c r="C356" s="13" t="s">
        <v>1999</v>
      </c>
      <c r="D356" s="13" t="s">
        <v>1929</v>
      </c>
      <c r="E356" s="13" t="s">
        <v>3148</v>
      </c>
      <c r="F356" s="13" t="s">
        <v>1931</v>
      </c>
      <c r="G356" s="13" t="s">
        <v>2018</v>
      </c>
      <c r="H356" s="13" t="s">
        <v>3174</v>
      </c>
      <c r="I356" s="13" t="s">
        <v>2010</v>
      </c>
      <c r="J356" s="13" t="s">
        <v>3175</v>
      </c>
      <c r="K356" s="14">
        <v>1</v>
      </c>
      <c r="L356" s="13" t="s">
        <v>1415</v>
      </c>
      <c r="M356" s="13" t="s">
        <v>3173</v>
      </c>
      <c r="N356" s="13" t="s">
        <v>197</v>
      </c>
      <c r="O356" s="14" t="s">
        <v>1969</v>
      </c>
      <c r="P356" s="14" t="s">
        <v>1937</v>
      </c>
      <c r="Q356" s="14" t="s">
        <v>3176</v>
      </c>
      <c r="R356" s="14" t="s">
        <v>1927</v>
      </c>
      <c r="S356" s="14"/>
      <c r="T356" s="14"/>
    </row>
    <row r="357" ht="13.5" customHeight="1" spans="1:20">
      <c r="A357" s="13" t="s">
        <v>3177</v>
      </c>
      <c r="B357" s="13" t="s">
        <v>1447</v>
      </c>
      <c r="C357" s="13" t="s">
        <v>1999</v>
      </c>
      <c r="D357" s="13" t="s">
        <v>2082</v>
      </c>
      <c r="E357" s="13" t="s">
        <v>3123</v>
      </c>
      <c r="F357" s="13" t="s">
        <v>1931</v>
      </c>
      <c r="G357" s="13" t="s">
        <v>1921</v>
      </c>
      <c r="H357" s="13" t="s">
        <v>1947</v>
      </c>
      <c r="I357" s="13" t="s">
        <v>1923</v>
      </c>
      <c r="J357" s="13" t="s">
        <v>3178</v>
      </c>
      <c r="K357" s="14">
        <v>1</v>
      </c>
      <c r="L357" s="13" t="s">
        <v>1447</v>
      </c>
      <c r="M357" s="13" t="s">
        <v>3177</v>
      </c>
      <c r="N357" s="13" t="s">
        <v>197</v>
      </c>
      <c r="O357" s="14" t="s">
        <v>1974</v>
      </c>
      <c r="P357" s="14" t="s">
        <v>1949</v>
      </c>
      <c r="Q357" s="14"/>
      <c r="R357" s="14" t="s">
        <v>1927</v>
      </c>
      <c r="S357" s="14"/>
      <c r="T357" s="14"/>
    </row>
    <row r="358" ht="13.5" customHeight="1" spans="1:20">
      <c r="A358" s="13" t="s">
        <v>3179</v>
      </c>
      <c r="B358" s="13" t="s">
        <v>1455</v>
      </c>
      <c r="C358" s="13" t="s">
        <v>1999</v>
      </c>
      <c r="D358" s="13" t="s">
        <v>2082</v>
      </c>
      <c r="E358" s="13" t="s">
        <v>3180</v>
      </c>
      <c r="F358" s="13" t="s">
        <v>1931</v>
      </c>
      <c r="G358" s="13" t="s">
        <v>1941</v>
      </c>
      <c r="H358" s="13" t="s">
        <v>3181</v>
      </c>
      <c r="I358" s="13" t="s">
        <v>2139</v>
      </c>
      <c r="J358" s="13" t="s">
        <v>3182</v>
      </c>
      <c r="K358" s="14">
        <v>1</v>
      </c>
      <c r="L358" s="13" t="s">
        <v>1455</v>
      </c>
      <c r="M358" s="13" t="s">
        <v>3179</v>
      </c>
      <c r="N358" s="13" t="s">
        <v>197</v>
      </c>
      <c r="O358" s="14" t="s">
        <v>2028</v>
      </c>
      <c r="P358" s="14" t="s">
        <v>2095</v>
      </c>
      <c r="Q358" s="14" t="s">
        <v>3183</v>
      </c>
      <c r="R358" s="14" t="s">
        <v>1939</v>
      </c>
      <c r="S358" s="14"/>
      <c r="T358" s="14"/>
    </row>
    <row r="359" ht="13.5" customHeight="1" spans="1:20">
      <c r="A359" s="13" t="s">
        <v>3184</v>
      </c>
      <c r="B359" s="13" t="s">
        <v>1483</v>
      </c>
      <c r="C359" s="13" t="s">
        <v>1999</v>
      </c>
      <c r="D359" s="13" t="s">
        <v>2628</v>
      </c>
      <c r="E359" s="13" t="s">
        <v>3185</v>
      </c>
      <c r="F359" s="13" t="s">
        <v>1931</v>
      </c>
      <c r="G359" s="13" t="s">
        <v>2056</v>
      </c>
      <c r="H359" s="13" t="s">
        <v>3186</v>
      </c>
      <c r="I359" s="13" t="s">
        <v>1957</v>
      </c>
      <c r="J359" s="13" t="s">
        <v>3187</v>
      </c>
      <c r="K359" s="14">
        <v>1</v>
      </c>
      <c r="L359" s="13" t="s">
        <v>1483</v>
      </c>
      <c r="M359" s="13" t="s">
        <v>3184</v>
      </c>
      <c r="N359" s="13" t="s">
        <v>197</v>
      </c>
      <c r="O359" s="14" t="s">
        <v>1989</v>
      </c>
      <c r="P359" s="14" t="s">
        <v>1937</v>
      </c>
      <c r="Q359" s="14" t="s">
        <v>3188</v>
      </c>
      <c r="R359" s="14" t="s">
        <v>1939</v>
      </c>
      <c r="S359" s="14"/>
      <c r="T359" s="14"/>
    </row>
    <row r="360" ht="13.5" customHeight="1" spans="1:20">
      <c r="A360" s="13" t="s">
        <v>3189</v>
      </c>
      <c r="B360" s="13" t="s">
        <v>1508</v>
      </c>
      <c r="C360" s="13" t="s">
        <v>1999</v>
      </c>
      <c r="D360" s="13" t="s">
        <v>2115</v>
      </c>
      <c r="E360" s="13" t="s">
        <v>3185</v>
      </c>
      <c r="F360" s="13" t="s">
        <v>1977</v>
      </c>
      <c r="G360" s="13" t="s">
        <v>1921</v>
      </c>
      <c r="H360" s="13" t="s">
        <v>3190</v>
      </c>
      <c r="I360" s="13" t="s">
        <v>3191</v>
      </c>
      <c r="J360" s="13" t="s">
        <v>3192</v>
      </c>
      <c r="K360" s="14">
        <v>1</v>
      </c>
      <c r="L360" s="13" t="s">
        <v>1508</v>
      </c>
      <c r="M360" s="13" t="s">
        <v>3189</v>
      </c>
      <c r="N360" s="13" t="s">
        <v>197</v>
      </c>
      <c r="O360" s="14" t="s">
        <v>1989</v>
      </c>
      <c r="P360" s="14" t="s">
        <v>1937</v>
      </c>
      <c r="Q360" s="14" t="s">
        <v>3193</v>
      </c>
      <c r="R360" s="14" t="s">
        <v>1927</v>
      </c>
      <c r="S360" s="14"/>
      <c r="T360" s="14"/>
    </row>
    <row r="361" ht="13.5" customHeight="1" spans="1:20">
      <c r="A361" s="13" t="s">
        <v>3194</v>
      </c>
      <c r="B361" s="13" t="s">
        <v>1517</v>
      </c>
      <c r="C361" s="13" t="s">
        <v>1999</v>
      </c>
      <c r="D361" s="13" t="s">
        <v>2123</v>
      </c>
      <c r="E361" s="13" t="s">
        <v>3148</v>
      </c>
      <c r="F361" s="13" t="s">
        <v>2143</v>
      </c>
      <c r="G361" s="13" t="s">
        <v>2056</v>
      </c>
      <c r="H361" s="13" t="s">
        <v>3195</v>
      </c>
      <c r="I361" s="13" t="s">
        <v>2139</v>
      </c>
      <c r="J361" s="13" t="s">
        <v>3196</v>
      </c>
      <c r="K361" s="14">
        <v>1</v>
      </c>
      <c r="L361" s="13" t="s">
        <v>1517</v>
      </c>
      <c r="M361" s="13" t="s">
        <v>3194</v>
      </c>
      <c r="N361" s="13" t="s">
        <v>197</v>
      </c>
      <c r="O361" s="14" t="s">
        <v>1969</v>
      </c>
      <c r="P361" s="14" t="s">
        <v>1937</v>
      </c>
      <c r="Q361" s="14" t="s">
        <v>3197</v>
      </c>
      <c r="R361" s="14" t="s">
        <v>1939</v>
      </c>
      <c r="S361" s="14"/>
      <c r="T361" s="14"/>
    </row>
    <row r="362" ht="13.5" customHeight="1" spans="1:20">
      <c r="A362" s="13" t="s">
        <v>3198</v>
      </c>
      <c r="B362" s="13" t="s">
        <v>1526</v>
      </c>
      <c r="C362" s="13" t="s">
        <v>1999</v>
      </c>
      <c r="D362" s="13" t="s">
        <v>2123</v>
      </c>
      <c r="E362" s="13" t="s">
        <v>3180</v>
      </c>
      <c r="F362" s="13" t="s">
        <v>1931</v>
      </c>
      <c r="G362" s="13" t="s">
        <v>1932</v>
      </c>
      <c r="H362" s="13" t="s">
        <v>1922</v>
      </c>
      <c r="I362" s="13" t="s">
        <v>1923</v>
      </c>
      <c r="J362" s="13" t="s">
        <v>3199</v>
      </c>
      <c r="K362" s="14">
        <v>1</v>
      </c>
      <c r="L362" s="13" t="s">
        <v>1526</v>
      </c>
      <c r="M362" s="13" t="s">
        <v>3198</v>
      </c>
      <c r="N362" s="13" t="s">
        <v>197</v>
      </c>
      <c r="O362" s="14" t="s">
        <v>2028</v>
      </c>
      <c r="P362" s="14" t="s">
        <v>1926</v>
      </c>
      <c r="Q362" s="14"/>
      <c r="R362" s="14" t="s">
        <v>1927</v>
      </c>
      <c r="S362" s="14"/>
      <c r="T362" s="14"/>
    </row>
    <row r="363" ht="13.5" customHeight="1" spans="1:20">
      <c r="A363" s="13" t="s">
        <v>3200</v>
      </c>
      <c r="B363" s="13" t="s">
        <v>1527</v>
      </c>
      <c r="C363" s="13" t="s">
        <v>1999</v>
      </c>
      <c r="D363" s="13" t="s">
        <v>2123</v>
      </c>
      <c r="E363" s="13" t="s">
        <v>3117</v>
      </c>
      <c r="F363" s="13" t="s">
        <v>1931</v>
      </c>
      <c r="G363" s="13" t="s">
        <v>1946</v>
      </c>
      <c r="H363" s="13" t="s">
        <v>3201</v>
      </c>
      <c r="I363" s="13" t="s">
        <v>3202</v>
      </c>
      <c r="J363" s="13" t="s">
        <v>3203</v>
      </c>
      <c r="K363" s="14">
        <v>1</v>
      </c>
      <c r="L363" s="13" t="s">
        <v>1527</v>
      </c>
      <c r="M363" s="13" t="s">
        <v>3200</v>
      </c>
      <c r="N363" s="13" t="s">
        <v>197</v>
      </c>
      <c r="O363" s="14" t="s">
        <v>2049</v>
      </c>
      <c r="P363" s="14" t="s">
        <v>1937</v>
      </c>
      <c r="Q363" s="14" t="s">
        <v>3204</v>
      </c>
      <c r="R363" s="14" t="s">
        <v>1939</v>
      </c>
      <c r="S363" s="14"/>
      <c r="T363" s="14"/>
    </row>
    <row r="364" ht="13.5" customHeight="1" spans="1:20">
      <c r="A364" s="13" t="s">
        <v>3205</v>
      </c>
      <c r="B364" s="13" t="s">
        <v>1571</v>
      </c>
      <c r="C364" s="13" t="s">
        <v>1999</v>
      </c>
      <c r="D364" s="13" t="s">
        <v>3206</v>
      </c>
      <c r="E364" s="13" t="s">
        <v>3123</v>
      </c>
      <c r="F364" s="13" t="s">
        <v>1977</v>
      </c>
      <c r="G364" s="13" t="s">
        <v>1952</v>
      </c>
      <c r="H364" s="13" t="s">
        <v>3207</v>
      </c>
      <c r="I364" s="13" t="s">
        <v>1934</v>
      </c>
      <c r="J364" s="13" t="s">
        <v>3208</v>
      </c>
      <c r="K364" s="14">
        <v>1</v>
      </c>
      <c r="L364" s="13" t="s">
        <v>1571</v>
      </c>
      <c r="M364" s="13" t="s">
        <v>3205</v>
      </c>
      <c r="N364" s="13" t="s">
        <v>197</v>
      </c>
      <c r="O364" s="14" t="s">
        <v>1974</v>
      </c>
      <c r="P364" s="14" t="s">
        <v>1937</v>
      </c>
      <c r="Q364" s="14" t="s">
        <v>3209</v>
      </c>
      <c r="R364" s="14" t="s">
        <v>1939</v>
      </c>
      <c r="S364" s="14"/>
      <c r="T364" s="14"/>
    </row>
    <row r="365" ht="13.5" customHeight="1" spans="1:20">
      <c r="A365" s="13" t="s">
        <v>3210</v>
      </c>
      <c r="B365" s="13" t="s">
        <v>1607</v>
      </c>
      <c r="C365" s="13" t="s">
        <v>1999</v>
      </c>
      <c r="D365" s="13" t="s">
        <v>2195</v>
      </c>
      <c r="E365" s="13" t="s">
        <v>3165</v>
      </c>
      <c r="F365" s="13" t="s">
        <v>1931</v>
      </c>
      <c r="G365" s="13" t="s">
        <v>1941</v>
      </c>
      <c r="H365" s="13" t="s">
        <v>1947</v>
      </c>
      <c r="I365" s="13" t="s">
        <v>1934</v>
      </c>
      <c r="J365" s="13" t="s">
        <v>3211</v>
      </c>
      <c r="K365" s="14">
        <v>1</v>
      </c>
      <c r="L365" s="13" t="s">
        <v>1607</v>
      </c>
      <c r="M365" s="13" t="s">
        <v>3210</v>
      </c>
      <c r="N365" s="13" t="s">
        <v>197</v>
      </c>
      <c r="O365" s="14" t="s">
        <v>1936</v>
      </c>
      <c r="P365" s="14" t="s">
        <v>1949</v>
      </c>
      <c r="Q365" s="14"/>
      <c r="R365" s="14" t="s">
        <v>1939</v>
      </c>
      <c r="S365" s="14"/>
      <c r="T365" s="14"/>
    </row>
    <row r="366" ht="13.5" customHeight="1" spans="1:20">
      <c r="A366" s="13" t="s">
        <v>3212</v>
      </c>
      <c r="B366" s="13" t="s">
        <v>1608</v>
      </c>
      <c r="C366" s="13" t="s">
        <v>1999</v>
      </c>
      <c r="D366" s="13" t="s">
        <v>2195</v>
      </c>
      <c r="E366" s="13" t="s">
        <v>3120</v>
      </c>
      <c r="F366" s="13" t="s">
        <v>2143</v>
      </c>
      <c r="G366" s="13" t="s">
        <v>1932</v>
      </c>
      <c r="H366" s="13" t="s">
        <v>3213</v>
      </c>
      <c r="I366" s="13" t="s">
        <v>1934</v>
      </c>
      <c r="J366" s="13" t="s">
        <v>3214</v>
      </c>
      <c r="K366" s="14">
        <v>1</v>
      </c>
      <c r="L366" s="13" t="s">
        <v>1608</v>
      </c>
      <c r="M366" s="13" t="s">
        <v>3212</v>
      </c>
      <c r="N366" s="13" t="s">
        <v>197</v>
      </c>
      <c r="O366" s="14" t="s">
        <v>1996</v>
      </c>
      <c r="P366" s="14" t="s">
        <v>1937</v>
      </c>
      <c r="Q366" s="14" t="s">
        <v>3215</v>
      </c>
      <c r="R366" s="14" t="s">
        <v>1939</v>
      </c>
      <c r="S366" s="14"/>
      <c r="T366" s="14"/>
    </row>
    <row r="367" ht="13.5" customHeight="1" spans="1:20">
      <c r="A367" s="13" t="s">
        <v>3216</v>
      </c>
      <c r="B367" s="13" t="s">
        <v>1614</v>
      </c>
      <c r="C367" s="13" t="s">
        <v>1999</v>
      </c>
      <c r="D367" s="13" t="s">
        <v>230</v>
      </c>
      <c r="E367" s="13" t="s">
        <v>3165</v>
      </c>
      <c r="F367" s="13" t="s">
        <v>1931</v>
      </c>
      <c r="G367" s="13" t="s">
        <v>2009</v>
      </c>
      <c r="H367" s="13" t="s">
        <v>2039</v>
      </c>
      <c r="I367" s="13" t="s">
        <v>1987</v>
      </c>
      <c r="J367" s="13" t="s">
        <v>3217</v>
      </c>
      <c r="K367" s="14">
        <v>1</v>
      </c>
      <c r="L367" s="13" t="s">
        <v>1614</v>
      </c>
      <c r="M367" s="13" t="s">
        <v>3216</v>
      </c>
      <c r="N367" s="13" t="s">
        <v>197</v>
      </c>
      <c r="O367" s="14" t="s">
        <v>1936</v>
      </c>
      <c r="P367" s="14" t="s">
        <v>1949</v>
      </c>
      <c r="Q367" s="14"/>
      <c r="R367" s="14" t="s">
        <v>1927</v>
      </c>
      <c r="S367" s="14"/>
      <c r="T367" s="14"/>
    </row>
    <row r="368" ht="13.5" customHeight="1" spans="1:20">
      <c r="A368" s="13" t="s">
        <v>3218</v>
      </c>
      <c r="B368" s="13" t="s">
        <v>1620</v>
      </c>
      <c r="C368" s="13" t="s">
        <v>1999</v>
      </c>
      <c r="D368" s="13" t="s">
        <v>230</v>
      </c>
      <c r="E368" s="13" t="s">
        <v>3219</v>
      </c>
      <c r="F368" s="13" t="s">
        <v>2143</v>
      </c>
      <c r="G368" s="13" t="s">
        <v>2056</v>
      </c>
      <c r="H368" s="13" t="s">
        <v>3220</v>
      </c>
      <c r="I368" s="13" t="s">
        <v>3221</v>
      </c>
      <c r="J368" s="13" t="s">
        <v>3222</v>
      </c>
      <c r="K368" s="14">
        <v>1</v>
      </c>
      <c r="L368" s="13" t="s">
        <v>1620</v>
      </c>
      <c r="M368" s="13" t="s">
        <v>3218</v>
      </c>
      <c r="N368" s="13" t="s">
        <v>197</v>
      </c>
      <c r="O368" s="14" t="s">
        <v>1961</v>
      </c>
      <c r="P368" s="14" t="s">
        <v>1937</v>
      </c>
      <c r="Q368" s="14" t="s">
        <v>3223</v>
      </c>
      <c r="R368" s="14" t="s">
        <v>1939</v>
      </c>
      <c r="S368" s="14"/>
      <c r="T368" s="14"/>
    </row>
    <row r="369" ht="13.5" customHeight="1" spans="1:20">
      <c r="A369" s="13" t="s">
        <v>3224</v>
      </c>
      <c r="B369" s="13" t="s">
        <v>1624</v>
      </c>
      <c r="C369" s="13" t="s">
        <v>1999</v>
      </c>
      <c r="D369" s="13" t="s">
        <v>230</v>
      </c>
      <c r="E369" s="13" t="s">
        <v>3123</v>
      </c>
      <c r="F369" s="13" t="s">
        <v>1931</v>
      </c>
      <c r="G369" s="13" t="s">
        <v>1941</v>
      </c>
      <c r="H369" s="13" t="s">
        <v>1947</v>
      </c>
      <c r="I369" s="13" t="s">
        <v>1934</v>
      </c>
      <c r="J369" s="13" t="s">
        <v>3225</v>
      </c>
      <c r="K369" s="14">
        <v>1</v>
      </c>
      <c r="L369" s="13" t="s">
        <v>1624</v>
      </c>
      <c r="M369" s="13" t="s">
        <v>3224</v>
      </c>
      <c r="N369" s="13" t="s">
        <v>197</v>
      </c>
      <c r="O369" s="14" t="s">
        <v>1974</v>
      </c>
      <c r="P369" s="14" t="s">
        <v>1949</v>
      </c>
      <c r="Q369" s="14"/>
      <c r="R369" s="14" t="s">
        <v>1939</v>
      </c>
      <c r="S369" s="14"/>
      <c r="T369" s="14"/>
    </row>
    <row r="370" ht="13.5" customHeight="1" spans="1:20">
      <c r="A370" s="13" t="s">
        <v>3226</v>
      </c>
      <c r="B370" s="13" t="s">
        <v>1629</v>
      </c>
      <c r="C370" s="13" t="s">
        <v>1999</v>
      </c>
      <c r="D370" s="13" t="s">
        <v>230</v>
      </c>
      <c r="E370" s="13" t="s">
        <v>3120</v>
      </c>
      <c r="F370" s="13" t="s">
        <v>2143</v>
      </c>
      <c r="G370" s="13" t="s">
        <v>1941</v>
      </c>
      <c r="H370" s="13" t="s">
        <v>1947</v>
      </c>
      <c r="I370" s="13" t="s">
        <v>1934</v>
      </c>
      <c r="J370" s="13" t="s">
        <v>3227</v>
      </c>
      <c r="K370" s="14">
        <v>1</v>
      </c>
      <c r="L370" s="13" t="s">
        <v>1629</v>
      </c>
      <c r="M370" s="13" t="s">
        <v>3226</v>
      </c>
      <c r="N370" s="13" t="s">
        <v>197</v>
      </c>
      <c r="O370" s="14" t="s">
        <v>1996</v>
      </c>
      <c r="P370" s="14" t="s">
        <v>1949</v>
      </c>
      <c r="Q370" s="14"/>
      <c r="R370" s="14" t="s">
        <v>1939</v>
      </c>
      <c r="S370" s="14"/>
      <c r="T370" s="14"/>
    </row>
    <row r="371" ht="13.5" customHeight="1" spans="1:20">
      <c r="A371" s="13" t="s">
        <v>3228</v>
      </c>
      <c r="B371" s="13" t="s">
        <v>1638</v>
      </c>
      <c r="C371" s="13" t="s">
        <v>1999</v>
      </c>
      <c r="D371" s="13" t="s">
        <v>230</v>
      </c>
      <c r="E371" s="13" t="s">
        <v>3120</v>
      </c>
      <c r="F371" s="13" t="s">
        <v>1931</v>
      </c>
      <c r="G371" s="13" t="s">
        <v>2286</v>
      </c>
      <c r="H371" s="13" t="s">
        <v>1922</v>
      </c>
      <c r="I371" s="13" t="s">
        <v>1934</v>
      </c>
      <c r="J371" s="13" t="s">
        <v>3229</v>
      </c>
      <c r="K371" s="14">
        <v>1</v>
      </c>
      <c r="L371" s="13" t="s">
        <v>1638</v>
      </c>
      <c r="M371" s="13" t="s">
        <v>3228</v>
      </c>
      <c r="N371" s="13" t="s">
        <v>197</v>
      </c>
      <c r="O371" s="14" t="s">
        <v>1996</v>
      </c>
      <c r="P371" s="14" t="s">
        <v>1926</v>
      </c>
      <c r="Q371" s="14"/>
      <c r="R371" s="14" t="s">
        <v>1939</v>
      </c>
      <c r="S371" s="14"/>
      <c r="T371" s="14"/>
    </row>
    <row r="372" ht="13.5" customHeight="1" spans="1:20">
      <c r="A372" s="13" t="s">
        <v>3230</v>
      </c>
      <c r="B372" s="13" t="s">
        <v>1643</v>
      </c>
      <c r="C372" s="13" t="s">
        <v>1999</v>
      </c>
      <c r="D372" s="13" t="s">
        <v>311</v>
      </c>
      <c r="E372" s="13" t="s">
        <v>3165</v>
      </c>
      <c r="F372" s="13" t="s">
        <v>2143</v>
      </c>
      <c r="G372" s="13" t="s">
        <v>1921</v>
      </c>
      <c r="H372" s="13" t="s">
        <v>3231</v>
      </c>
      <c r="I372" s="13" t="s">
        <v>2071</v>
      </c>
      <c r="J372" s="13" t="s">
        <v>3232</v>
      </c>
      <c r="K372" s="14">
        <v>1</v>
      </c>
      <c r="L372" s="13" t="s">
        <v>1643</v>
      </c>
      <c r="M372" s="13" t="s">
        <v>3230</v>
      </c>
      <c r="N372" s="13" t="s">
        <v>197</v>
      </c>
      <c r="O372" s="14" t="s">
        <v>1936</v>
      </c>
      <c r="P372" s="14" t="s">
        <v>1937</v>
      </c>
      <c r="Q372" s="14" t="s">
        <v>3233</v>
      </c>
      <c r="R372" s="14" t="s">
        <v>1939</v>
      </c>
      <c r="S372" s="14"/>
      <c r="T372" s="14"/>
    </row>
    <row r="373" ht="13.5" customHeight="1" spans="1:20">
      <c r="A373" s="13" t="s">
        <v>3234</v>
      </c>
      <c r="B373" s="13" t="s">
        <v>1644</v>
      </c>
      <c r="C373" s="13" t="s">
        <v>1999</v>
      </c>
      <c r="D373" s="13" t="s">
        <v>311</v>
      </c>
      <c r="E373" s="13" t="s">
        <v>3235</v>
      </c>
      <c r="F373" s="13" t="s">
        <v>1977</v>
      </c>
      <c r="G373" s="13" t="s">
        <v>2056</v>
      </c>
      <c r="H373" s="13" t="s">
        <v>3236</v>
      </c>
      <c r="I373" s="13" t="s">
        <v>2424</v>
      </c>
      <c r="J373" s="13" t="s">
        <v>3237</v>
      </c>
      <c r="K373" s="14">
        <v>1</v>
      </c>
      <c r="L373" s="13" t="s">
        <v>1644</v>
      </c>
      <c r="M373" s="13" t="s">
        <v>3234</v>
      </c>
      <c r="N373" s="13" t="s">
        <v>197</v>
      </c>
      <c r="O373" s="14" t="s">
        <v>2079</v>
      </c>
      <c r="P373" s="14" t="s">
        <v>1937</v>
      </c>
      <c r="Q373" s="14" t="s">
        <v>3238</v>
      </c>
      <c r="R373" s="14" t="s">
        <v>1939</v>
      </c>
      <c r="S373" s="14"/>
      <c r="T373" s="14"/>
    </row>
    <row r="374" ht="13.5" customHeight="1" spans="1:20">
      <c r="A374" s="13" t="s">
        <v>3239</v>
      </c>
      <c r="B374" s="13" t="s">
        <v>1652</v>
      </c>
      <c r="C374" s="13" t="s">
        <v>1999</v>
      </c>
      <c r="D374" s="13" t="s">
        <v>311</v>
      </c>
      <c r="E374" s="13" t="s">
        <v>3123</v>
      </c>
      <c r="F374" s="13" t="s">
        <v>1977</v>
      </c>
      <c r="G374" s="13" t="s">
        <v>1921</v>
      </c>
      <c r="H374" s="13" t="s">
        <v>3240</v>
      </c>
      <c r="I374" s="13" t="s">
        <v>2424</v>
      </c>
      <c r="J374" s="13" t="s">
        <v>3241</v>
      </c>
      <c r="K374" s="14">
        <v>1</v>
      </c>
      <c r="L374" s="13" t="s">
        <v>1652</v>
      </c>
      <c r="M374" s="13" t="s">
        <v>3239</v>
      </c>
      <c r="N374" s="13" t="s">
        <v>197</v>
      </c>
      <c r="O374" s="14" t="s">
        <v>1974</v>
      </c>
      <c r="P374" s="14" t="s">
        <v>1937</v>
      </c>
      <c r="Q374" s="14" t="s">
        <v>3242</v>
      </c>
      <c r="R374" s="14" t="s">
        <v>1939</v>
      </c>
      <c r="S374" s="14"/>
      <c r="T374" s="14"/>
    </row>
    <row r="375" ht="13.5" customHeight="1" spans="1:20">
      <c r="A375" s="13" t="s">
        <v>3243</v>
      </c>
      <c r="B375" s="13" t="s">
        <v>1658</v>
      </c>
      <c r="C375" s="13" t="s">
        <v>1999</v>
      </c>
      <c r="D375" s="13" t="s">
        <v>311</v>
      </c>
      <c r="E375" s="13" t="s">
        <v>3165</v>
      </c>
      <c r="F375" s="13" t="s">
        <v>1931</v>
      </c>
      <c r="G375" s="13" t="s">
        <v>2279</v>
      </c>
      <c r="H375" s="13" t="s">
        <v>3244</v>
      </c>
      <c r="I375" s="13" t="s">
        <v>1934</v>
      </c>
      <c r="J375" s="13" t="s">
        <v>3245</v>
      </c>
      <c r="K375" s="14">
        <v>1</v>
      </c>
      <c r="L375" s="13" t="s">
        <v>1658</v>
      </c>
      <c r="M375" s="13" t="s">
        <v>3243</v>
      </c>
      <c r="N375" s="13" t="s">
        <v>197</v>
      </c>
      <c r="O375" s="14" t="s">
        <v>1936</v>
      </c>
      <c r="P375" s="14" t="s">
        <v>1937</v>
      </c>
      <c r="Q375" s="14" t="s">
        <v>3246</v>
      </c>
      <c r="R375" s="14" t="s">
        <v>1939</v>
      </c>
      <c r="S375" s="14"/>
      <c r="T375" s="14"/>
    </row>
    <row r="376" ht="13.5" customHeight="1" spans="1:20">
      <c r="A376" s="13" t="s">
        <v>3247</v>
      </c>
      <c r="B376" s="13" t="s">
        <v>1671</v>
      </c>
      <c r="C376" s="13" t="s">
        <v>1999</v>
      </c>
      <c r="D376" s="13" t="s">
        <v>311</v>
      </c>
      <c r="E376" s="13" t="s">
        <v>3165</v>
      </c>
      <c r="F376" s="13" t="s">
        <v>1931</v>
      </c>
      <c r="G376" s="13" t="s">
        <v>1946</v>
      </c>
      <c r="H376" s="13" t="s">
        <v>3248</v>
      </c>
      <c r="I376" s="13" t="s">
        <v>1987</v>
      </c>
      <c r="J376" s="13" t="s">
        <v>3249</v>
      </c>
      <c r="K376" s="14">
        <v>1</v>
      </c>
      <c r="L376" s="13" t="s">
        <v>1671</v>
      </c>
      <c r="M376" s="13" t="s">
        <v>3247</v>
      </c>
      <c r="N376" s="13" t="s">
        <v>197</v>
      </c>
      <c r="O376" s="14" t="s">
        <v>1936</v>
      </c>
      <c r="P376" s="14" t="s">
        <v>1937</v>
      </c>
      <c r="Q376" s="14" t="s">
        <v>3250</v>
      </c>
      <c r="R376" s="14" t="s">
        <v>1927</v>
      </c>
      <c r="S376" s="14"/>
      <c r="T376" s="14"/>
    </row>
    <row r="377" ht="13.5" customHeight="1" spans="1:20">
      <c r="A377" s="13" t="s">
        <v>3251</v>
      </c>
      <c r="B377" s="13" t="s">
        <v>1690</v>
      </c>
      <c r="C377" s="13" t="s">
        <v>1999</v>
      </c>
      <c r="D377" s="13" t="s">
        <v>3252</v>
      </c>
      <c r="E377" s="13" t="s">
        <v>3120</v>
      </c>
      <c r="F377" s="13" t="s">
        <v>1977</v>
      </c>
      <c r="G377" s="13" t="s">
        <v>2009</v>
      </c>
      <c r="H377" s="13" t="s">
        <v>2039</v>
      </c>
      <c r="I377" s="13" t="s">
        <v>2010</v>
      </c>
      <c r="J377" s="13" t="s">
        <v>3253</v>
      </c>
      <c r="K377" s="14">
        <v>1</v>
      </c>
      <c r="L377" s="13" t="s">
        <v>1690</v>
      </c>
      <c r="M377" s="13" t="s">
        <v>3251</v>
      </c>
      <c r="N377" s="13" t="s">
        <v>197</v>
      </c>
      <c r="O377" s="14" t="s">
        <v>1996</v>
      </c>
      <c r="P377" s="14" t="s">
        <v>1949</v>
      </c>
      <c r="Q377" s="14"/>
      <c r="R377" s="14" t="s">
        <v>1927</v>
      </c>
      <c r="S377" s="14"/>
      <c r="T377" s="14"/>
    </row>
    <row r="378" ht="13.5" customHeight="1" spans="1:20">
      <c r="A378" s="13" t="s">
        <v>3254</v>
      </c>
      <c r="B378" s="13" t="s">
        <v>1695</v>
      </c>
      <c r="C378" s="13" t="s">
        <v>1999</v>
      </c>
      <c r="D378" s="13" t="s">
        <v>1992</v>
      </c>
      <c r="E378" s="13" t="s">
        <v>3129</v>
      </c>
      <c r="F378" s="13" t="s">
        <v>1931</v>
      </c>
      <c r="G378" s="13" t="s">
        <v>1946</v>
      </c>
      <c r="H378" s="13" t="s">
        <v>3255</v>
      </c>
      <c r="I378" s="13" t="s">
        <v>3256</v>
      </c>
      <c r="J378" s="13" t="s">
        <v>3257</v>
      </c>
      <c r="K378" s="14">
        <v>1</v>
      </c>
      <c r="L378" s="13" t="s">
        <v>1695</v>
      </c>
      <c r="M378" s="13" t="s">
        <v>3254</v>
      </c>
      <c r="N378" s="13" t="s">
        <v>197</v>
      </c>
      <c r="O378" s="14" t="s">
        <v>1925</v>
      </c>
      <c r="P378" s="14" t="s">
        <v>1937</v>
      </c>
      <c r="Q378" s="14" t="s">
        <v>3258</v>
      </c>
      <c r="R378" s="14" t="s">
        <v>1927</v>
      </c>
      <c r="S378" s="14"/>
      <c r="T378" s="14"/>
    </row>
    <row r="379" ht="13.5" customHeight="1" spans="1:20">
      <c r="A379" s="13" t="s">
        <v>3259</v>
      </c>
      <c r="B379" s="13" t="s">
        <v>1697</v>
      </c>
      <c r="C379" s="13" t="s">
        <v>1999</v>
      </c>
      <c r="D379" s="13" t="s">
        <v>1992</v>
      </c>
      <c r="E379" s="13" t="s">
        <v>3165</v>
      </c>
      <c r="F379" s="13" t="s">
        <v>1931</v>
      </c>
      <c r="G379" s="13" t="s">
        <v>3260</v>
      </c>
      <c r="H379" s="13" t="s">
        <v>3261</v>
      </c>
      <c r="I379" s="13" t="s">
        <v>1923</v>
      </c>
      <c r="J379" s="13" t="s">
        <v>3262</v>
      </c>
      <c r="K379" s="14">
        <v>1</v>
      </c>
      <c r="L379" s="13" t="s">
        <v>1697</v>
      </c>
      <c r="M379" s="13" t="s">
        <v>3259</v>
      </c>
      <c r="N379" s="13" t="s">
        <v>197</v>
      </c>
      <c r="O379" s="14" t="s">
        <v>1936</v>
      </c>
      <c r="P379" s="14" t="s">
        <v>1937</v>
      </c>
      <c r="Q379" s="14" t="s">
        <v>3263</v>
      </c>
      <c r="R379" s="14" t="s">
        <v>1927</v>
      </c>
      <c r="S379" s="14"/>
      <c r="T379" s="14"/>
    </row>
    <row r="380" ht="13.5" customHeight="1" spans="1:20">
      <c r="A380" s="13" t="s">
        <v>3264</v>
      </c>
      <c r="B380" s="13" t="s">
        <v>1718</v>
      </c>
      <c r="C380" s="13" t="s">
        <v>1999</v>
      </c>
      <c r="D380" s="13" t="s">
        <v>259</v>
      </c>
      <c r="E380" s="13" t="s">
        <v>3120</v>
      </c>
      <c r="F380" s="13" t="s">
        <v>1931</v>
      </c>
      <c r="G380" s="13" t="s">
        <v>1952</v>
      </c>
      <c r="H380" s="13" t="s">
        <v>1947</v>
      </c>
      <c r="I380" s="13" t="s">
        <v>1967</v>
      </c>
      <c r="J380" s="13" t="s">
        <v>3265</v>
      </c>
      <c r="K380" s="14">
        <v>1</v>
      </c>
      <c r="L380" s="13" t="s">
        <v>1718</v>
      </c>
      <c r="M380" s="13" t="s">
        <v>3264</v>
      </c>
      <c r="N380" s="13" t="s">
        <v>197</v>
      </c>
      <c r="O380" s="14" t="s">
        <v>1996</v>
      </c>
      <c r="P380" s="14" t="s">
        <v>1949</v>
      </c>
      <c r="Q380" s="14"/>
      <c r="R380" s="14" t="s">
        <v>1939</v>
      </c>
      <c r="S380" s="14"/>
      <c r="T380" s="14"/>
    </row>
    <row r="381" ht="13.5" customHeight="1" spans="1:20">
      <c r="A381" s="13" t="s">
        <v>3266</v>
      </c>
      <c r="B381" s="13" t="s">
        <v>1719</v>
      </c>
      <c r="C381" s="13" t="s">
        <v>1999</v>
      </c>
      <c r="D381" s="13" t="s">
        <v>259</v>
      </c>
      <c r="E381" s="13" t="s">
        <v>3120</v>
      </c>
      <c r="F381" s="13" t="s">
        <v>1931</v>
      </c>
      <c r="G381" s="13" t="s">
        <v>1946</v>
      </c>
      <c r="H381" s="13" t="s">
        <v>3267</v>
      </c>
      <c r="I381" s="13" t="s">
        <v>1987</v>
      </c>
      <c r="J381" s="13" t="s">
        <v>3268</v>
      </c>
      <c r="K381" s="14">
        <v>1</v>
      </c>
      <c r="L381" s="13" t="s">
        <v>1719</v>
      </c>
      <c r="M381" s="13" t="s">
        <v>3266</v>
      </c>
      <c r="N381" s="13" t="s">
        <v>197</v>
      </c>
      <c r="O381" s="14" t="s">
        <v>1996</v>
      </c>
      <c r="P381" s="14" t="s">
        <v>1937</v>
      </c>
      <c r="Q381" s="14" t="s">
        <v>3269</v>
      </c>
      <c r="R381" s="14" t="s">
        <v>1927</v>
      </c>
      <c r="S381" s="14"/>
      <c r="T381" s="14"/>
    </row>
    <row r="382" ht="13.5" customHeight="1" spans="1:20">
      <c r="A382" s="13" t="s">
        <v>3270</v>
      </c>
      <c r="B382" s="13" t="s">
        <v>1720</v>
      </c>
      <c r="C382" s="13" t="s">
        <v>1999</v>
      </c>
      <c r="D382" s="13" t="s">
        <v>259</v>
      </c>
      <c r="E382" s="13" t="s">
        <v>3129</v>
      </c>
      <c r="F382" s="13" t="s">
        <v>1977</v>
      </c>
      <c r="G382" s="13" t="s">
        <v>1932</v>
      </c>
      <c r="H382" s="13" t="s">
        <v>3271</v>
      </c>
      <c r="I382" s="13" t="s">
        <v>1979</v>
      </c>
      <c r="J382" s="13" t="s">
        <v>3272</v>
      </c>
      <c r="K382" s="14">
        <v>1</v>
      </c>
      <c r="L382" s="13" t="s">
        <v>1720</v>
      </c>
      <c r="M382" s="13" t="s">
        <v>3270</v>
      </c>
      <c r="N382" s="13" t="s">
        <v>197</v>
      </c>
      <c r="O382" s="14" t="s">
        <v>1925</v>
      </c>
      <c r="P382" s="14" t="s">
        <v>1937</v>
      </c>
      <c r="Q382" s="14" t="s">
        <v>3273</v>
      </c>
      <c r="R382" s="14" t="s">
        <v>1939</v>
      </c>
      <c r="S382" s="14"/>
      <c r="T382" s="14"/>
    </row>
    <row r="383" ht="13.5" customHeight="1" spans="1:20">
      <c r="A383" s="13" t="s">
        <v>3274</v>
      </c>
      <c r="B383" s="13" t="s">
        <v>1737</v>
      </c>
      <c r="C383" s="13" t="s">
        <v>2233</v>
      </c>
      <c r="D383" s="13" t="s">
        <v>2278</v>
      </c>
      <c r="E383" s="13" t="s">
        <v>3129</v>
      </c>
      <c r="F383" s="13" t="s">
        <v>1931</v>
      </c>
      <c r="G383" s="13" t="s">
        <v>1921</v>
      </c>
      <c r="H383" s="13" t="s">
        <v>1947</v>
      </c>
      <c r="I383" s="13" t="s">
        <v>1987</v>
      </c>
      <c r="J383" s="13" t="s">
        <v>3275</v>
      </c>
      <c r="K383" s="14">
        <v>1</v>
      </c>
      <c r="L383" s="13" t="s">
        <v>1737</v>
      </c>
      <c r="M383" s="13" t="s">
        <v>3274</v>
      </c>
      <c r="N383" s="13" t="s">
        <v>197</v>
      </c>
      <c r="O383" s="14" t="s">
        <v>1925</v>
      </c>
      <c r="P383" s="14" t="s">
        <v>1949</v>
      </c>
      <c r="Q383" s="14"/>
      <c r="R383" s="14" t="s">
        <v>1927</v>
      </c>
      <c r="S383" s="14"/>
      <c r="T383" s="14"/>
    </row>
    <row r="384" ht="13.5" customHeight="1" spans="1:20">
      <c r="A384" s="13" t="s">
        <v>3276</v>
      </c>
      <c r="B384" s="13" t="s">
        <v>1738</v>
      </c>
      <c r="C384" s="13" t="s">
        <v>2233</v>
      </c>
      <c r="D384" s="13" t="s">
        <v>2278</v>
      </c>
      <c r="E384" s="13" t="s">
        <v>3129</v>
      </c>
      <c r="F384" s="13" t="s">
        <v>1931</v>
      </c>
      <c r="G384" s="13" t="s">
        <v>1921</v>
      </c>
      <c r="H384" s="13" t="s">
        <v>1947</v>
      </c>
      <c r="I384" s="13" t="s">
        <v>1987</v>
      </c>
      <c r="J384" s="13" t="s">
        <v>3277</v>
      </c>
      <c r="K384" s="14">
        <v>1</v>
      </c>
      <c r="L384" s="13" t="s">
        <v>1738</v>
      </c>
      <c r="M384" s="13" t="s">
        <v>3276</v>
      </c>
      <c r="N384" s="13" t="s">
        <v>197</v>
      </c>
      <c r="O384" s="14" t="s">
        <v>1925</v>
      </c>
      <c r="P384" s="14" t="s">
        <v>1949</v>
      </c>
      <c r="Q384" s="14"/>
      <c r="R384" s="14" t="s">
        <v>1927</v>
      </c>
      <c r="S384" s="14"/>
      <c r="T384" s="14"/>
    </row>
    <row r="385" ht="13.5" customHeight="1" spans="1:20">
      <c r="A385" s="13" t="s">
        <v>3278</v>
      </c>
      <c r="B385" s="13" t="s">
        <v>1739</v>
      </c>
      <c r="C385" s="13" t="s">
        <v>2233</v>
      </c>
      <c r="D385" s="13" t="s">
        <v>2278</v>
      </c>
      <c r="E385" s="13" t="s">
        <v>3129</v>
      </c>
      <c r="F385" s="13" t="s">
        <v>1931</v>
      </c>
      <c r="G385" s="13" t="s">
        <v>1921</v>
      </c>
      <c r="H385" s="13" t="s">
        <v>1947</v>
      </c>
      <c r="I385" s="13" t="s">
        <v>1987</v>
      </c>
      <c r="J385" s="13" t="s">
        <v>3279</v>
      </c>
      <c r="K385" s="14">
        <v>1</v>
      </c>
      <c r="L385" s="13" t="s">
        <v>1739</v>
      </c>
      <c r="M385" s="13" t="s">
        <v>3278</v>
      </c>
      <c r="N385" s="13" t="s">
        <v>197</v>
      </c>
      <c r="O385" s="14" t="s">
        <v>1925</v>
      </c>
      <c r="P385" s="14" t="s">
        <v>1949</v>
      </c>
      <c r="Q385" s="14"/>
      <c r="R385" s="14" t="s">
        <v>1927</v>
      </c>
      <c r="S385" s="14"/>
      <c r="T385" s="14"/>
    </row>
    <row r="386" ht="13.5" customHeight="1" spans="1:20">
      <c r="A386" s="13" t="s">
        <v>3280</v>
      </c>
      <c r="B386" s="13" t="s">
        <v>1756</v>
      </c>
      <c r="C386" s="13" t="s">
        <v>2233</v>
      </c>
      <c r="D386" s="13" t="s">
        <v>259</v>
      </c>
      <c r="E386" s="13" t="s">
        <v>3148</v>
      </c>
      <c r="F386" s="13" t="s">
        <v>1931</v>
      </c>
      <c r="G386" s="13" t="s">
        <v>1921</v>
      </c>
      <c r="H386" s="13" t="s">
        <v>1947</v>
      </c>
      <c r="I386" s="13" t="s">
        <v>1923</v>
      </c>
      <c r="J386" s="13" t="s">
        <v>3281</v>
      </c>
      <c r="K386" s="14">
        <v>1</v>
      </c>
      <c r="L386" s="13" t="s">
        <v>1756</v>
      </c>
      <c r="M386" s="13" t="s">
        <v>3280</v>
      </c>
      <c r="N386" s="13" t="s">
        <v>197</v>
      </c>
      <c r="O386" s="14" t="s">
        <v>1969</v>
      </c>
      <c r="P386" s="14" t="s">
        <v>1949</v>
      </c>
      <c r="Q386" s="14"/>
      <c r="R386" s="14" t="s">
        <v>1927</v>
      </c>
      <c r="S386" s="14"/>
      <c r="T386" s="14"/>
    </row>
    <row r="387" ht="13.5" customHeight="1" spans="1:20">
      <c r="A387" s="13" t="s">
        <v>3282</v>
      </c>
      <c r="B387" s="13" t="s">
        <v>1758</v>
      </c>
      <c r="C387" s="13" t="s">
        <v>2233</v>
      </c>
      <c r="D387" s="13" t="s">
        <v>259</v>
      </c>
      <c r="E387" s="13" t="s">
        <v>3129</v>
      </c>
      <c r="F387" s="13" t="s">
        <v>1931</v>
      </c>
      <c r="G387" s="13" t="s">
        <v>1946</v>
      </c>
      <c r="H387" s="13" t="s">
        <v>1947</v>
      </c>
      <c r="I387" s="13" t="s">
        <v>1934</v>
      </c>
      <c r="J387" s="13" t="s">
        <v>3283</v>
      </c>
      <c r="K387" s="14">
        <v>1</v>
      </c>
      <c r="L387" s="13" t="s">
        <v>1758</v>
      </c>
      <c r="M387" s="13" t="s">
        <v>3282</v>
      </c>
      <c r="N387" s="13" t="s">
        <v>197</v>
      </c>
      <c r="O387" s="14" t="s">
        <v>1925</v>
      </c>
      <c r="P387" s="14" t="s">
        <v>1949</v>
      </c>
      <c r="Q387" s="14"/>
      <c r="R387" s="14" t="s">
        <v>1939</v>
      </c>
      <c r="S387" s="14"/>
      <c r="T387" s="14"/>
    </row>
    <row r="388" ht="13.5" customHeight="1" spans="1:20">
      <c r="A388" s="13" t="s">
        <v>3284</v>
      </c>
      <c r="B388" s="13" t="s">
        <v>1267</v>
      </c>
      <c r="C388" s="13" t="s">
        <v>1918</v>
      </c>
      <c r="D388" s="13" t="s">
        <v>2245</v>
      </c>
      <c r="E388" s="13" t="s">
        <v>3285</v>
      </c>
      <c r="F388" s="13" t="s">
        <v>1931</v>
      </c>
      <c r="G388" s="13" t="s">
        <v>1921</v>
      </c>
      <c r="H388" s="13" t="s">
        <v>1947</v>
      </c>
      <c r="I388" s="13" t="s">
        <v>1957</v>
      </c>
      <c r="J388" s="13" t="s">
        <v>3286</v>
      </c>
      <c r="K388" s="14">
        <v>1</v>
      </c>
      <c r="L388" s="13" t="s">
        <v>1267</v>
      </c>
      <c r="M388" s="13" t="s">
        <v>3284</v>
      </c>
      <c r="N388" s="13" t="s">
        <v>198</v>
      </c>
      <c r="O388" s="14" t="s">
        <v>1936</v>
      </c>
      <c r="P388" s="14" t="s">
        <v>1949</v>
      </c>
      <c r="Q388" s="14"/>
      <c r="R388" s="14" t="s">
        <v>1939</v>
      </c>
      <c r="S388" s="14"/>
      <c r="T388" s="14"/>
    </row>
    <row r="389" ht="13.5" customHeight="1" spans="1:20">
      <c r="A389" s="13" t="s">
        <v>3287</v>
      </c>
      <c r="B389" s="13" t="s">
        <v>1272</v>
      </c>
      <c r="C389" s="13" t="s">
        <v>1918</v>
      </c>
      <c r="D389" s="13" t="s">
        <v>2245</v>
      </c>
      <c r="E389" s="13" t="s">
        <v>3288</v>
      </c>
      <c r="F389" s="13" t="s">
        <v>1931</v>
      </c>
      <c r="G389" s="13" t="s">
        <v>1941</v>
      </c>
      <c r="H389" s="13" t="s">
        <v>1922</v>
      </c>
      <c r="I389" s="13" t="s">
        <v>1934</v>
      </c>
      <c r="J389" s="13" t="s">
        <v>3289</v>
      </c>
      <c r="K389" s="14">
        <v>1</v>
      </c>
      <c r="L389" s="13" t="s">
        <v>1272</v>
      </c>
      <c r="M389" s="13" t="s">
        <v>3287</v>
      </c>
      <c r="N389" s="13" t="s">
        <v>198</v>
      </c>
      <c r="O389" s="14" t="s">
        <v>2028</v>
      </c>
      <c r="P389" s="14" t="s">
        <v>1926</v>
      </c>
      <c r="Q389" s="14"/>
      <c r="R389" s="14" t="s">
        <v>1939</v>
      </c>
      <c r="S389" s="14"/>
      <c r="T389" s="14"/>
    </row>
    <row r="390" ht="13.5" customHeight="1" spans="1:20">
      <c r="A390" s="13" t="s">
        <v>3290</v>
      </c>
      <c r="B390" s="13" t="s">
        <v>1307</v>
      </c>
      <c r="C390" s="13" t="s">
        <v>1918</v>
      </c>
      <c r="D390" s="13" t="s">
        <v>230</v>
      </c>
      <c r="E390" s="13" t="s">
        <v>3291</v>
      </c>
      <c r="F390" s="13" t="s">
        <v>1957</v>
      </c>
      <c r="G390" s="13" t="s">
        <v>1946</v>
      </c>
      <c r="H390" s="13" t="s">
        <v>3292</v>
      </c>
      <c r="I390" s="13" t="s">
        <v>2139</v>
      </c>
      <c r="J390" s="13" t="s">
        <v>3293</v>
      </c>
      <c r="K390" s="14">
        <v>1</v>
      </c>
      <c r="L390" s="13" t="s">
        <v>1307</v>
      </c>
      <c r="M390" s="13" t="s">
        <v>3290</v>
      </c>
      <c r="N390" s="13" t="s">
        <v>198</v>
      </c>
      <c r="O390" s="14" t="s">
        <v>1996</v>
      </c>
      <c r="P390" s="14" t="s">
        <v>1937</v>
      </c>
      <c r="Q390" s="14" t="s">
        <v>3294</v>
      </c>
      <c r="R390" s="14" t="s">
        <v>1939</v>
      </c>
      <c r="S390" s="14"/>
      <c r="T390" s="14"/>
    </row>
    <row r="391" ht="13.5" customHeight="1" spans="1:20">
      <c r="A391" s="13" t="s">
        <v>3295</v>
      </c>
      <c r="B391" s="13" t="s">
        <v>1349</v>
      </c>
      <c r="C391" s="13" t="s">
        <v>1918</v>
      </c>
      <c r="D391" s="13" t="s">
        <v>1992</v>
      </c>
      <c r="E391" s="13" t="s">
        <v>3285</v>
      </c>
      <c r="F391" s="13" t="s">
        <v>1931</v>
      </c>
      <c r="G391" s="13" t="s">
        <v>2279</v>
      </c>
      <c r="H391" s="13" t="s">
        <v>3296</v>
      </c>
      <c r="I391" s="13" t="s">
        <v>1923</v>
      </c>
      <c r="J391" s="13" t="s">
        <v>3297</v>
      </c>
      <c r="K391" s="14">
        <v>1</v>
      </c>
      <c r="L391" s="13" t="s">
        <v>1349</v>
      </c>
      <c r="M391" s="13" t="s">
        <v>3295</v>
      </c>
      <c r="N391" s="13" t="s">
        <v>198</v>
      </c>
      <c r="O391" s="14" t="s">
        <v>1936</v>
      </c>
      <c r="P391" s="14" t="s">
        <v>2095</v>
      </c>
      <c r="Q391" s="14" t="s">
        <v>3298</v>
      </c>
      <c r="R391" s="14" t="s">
        <v>1927</v>
      </c>
      <c r="S391" s="14"/>
      <c r="T391" s="14"/>
    </row>
    <row r="392" ht="13.5" customHeight="1" spans="1:20">
      <c r="A392" s="13" t="s">
        <v>3299</v>
      </c>
      <c r="B392" s="13" t="s">
        <v>1392</v>
      </c>
      <c r="C392" s="13" t="s">
        <v>1999</v>
      </c>
      <c r="D392" s="13" t="s">
        <v>2031</v>
      </c>
      <c r="E392" s="13" t="s">
        <v>3300</v>
      </c>
      <c r="F392" s="13" t="s">
        <v>1931</v>
      </c>
      <c r="G392" s="13" t="s">
        <v>1941</v>
      </c>
      <c r="H392" s="13" t="s">
        <v>1947</v>
      </c>
      <c r="I392" s="13" t="s">
        <v>1934</v>
      </c>
      <c r="J392" s="13" t="s">
        <v>3301</v>
      </c>
      <c r="K392" s="14">
        <v>1</v>
      </c>
      <c r="L392" s="13" t="s">
        <v>1392</v>
      </c>
      <c r="M392" s="13" t="s">
        <v>3299</v>
      </c>
      <c r="N392" s="13" t="s">
        <v>198</v>
      </c>
      <c r="O392" s="14" t="s">
        <v>1974</v>
      </c>
      <c r="P392" s="14" t="s">
        <v>1949</v>
      </c>
      <c r="Q392" s="14"/>
      <c r="R392" s="14" t="s">
        <v>1939</v>
      </c>
      <c r="S392" s="14"/>
      <c r="T392" s="14"/>
    </row>
    <row r="393" ht="13.5" customHeight="1" spans="1:20">
      <c r="A393" s="13" t="s">
        <v>3302</v>
      </c>
      <c r="B393" s="13" t="s">
        <v>1409</v>
      </c>
      <c r="C393" s="13" t="s">
        <v>1999</v>
      </c>
      <c r="D393" s="13" t="s">
        <v>1929</v>
      </c>
      <c r="E393" s="13" t="s">
        <v>3285</v>
      </c>
      <c r="F393" s="13" t="s">
        <v>1931</v>
      </c>
      <c r="G393" s="13" t="s">
        <v>2234</v>
      </c>
      <c r="H393" s="13" t="s">
        <v>3303</v>
      </c>
      <c r="I393" s="13" t="s">
        <v>1923</v>
      </c>
      <c r="J393" s="13" t="s">
        <v>3304</v>
      </c>
      <c r="K393" s="14">
        <v>1</v>
      </c>
      <c r="L393" s="13" t="s">
        <v>1409</v>
      </c>
      <c r="M393" s="13" t="s">
        <v>3302</v>
      </c>
      <c r="N393" s="13" t="s">
        <v>198</v>
      </c>
      <c r="O393" s="14" t="s">
        <v>1936</v>
      </c>
      <c r="P393" s="14" t="s">
        <v>1937</v>
      </c>
      <c r="Q393" s="14" t="s">
        <v>3305</v>
      </c>
      <c r="R393" s="14" t="s">
        <v>1927</v>
      </c>
      <c r="S393" s="14"/>
      <c r="T393" s="14"/>
    </row>
    <row r="394" ht="13.5" customHeight="1" spans="1:20">
      <c r="A394" s="13" t="s">
        <v>3306</v>
      </c>
      <c r="B394" s="13" t="s">
        <v>1423</v>
      </c>
      <c r="C394" s="13" t="s">
        <v>1999</v>
      </c>
      <c r="D394" s="13" t="s">
        <v>1929</v>
      </c>
      <c r="E394" s="13" t="s">
        <v>3285</v>
      </c>
      <c r="F394" s="13" t="s">
        <v>1931</v>
      </c>
      <c r="G394" s="13" t="s">
        <v>2560</v>
      </c>
      <c r="H394" s="13" t="s">
        <v>1947</v>
      </c>
      <c r="I394" s="13" t="s">
        <v>1934</v>
      </c>
      <c r="J394" s="13" t="s">
        <v>3307</v>
      </c>
      <c r="K394" s="14">
        <v>1</v>
      </c>
      <c r="L394" s="13" t="s">
        <v>1423</v>
      </c>
      <c r="M394" s="13" t="s">
        <v>3306</v>
      </c>
      <c r="N394" s="13" t="s">
        <v>198</v>
      </c>
      <c r="O394" s="14" t="s">
        <v>1936</v>
      </c>
      <c r="P394" s="14" t="s">
        <v>1949</v>
      </c>
      <c r="Q394" s="14"/>
      <c r="R394" s="14" t="s">
        <v>1939</v>
      </c>
      <c r="S394" s="14"/>
      <c r="T394" s="14"/>
    </row>
    <row r="395" ht="13.5" customHeight="1" spans="1:20">
      <c r="A395" s="13" t="s">
        <v>3308</v>
      </c>
      <c r="B395" s="13" t="s">
        <v>1435</v>
      </c>
      <c r="C395" s="13" t="s">
        <v>1999</v>
      </c>
      <c r="D395" s="13" t="s">
        <v>2068</v>
      </c>
      <c r="E395" s="13" t="s">
        <v>3285</v>
      </c>
      <c r="F395" s="13" t="s">
        <v>1931</v>
      </c>
      <c r="G395" s="13" t="s">
        <v>3309</v>
      </c>
      <c r="H395" s="13" t="s">
        <v>3310</v>
      </c>
      <c r="I395" s="13" t="s">
        <v>1957</v>
      </c>
      <c r="J395" s="13" t="s">
        <v>3311</v>
      </c>
      <c r="K395" s="14">
        <v>1</v>
      </c>
      <c r="L395" s="13" t="s">
        <v>1435</v>
      </c>
      <c r="M395" s="13" t="s">
        <v>3308</v>
      </c>
      <c r="N395" s="13" t="s">
        <v>198</v>
      </c>
      <c r="O395" s="14" t="s">
        <v>1936</v>
      </c>
      <c r="P395" s="14" t="s">
        <v>1937</v>
      </c>
      <c r="Q395" s="14" t="s">
        <v>3312</v>
      </c>
      <c r="R395" s="14" t="s">
        <v>1939</v>
      </c>
      <c r="S395" s="14"/>
      <c r="T395" s="14"/>
    </row>
    <row r="396" ht="13.5" customHeight="1" spans="1:20">
      <c r="A396" s="13" t="s">
        <v>3313</v>
      </c>
      <c r="B396" s="13" t="s">
        <v>1477</v>
      </c>
      <c r="C396" s="13" t="s">
        <v>1999</v>
      </c>
      <c r="D396" s="13" t="s">
        <v>2089</v>
      </c>
      <c r="E396" s="13" t="s">
        <v>3291</v>
      </c>
      <c r="F396" s="13" t="s">
        <v>1931</v>
      </c>
      <c r="G396" s="13" t="s">
        <v>1952</v>
      </c>
      <c r="H396" s="13" t="s">
        <v>1922</v>
      </c>
      <c r="I396" s="13" t="s">
        <v>1934</v>
      </c>
      <c r="J396" s="13" t="s">
        <v>3314</v>
      </c>
      <c r="K396" s="14">
        <v>1</v>
      </c>
      <c r="L396" s="13" t="s">
        <v>1477</v>
      </c>
      <c r="M396" s="13" t="s">
        <v>3313</v>
      </c>
      <c r="N396" s="13" t="s">
        <v>198</v>
      </c>
      <c r="O396" s="14" t="s">
        <v>1996</v>
      </c>
      <c r="P396" s="14" t="s">
        <v>1926</v>
      </c>
      <c r="Q396" s="14"/>
      <c r="R396" s="14" t="s">
        <v>1939</v>
      </c>
      <c r="S396" s="14"/>
      <c r="T396" s="14"/>
    </row>
    <row r="397" ht="13.5" customHeight="1" spans="1:20">
      <c r="A397" s="13" t="s">
        <v>3315</v>
      </c>
      <c r="B397" s="13" t="s">
        <v>1481</v>
      </c>
      <c r="C397" s="13" t="s">
        <v>1999</v>
      </c>
      <c r="D397" s="13" t="s">
        <v>2628</v>
      </c>
      <c r="E397" s="13" t="s">
        <v>3316</v>
      </c>
      <c r="F397" s="13" t="s">
        <v>1931</v>
      </c>
      <c r="G397" s="13" t="s">
        <v>1921</v>
      </c>
      <c r="H397" s="13" t="s">
        <v>1947</v>
      </c>
      <c r="I397" s="13" t="s">
        <v>3317</v>
      </c>
      <c r="J397" s="13" t="s">
        <v>3318</v>
      </c>
      <c r="K397" s="14">
        <v>1</v>
      </c>
      <c r="L397" s="13" t="s">
        <v>1481</v>
      </c>
      <c r="M397" s="13" t="s">
        <v>3315</v>
      </c>
      <c r="N397" s="13" t="s">
        <v>198</v>
      </c>
      <c r="O397" s="14" t="s">
        <v>1925</v>
      </c>
      <c r="P397" s="14" t="s">
        <v>1949</v>
      </c>
      <c r="Q397" s="14"/>
      <c r="R397" s="14" t="s">
        <v>1927</v>
      </c>
      <c r="S397" s="14"/>
      <c r="T397" s="14"/>
    </row>
    <row r="398" ht="13.5" customHeight="1" spans="1:20">
      <c r="A398" s="13" t="s">
        <v>3319</v>
      </c>
      <c r="B398" s="13" t="s">
        <v>1493</v>
      </c>
      <c r="C398" s="13" t="s">
        <v>1999</v>
      </c>
      <c r="D398" s="13" t="s">
        <v>2639</v>
      </c>
      <c r="E398" s="13" t="s">
        <v>3320</v>
      </c>
      <c r="F398" s="13" t="s">
        <v>1977</v>
      </c>
      <c r="G398" s="13" t="s">
        <v>2056</v>
      </c>
      <c r="H398" s="13" t="s">
        <v>3321</v>
      </c>
      <c r="I398" s="13" t="s">
        <v>3322</v>
      </c>
      <c r="J398" s="13" t="s">
        <v>3323</v>
      </c>
      <c r="K398" s="14">
        <v>1</v>
      </c>
      <c r="L398" s="13" t="s">
        <v>1493</v>
      </c>
      <c r="M398" s="13" t="s">
        <v>3319</v>
      </c>
      <c r="N398" s="13" t="s">
        <v>198</v>
      </c>
      <c r="O398" s="14" t="s">
        <v>1969</v>
      </c>
      <c r="P398" s="14" t="s">
        <v>1937</v>
      </c>
      <c r="Q398" s="14" t="s">
        <v>3324</v>
      </c>
      <c r="R398" s="14" t="s">
        <v>1939</v>
      </c>
      <c r="S398" s="14"/>
      <c r="T398" s="14"/>
    </row>
    <row r="399" ht="13.5" customHeight="1" spans="1:20">
      <c r="A399" s="13" t="s">
        <v>3325</v>
      </c>
      <c r="B399" s="13" t="s">
        <v>1512</v>
      </c>
      <c r="C399" s="13" t="s">
        <v>1999</v>
      </c>
      <c r="D399" s="13" t="s">
        <v>2115</v>
      </c>
      <c r="E399" s="13" t="s">
        <v>3316</v>
      </c>
      <c r="F399" s="13" t="s">
        <v>1977</v>
      </c>
      <c r="G399" s="13" t="s">
        <v>2056</v>
      </c>
      <c r="H399" s="13" t="s">
        <v>3326</v>
      </c>
      <c r="I399" s="13" t="s">
        <v>1957</v>
      </c>
      <c r="J399" s="13" t="s">
        <v>3327</v>
      </c>
      <c r="K399" s="14">
        <v>1</v>
      </c>
      <c r="L399" s="13" t="s">
        <v>1512</v>
      </c>
      <c r="M399" s="13" t="s">
        <v>3325</v>
      </c>
      <c r="N399" s="13" t="s">
        <v>198</v>
      </c>
      <c r="O399" s="14" t="s">
        <v>1925</v>
      </c>
      <c r="P399" s="14" t="s">
        <v>1937</v>
      </c>
      <c r="Q399" s="14" t="s">
        <v>3328</v>
      </c>
      <c r="R399" s="14" t="s">
        <v>1939</v>
      </c>
      <c r="S399" s="14"/>
      <c r="T399" s="14"/>
    </row>
    <row r="400" ht="13.5" customHeight="1" spans="1:20">
      <c r="A400" s="13" t="s">
        <v>3329</v>
      </c>
      <c r="B400" s="13" t="s">
        <v>1515</v>
      </c>
      <c r="C400" s="13" t="s">
        <v>1999</v>
      </c>
      <c r="D400" s="13" t="s">
        <v>2118</v>
      </c>
      <c r="E400" s="13" t="s">
        <v>3300</v>
      </c>
      <c r="F400" s="13" t="s">
        <v>1957</v>
      </c>
      <c r="G400" s="13" t="s">
        <v>2056</v>
      </c>
      <c r="H400" s="13" t="s">
        <v>3330</v>
      </c>
      <c r="I400" s="13" t="s">
        <v>1934</v>
      </c>
      <c r="J400" s="13" t="s">
        <v>3331</v>
      </c>
      <c r="K400" s="14">
        <v>1</v>
      </c>
      <c r="L400" s="13" t="s">
        <v>1515</v>
      </c>
      <c r="M400" s="13" t="s">
        <v>3329</v>
      </c>
      <c r="N400" s="13" t="s">
        <v>198</v>
      </c>
      <c r="O400" s="14" t="s">
        <v>1974</v>
      </c>
      <c r="P400" s="14" t="s">
        <v>1937</v>
      </c>
      <c r="Q400" s="14" t="s">
        <v>3332</v>
      </c>
      <c r="R400" s="14" t="s">
        <v>1939</v>
      </c>
      <c r="S400" s="14"/>
      <c r="T400" s="14"/>
    </row>
    <row r="401" ht="13.5" customHeight="1" spans="1:20">
      <c r="A401" s="13" t="s">
        <v>3333</v>
      </c>
      <c r="B401" s="13" t="s">
        <v>1524</v>
      </c>
      <c r="C401" s="13" t="s">
        <v>1999</v>
      </c>
      <c r="D401" s="13" t="s">
        <v>2123</v>
      </c>
      <c r="E401" s="13" t="s">
        <v>3291</v>
      </c>
      <c r="F401" s="13" t="s">
        <v>1977</v>
      </c>
      <c r="G401" s="13" t="s">
        <v>2279</v>
      </c>
      <c r="H401" s="13" t="s">
        <v>3334</v>
      </c>
      <c r="I401" s="13" t="s">
        <v>2139</v>
      </c>
      <c r="J401" s="13" t="s">
        <v>3335</v>
      </c>
      <c r="K401" s="14">
        <v>1</v>
      </c>
      <c r="L401" s="13" t="s">
        <v>1524</v>
      </c>
      <c r="M401" s="13" t="s">
        <v>3333</v>
      </c>
      <c r="N401" s="13" t="s">
        <v>198</v>
      </c>
      <c r="O401" s="14" t="s">
        <v>1996</v>
      </c>
      <c r="P401" s="14" t="s">
        <v>1937</v>
      </c>
      <c r="Q401" s="14" t="s">
        <v>3336</v>
      </c>
      <c r="R401" s="14" t="s">
        <v>1939</v>
      </c>
      <c r="S401" s="14"/>
      <c r="T401" s="14"/>
    </row>
    <row r="402" ht="13.5" customHeight="1" spans="1:20">
      <c r="A402" s="13" t="s">
        <v>3337</v>
      </c>
      <c r="B402" s="13" t="s">
        <v>1525</v>
      </c>
      <c r="C402" s="13" t="s">
        <v>1999</v>
      </c>
      <c r="D402" s="13" t="s">
        <v>2123</v>
      </c>
      <c r="E402" s="13" t="s">
        <v>3285</v>
      </c>
      <c r="F402" s="13" t="s">
        <v>1931</v>
      </c>
      <c r="G402" s="13" t="s">
        <v>1941</v>
      </c>
      <c r="H402" s="13" t="s">
        <v>3338</v>
      </c>
      <c r="I402" s="13" t="s">
        <v>1923</v>
      </c>
      <c r="J402" s="13" t="s">
        <v>3339</v>
      </c>
      <c r="K402" s="14">
        <v>1</v>
      </c>
      <c r="L402" s="13" t="s">
        <v>1525</v>
      </c>
      <c r="M402" s="13" t="s">
        <v>3337</v>
      </c>
      <c r="N402" s="13" t="s">
        <v>198</v>
      </c>
      <c r="O402" s="14" t="s">
        <v>1936</v>
      </c>
      <c r="P402" s="14" t="s">
        <v>1937</v>
      </c>
      <c r="Q402" s="14" t="s">
        <v>3340</v>
      </c>
      <c r="R402" s="14" t="s">
        <v>1927</v>
      </c>
      <c r="S402" s="14"/>
      <c r="T402" s="14"/>
    </row>
    <row r="403" ht="13.5" customHeight="1" spans="1:20">
      <c r="A403" s="13" t="s">
        <v>3341</v>
      </c>
      <c r="B403" s="13" t="s">
        <v>1528</v>
      </c>
      <c r="C403" s="13" t="s">
        <v>1999</v>
      </c>
      <c r="D403" s="13" t="s">
        <v>2123</v>
      </c>
      <c r="E403" s="13" t="s">
        <v>3342</v>
      </c>
      <c r="F403" s="13" t="s">
        <v>1931</v>
      </c>
      <c r="G403" s="13" t="s">
        <v>3343</v>
      </c>
      <c r="H403" s="13" t="s">
        <v>3344</v>
      </c>
      <c r="I403" s="13" t="s">
        <v>3191</v>
      </c>
      <c r="J403" s="13" t="s">
        <v>3345</v>
      </c>
      <c r="K403" s="14">
        <v>1</v>
      </c>
      <c r="L403" s="13" t="s">
        <v>1528</v>
      </c>
      <c r="M403" s="13" t="s">
        <v>3341</v>
      </c>
      <c r="N403" s="13" t="s">
        <v>198</v>
      </c>
      <c r="O403" s="14" t="s">
        <v>2049</v>
      </c>
      <c r="P403" s="14" t="s">
        <v>1937</v>
      </c>
      <c r="Q403" s="14" t="s">
        <v>3346</v>
      </c>
      <c r="R403" s="14" t="s">
        <v>1927</v>
      </c>
      <c r="S403" s="14"/>
      <c r="T403" s="14"/>
    </row>
    <row r="404" ht="13.5" customHeight="1" spans="1:20">
      <c r="A404" s="13" t="s">
        <v>3347</v>
      </c>
      <c r="B404" s="13" t="s">
        <v>1544</v>
      </c>
      <c r="C404" s="13" t="s">
        <v>1999</v>
      </c>
      <c r="D404" s="13" t="s">
        <v>2270</v>
      </c>
      <c r="E404" s="13" t="s">
        <v>3342</v>
      </c>
      <c r="F404" s="13" t="s">
        <v>2143</v>
      </c>
      <c r="G404" s="13" t="s">
        <v>2272</v>
      </c>
      <c r="H404" s="13" t="s">
        <v>1947</v>
      </c>
      <c r="I404" s="13" t="s">
        <v>2071</v>
      </c>
      <c r="J404" s="13" t="s">
        <v>3348</v>
      </c>
      <c r="K404" s="14">
        <v>1</v>
      </c>
      <c r="L404" s="13" t="s">
        <v>1544</v>
      </c>
      <c r="M404" s="13" t="s">
        <v>3347</v>
      </c>
      <c r="N404" s="13" t="s">
        <v>198</v>
      </c>
      <c r="O404" s="14" t="s">
        <v>2049</v>
      </c>
      <c r="P404" s="14" t="s">
        <v>1949</v>
      </c>
      <c r="Q404" s="14"/>
      <c r="R404" s="14" t="s">
        <v>1939</v>
      </c>
      <c r="S404" s="14"/>
      <c r="T404" s="14"/>
    </row>
    <row r="405" ht="13.5" customHeight="1" spans="1:20">
      <c r="A405" s="13" t="s">
        <v>3349</v>
      </c>
      <c r="B405" s="13" t="s">
        <v>1593</v>
      </c>
      <c r="C405" s="13" t="s">
        <v>1999</v>
      </c>
      <c r="D405" s="13" t="s">
        <v>3350</v>
      </c>
      <c r="E405" s="13" t="s">
        <v>3291</v>
      </c>
      <c r="F405" s="13" t="s">
        <v>1931</v>
      </c>
      <c r="G405" s="13" t="s">
        <v>2056</v>
      </c>
      <c r="H405" s="13" t="s">
        <v>3351</v>
      </c>
      <c r="I405" s="13" t="s">
        <v>1934</v>
      </c>
      <c r="J405" s="13" t="s">
        <v>3352</v>
      </c>
      <c r="K405" s="14">
        <v>1</v>
      </c>
      <c r="L405" s="13" t="s">
        <v>1593</v>
      </c>
      <c r="M405" s="13" t="s">
        <v>3349</v>
      </c>
      <c r="N405" s="13" t="s">
        <v>198</v>
      </c>
      <c r="O405" s="14" t="s">
        <v>1996</v>
      </c>
      <c r="P405" s="14" t="s">
        <v>1937</v>
      </c>
      <c r="Q405" s="14" t="s">
        <v>3353</v>
      </c>
      <c r="R405" s="14" t="s">
        <v>1939</v>
      </c>
      <c r="S405" s="14"/>
      <c r="T405" s="14"/>
    </row>
    <row r="406" ht="13.5" customHeight="1" spans="1:20">
      <c r="A406" s="13" t="s">
        <v>3354</v>
      </c>
      <c r="B406" s="13" t="s">
        <v>1595</v>
      </c>
      <c r="C406" s="13" t="s">
        <v>1999</v>
      </c>
      <c r="D406" s="13" t="s">
        <v>3053</v>
      </c>
      <c r="E406" s="13" t="s">
        <v>3285</v>
      </c>
      <c r="F406" s="13" t="s">
        <v>1931</v>
      </c>
      <c r="G406" s="13" t="s">
        <v>2234</v>
      </c>
      <c r="H406" s="13" t="s">
        <v>1947</v>
      </c>
      <c r="I406" s="13" t="s">
        <v>1934</v>
      </c>
      <c r="J406" s="13" t="s">
        <v>3355</v>
      </c>
      <c r="K406" s="14">
        <v>1</v>
      </c>
      <c r="L406" s="13" t="s">
        <v>1595</v>
      </c>
      <c r="M406" s="13" t="s">
        <v>3354</v>
      </c>
      <c r="N406" s="13" t="s">
        <v>198</v>
      </c>
      <c r="O406" s="14" t="s">
        <v>1936</v>
      </c>
      <c r="P406" s="14" t="s">
        <v>1949</v>
      </c>
      <c r="Q406" s="14"/>
      <c r="R406" s="14" t="s">
        <v>1939</v>
      </c>
      <c r="S406" s="14"/>
      <c r="T406" s="14"/>
    </row>
    <row r="407" ht="13.5" customHeight="1" spans="1:20">
      <c r="A407" s="13" t="s">
        <v>3356</v>
      </c>
      <c r="B407" s="13" t="s">
        <v>1616</v>
      </c>
      <c r="C407" s="13" t="s">
        <v>1999</v>
      </c>
      <c r="D407" s="13" t="s">
        <v>230</v>
      </c>
      <c r="E407" s="13" t="s">
        <v>3291</v>
      </c>
      <c r="F407" s="13" t="s">
        <v>1977</v>
      </c>
      <c r="G407" s="13" t="s">
        <v>2009</v>
      </c>
      <c r="H407" s="13" t="s">
        <v>2039</v>
      </c>
      <c r="I407" s="13" t="s">
        <v>2010</v>
      </c>
      <c r="J407" s="13" t="s">
        <v>3357</v>
      </c>
      <c r="K407" s="14">
        <v>1</v>
      </c>
      <c r="L407" s="13" t="s">
        <v>1616</v>
      </c>
      <c r="M407" s="13" t="s">
        <v>3356</v>
      </c>
      <c r="N407" s="13" t="s">
        <v>198</v>
      </c>
      <c r="O407" s="14" t="s">
        <v>1996</v>
      </c>
      <c r="P407" s="14" t="s">
        <v>1949</v>
      </c>
      <c r="Q407" s="14"/>
      <c r="R407" s="14" t="s">
        <v>1927</v>
      </c>
      <c r="S407" s="14"/>
      <c r="T407" s="14"/>
    </row>
    <row r="408" ht="13.5" customHeight="1" spans="1:20">
      <c r="A408" s="13" t="s">
        <v>3358</v>
      </c>
      <c r="B408" s="13" t="s">
        <v>1618</v>
      </c>
      <c r="C408" s="13" t="s">
        <v>1999</v>
      </c>
      <c r="D408" s="13" t="s">
        <v>230</v>
      </c>
      <c r="E408" s="13" t="s">
        <v>3285</v>
      </c>
      <c r="F408" s="13" t="s">
        <v>1920</v>
      </c>
      <c r="G408" s="13" t="s">
        <v>1932</v>
      </c>
      <c r="H408" s="13" t="s">
        <v>1922</v>
      </c>
      <c r="I408" s="13" t="s">
        <v>1934</v>
      </c>
      <c r="J408" s="13" t="s">
        <v>3359</v>
      </c>
      <c r="K408" s="14">
        <v>1</v>
      </c>
      <c r="L408" s="13" t="s">
        <v>1618</v>
      </c>
      <c r="M408" s="13" t="s">
        <v>3358</v>
      </c>
      <c r="N408" s="13" t="s">
        <v>198</v>
      </c>
      <c r="O408" s="14" t="s">
        <v>1936</v>
      </c>
      <c r="P408" s="14" t="s">
        <v>1926</v>
      </c>
      <c r="Q408" s="14"/>
      <c r="R408" s="14" t="s">
        <v>1939</v>
      </c>
      <c r="S408" s="14"/>
      <c r="T408" s="14"/>
    </row>
    <row r="409" ht="13.5" customHeight="1" spans="1:20">
      <c r="A409" s="13" t="s">
        <v>3360</v>
      </c>
      <c r="B409" s="13" t="s">
        <v>1666</v>
      </c>
      <c r="C409" s="13" t="s">
        <v>1999</v>
      </c>
      <c r="D409" s="13" t="s">
        <v>311</v>
      </c>
      <c r="E409" s="13" t="s">
        <v>3316</v>
      </c>
      <c r="F409" s="13" t="s">
        <v>1931</v>
      </c>
      <c r="G409" s="13" t="s">
        <v>2056</v>
      </c>
      <c r="H409" s="13" t="s">
        <v>3361</v>
      </c>
      <c r="I409" s="13" t="s">
        <v>2424</v>
      </c>
      <c r="J409" s="13" t="s">
        <v>3362</v>
      </c>
      <c r="K409" s="14">
        <v>1</v>
      </c>
      <c r="L409" s="13" t="s">
        <v>1666</v>
      </c>
      <c r="M409" s="13" t="s">
        <v>3360</v>
      </c>
      <c r="N409" s="13" t="s">
        <v>198</v>
      </c>
      <c r="O409" s="14" t="s">
        <v>1925</v>
      </c>
      <c r="P409" s="14" t="s">
        <v>1937</v>
      </c>
      <c r="Q409" s="14" t="s">
        <v>3363</v>
      </c>
      <c r="R409" s="14" t="s">
        <v>1939</v>
      </c>
      <c r="S409" s="14"/>
      <c r="T409" s="14"/>
    </row>
    <row r="410" ht="13.5" customHeight="1" spans="1:20">
      <c r="A410" s="13" t="s">
        <v>3364</v>
      </c>
      <c r="B410" s="13" t="s">
        <v>1667</v>
      </c>
      <c r="C410" s="13" t="s">
        <v>1999</v>
      </c>
      <c r="D410" s="13" t="s">
        <v>311</v>
      </c>
      <c r="E410" s="13" t="s">
        <v>3342</v>
      </c>
      <c r="F410" s="13" t="s">
        <v>3365</v>
      </c>
      <c r="G410" s="13" t="s">
        <v>2056</v>
      </c>
      <c r="H410" s="13" t="s">
        <v>3366</v>
      </c>
      <c r="I410" s="13" t="s">
        <v>2424</v>
      </c>
      <c r="J410" s="13" t="s">
        <v>3367</v>
      </c>
      <c r="K410" s="14">
        <v>1</v>
      </c>
      <c r="L410" s="13" t="s">
        <v>1667</v>
      </c>
      <c r="M410" s="13" t="s">
        <v>3364</v>
      </c>
      <c r="N410" s="13" t="s">
        <v>198</v>
      </c>
      <c r="O410" s="14" t="s">
        <v>2049</v>
      </c>
      <c r="P410" s="14" t="s">
        <v>1937</v>
      </c>
      <c r="Q410" s="14" t="s">
        <v>3368</v>
      </c>
      <c r="R410" s="14" t="s">
        <v>1939</v>
      </c>
      <c r="S410" s="14"/>
      <c r="T410" s="14"/>
    </row>
    <row r="411" ht="13.5" customHeight="1" spans="1:20">
      <c r="A411" s="13" t="s">
        <v>3369</v>
      </c>
      <c r="B411" s="13" t="s">
        <v>1721</v>
      </c>
      <c r="C411" s="13" t="s">
        <v>1999</v>
      </c>
      <c r="D411" s="13" t="s">
        <v>1992</v>
      </c>
      <c r="E411" s="13" t="s">
        <v>3316</v>
      </c>
      <c r="F411" s="13" t="s">
        <v>1931</v>
      </c>
      <c r="G411" s="13" t="s">
        <v>3309</v>
      </c>
      <c r="H411" s="13" t="s">
        <v>3370</v>
      </c>
      <c r="I411" s="13" t="s">
        <v>1923</v>
      </c>
      <c r="J411" s="13" t="s">
        <v>3371</v>
      </c>
      <c r="K411" s="14">
        <v>1</v>
      </c>
      <c r="L411" s="13" t="s">
        <v>1721</v>
      </c>
      <c r="M411" s="13" t="s">
        <v>3369</v>
      </c>
      <c r="N411" s="13" t="s">
        <v>198</v>
      </c>
      <c r="O411" s="14" t="s">
        <v>1925</v>
      </c>
      <c r="P411" s="14" t="s">
        <v>1937</v>
      </c>
      <c r="Q411" s="14" t="s">
        <v>3372</v>
      </c>
      <c r="R411" s="14" t="s">
        <v>1927</v>
      </c>
      <c r="S411" s="14"/>
      <c r="T411" s="14"/>
    </row>
    <row r="412" ht="13.5" customHeight="1" spans="1:20">
      <c r="A412" s="13" t="s">
        <v>3373</v>
      </c>
      <c r="B412" s="13" t="s">
        <v>1750</v>
      </c>
      <c r="C412" s="13" t="s">
        <v>2233</v>
      </c>
      <c r="D412" s="13" t="s">
        <v>1992</v>
      </c>
      <c r="E412" s="13" t="s">
        <v>3285</v>
      </c>
      <c r="F412" s="13" t="s">
        <v>1931</v>
      </c>
      <c r="G412" s="13" t="s">
        <v>2279</v>
      </c>
      <c r="H412" s="13" t="s">
        <v>3296</v>
      </c>
      <c r="I412" s="13" t="s">
        <v>1923</v>
      </c>
      <c r="J412" s="13" t="s">
        <v>3374</v>
      </c>
      <c r="K412" s="14">
        <v>1</v>
      </c>
      <c r="L412" s="13" t="s">
        <v>1750</v>
      </c>
      <c r="M412" s="13" t="s">
        <v>3373</v>
      </c>
      <c r="N412" s="13" t="s">
        <v>198</v>
      </c>
      <c r="O412" s="14" t="s">
        <v>1936</v>
      </c>
      <c r="P412" s="14" t="s">
        <v>2095</v>
      </c>
      <c r="Q412" s="14" t="s">
        <v>3298</v>
      </c>
      <c r="R412" s="14" t="s">
        <v>1927</v>
      </c>
      <c r="S412" s="14"/>
      <c r="T412" s="14"/>
    </row>
    <row r="413" ht="13.5" customHeight="1" spans="1:20">
      <c r="A413" s="13" t="s">
        <v>3375</v>
      </c>
      <c r="B413" s="13" t="s">
        <v>1279</v>
      </c>
      <c r="C413" s="13" t="s">
        <v>1918</v>
      </c>
      <c r="D413" s="13" t="s">
        <v>1929</v>
      </c>
      <c r="E413" s="13" t="s">
        <v>3376</v>
      </c>
      <c r="F413" s="13" t="s">
        <v>1931</v>
      </c>
      <c r="G413" s="13" t="s">
        <v>2234</v>
      </c>
      <c r="H413" s="13" t="s">
        <v>3377</v>
      </c>
      <c r="I413" s="13" t="s">
        <v>1934</v>
      </c>
      <c r="J413" s="13" t="s">
        <v>3378</v>
      </c>
      <c r="K413" s="14">
        <v>1</v>
      </c>
      <c r="L413" s="13" t="s">
        <v>1279</v>
      </c>
      <c r="M413" s="13" t="s">
        <v>3375</v>
      </c>
      <c r="N413" s="13" t="s">
        <v>201</v>
      </c>
      <c r="O413" s="14" t="s">
        <v>1974</v>
      </c>
      <c r="P413" s="14" t="s">
        <v>1937</v>
      </c>
      <c r="Q413" s="14" t="s">
        <v>3379</v>
      </c>
      <c r="R413" s="14" t="s">
        <v>1939</v>
      </c>
      <c r="S413" s="14"/>
      <c r="T413" s="14"/>
    </row>
    <row r="414" ht="13.5" customHeight="1" spans="1:20">
      <c r="A414" s="13" t="s">
        <v>3380</v>
      </c>
      <c r="B414" s="13" t="s">
        <v>1313</v>
      </c>
      <c r="C414" s="13" t="s">
        <v>1918</v>
      </c>
      <c r="D414" s="13" t="s">
        <v>1971</v>
      </c>
      <c r="E414" s="13" t="s">
        <v>3381</v>
      </c>
      <c r="F414" s="13" t="s">
        <v>1931</v>
      </c>
      <c r="G414" s="13" t="s">
        <v>2234</v>
      </c>
      <c r="H414" s="13" t="s">
        <v>3382</v>
      </c>
      <c r="I414" s="13" t="s">
        <v>1987</v>
      </c>
      <c r="J414" s="13" t="s">
        <v>3383</v>
      </c>
      <c r="K414" s="14">
        <v>1</v>
      </c>
      <c r="L414" s="13" t="s">
        <v>1313</v>
      </c>
      <c r="M414" s="13" t="s">
        <v>3380</v>
      </c>
      <c r="N414" s="13" t="s">
        <v>201</v>
      </c>
      <c r="O414" s="14" t="s">
        <v>1936</v>
      </c>
      <c r="P414" s="14" t="s">
        <v>2095</v>
      </c>
      <c r="Q414" s="14" t="s">
        <v>3384</v>
      </c>
      <c r="R414" s="14" t="s">
        <v>1927</v>
      </c>
      <c r="S414" s="14"/>
      <c r="T414" s="14"/>
    </row>
    <row r="415" ht="13.5" customHeight="1" spans="1:20">
      <c r="A415" s="13" t="s">
        <v>3385</v>
      </c>
      <c r="B415" s="13" t="s">
        <v>1319</v>
      </c>
      <c r="C415" s="13" t="s">
        <v>1918</v>
      </c>
      <c r="D415" s="13" t="s">
        <v>311</v>
      </c>
      <c r="E415" s="13" t="s">
        <v>3386</v>
      </c>
      <c r="F415" s="13" t="s">
        <v>1931</v>
      </c>
      <c r="G415" s="13" t="s">
        <v>1946</v>
      </c>
      <c r="H415" s="13" t="s">
        <v>1942</v>
      </c>
      <c r="I415" s="13" t="s">
        <v>1923</v>
      </c>
      <c r="J415" s="13" t="s">
        <v>3387</v>
      </c>
      <c r="K415" s="14">
        <v>1</v>
      </c>
      <c r="L415" s="13" t="s">
        <v>1319</v>
      </c>
      <c r="M415" s="13" t="s">
        <v>3385</v>
      </c>
      <c r="N415" s="13" t="s">
        <v>201</v>
      </c>
      <c r="O415" s="14" t="s">
        <v>2049</v>
      </c>
      <c r="P415" s="14" t="s">
        <v>1944</v>
      </c>
      <c r="Q415" s="14"/>
      <c r="R415" s="14" t="s">
        <v>1927</v>
      </c>
      <c r="S415" s="14"/>
      <c r="T415" s="14"/>
    </row>
    <row r="416" ht="13.5" customHeight="1" spans="1:20">
      <c r="A416" s="13" t="s">
        <v>3388</v>
      </c>
      <c r="B416" s="13" t="s">
        <v>1321</v>
      </c>
      <c r="C416" s="13" t="s">
        <v>1918</v>
      </c>
      <c r="D416" s="13" t="s">
        <v>311</v>
      </c>
      <c r="E416" s="13" t="s">
        <v>3389</v>
      </c>
      <c r="F416" s="13" t="s">
        <v>1977</v>
      </c>
      <c r="G416" s="13" t="s">
        <v>2634</v>
      </c>
      <c r="H416" s="13" t="s">
        <v>3390</v>
      </c>
      <c r="I416" s="13" t="s">
        <v>1934</v>
      </c>
      <c r="J416" s="13" t="s">
        <v>3391</v>
      </c>
      <c r="K416" s="14">
        <v>1</v>
      </c>
      <c r="L416" s="13" t="s">
        <v>1321</v>
      </c>
      <c r="M416" s="13" t="s">
        <v>3388</v>
      </c>
      <c r="N416" s="13" t="s">
        <v>201</v>
      </c>
      <c r="O416" s="14" t="s">
        <v>1996</v>
      </c>
      <c r="P416" s="14" t="s">
        <v>1937</v>
      </c>
      <c r="Q416" s="14" t="s">
        <v>3392</v>
      </c>
      <c r="R416" s="14" t="s">
        <v>1939</v>
      </c>
      <c r="S416" s="14"/>
      <c r="T416" s="14"/>
    </row>
    <row r="417" ht="13.5" customHeight="1" spans="1:20">
      <c r="A417" s="13" t="s">
        <v>3393</v>
      </c>
      <c r="B417" s="13" t="s">
        <v>1373</v>
      </c>
      <c r="C417" s="13" t="s">
        <v>1999</v>
      </c>
      <c r="D417" s="13" t="s">
        <v>2291</v>
      </c>
      <c r="E417" s="13" t="s">
        <v>3389</v>
      </c>
      <c r="F417" s="13" t="s">
        <v>1931</v>
      </c>
      <c r="G417" s="13" t="s">
        <v>1941</v>
      </c>
      <c r="H417" s="13" t="s">
        <v>1942</v>
      </c>
      <c r="I417" s="13" t="s">
        <v>1957</v>
      </c>
      <c r="J417" s="13" t="s">
        <v>3394</v>
      </c>
      <c r="K417" s="14">
        <v>1</v>
      </c>
      <c r="L417" s="13" t="s">
        <v>1373</v>
      </c>
      <c r="M417" s="13" t="s">
        <v>3393</v>
      </c>
      <c r="N417" s="13" t="s">
        <v>201</v>
      </c>
      <c r="O417" s="14" t="s">
        <v>1996</v>
      </c>
      <c r="P417" s="14" t="s">
        <v>1944</v>
      </c>
      <c r="Q417" s="14"/>
      <c r="R417" s="14" t="s">
        <v>1939</v>
      </c>
      <c r="S417" s="14"/>
      <c r="T417" s="14"/>
    </row>
    <row r="418" ht="13.5" customHeight="1" spans="1:20">
      <c r="A418" s="13" t="s">
        <v>3395</v>
      </c>
      <c r="B418" s="13" t="s">
        <v>1417</v>
      </c>
      <c r="C418" s="13" t="s">
        <v>1999</v>
      </c>
      <c r="D418" s="13" t="s">
        <v>1929</v>
      </c>
      <c r="E418" s="13" t="s">
        <v>3389</v>
      </c>
      <c r="F418" s="13" t="s">
        <v>1931</v>
      </c>
      <c r="G418" s="13" t="s">
        <v>2234</v>
      </c>
      <c r="H418" s="13" t="s">
        <v>1947</v>
      </c>
      <c r="I418" s="13" t="s">
        <v>1923</v>
      </c>
      <c r="J418" s="13" t="s">
        <v>3396</v>
      </c>
      <c r="K418" s="14">
        <v>1</v>
      </c>
      <c r="L418" s="13" t="s">
        <v>1417</v>
      </c>
      <c r="M418" s="13" t="s">
        <v>3395</v>
      </c>
      <c r="N418" s="13" t="s">
        <v>201</v>
      </c>
      <c r="O418" s="14" t="s">
        <v>1996</v>
      </c>
      <c r="P418" s="14" t="s">
        <v>1949</v>
      </c>
      <c r="Q418" s="14"/>
      <c r="R418" s="14" t="s">
        <v>1927</v>
      </c>
      <c r="S418" s="14"/>
      <c r="T418" s="14"/>
    </row>
    <row r="419" ht="13.5" customHeight="1" spans="1:20">
      <c r="A419" s="13" t="s">
        <v>3397</v>
      </c>
      <c r="B419" s="13" t="s">
        <v>1440</v>
      </c>
      <c r="C419" s="13" t="s">
        <v>1999</v>
      </c>
      <c r="D419" s="13" t="s">
        <v>2327</v>
      </c>
      <c r="E419" s="13" t="s">
        <v>3398</v>
      </c>
      <c r="F419" s="13" t="s">
        <v>1931</v>
      </c>
      <c r="G419" s="13" t="s">
        <v>1921</v>
      </c>
      <c r="H419" s="13" t="s">
        <v>1922</v>
      </c>
      <c r="I419" s="13" t="s">
        <v>1957</v>
      </c>
      <c r="J419" s="13" t="s">
        <v>3399</v>
      </c>
      <c r="K419" s="14">
        <v>1</v>
      </c>
      <c r="L419" s="13" t="s">
        <v>1440</v>
      </c>
      <c r="M419" s="13" t="s">
        <v>3397</v>
      </c>
      <c r="N419" s="13" t="s">
        <v>201</v>
      </c>
      <c r="O419" s="14" t="s">
        <v>1925</v>
      </c>
      <c r="P419" s="14" t="s">
        <v>1926</v>
      </c>
      <c r="Q419" s="14"/>
      <c r="R419" s="14" t="s">
        <v>1939</v>
      </c>
      <c r="S419" s="14"/>
      <c r="T419" s="14"/>
    </row>
    <row r="420" ht="13.5" customHeight="1" spans="1:20">
      <c r="A420" s="13" t="s">
        <v>3400</v>
      </c>
      <c r="B420" s="13" t="s">
        <v>1446</v>
      </c>
      <c r="C420" s="13" t="s">
        <v>1999</v>
      </c>
      <c r="D420" s="13" t="s">
        <v>2082</v>
      </c>
      <c r="E420" s="13" t="s">
        <v>3401</v>
      </c>
      <c r="F420" s="13" t="s">
        <v>1931</v>
      </c>
      <c r="G420" s="13" t="s">
        <v>1941</v>
      </c>
      <c r="H420" s="13" t="s">
        <v>1947</v>
      </c>
      <c r="I420" s="13" t="s">
        <v>2010</v>
      </c>
      <c r="J420" s="13" t="s">
        <v>3402</v>
      </c>
      <c r="K420" s="14">
        <v>1</v>
      </c>
      <c r="L420" s="13" t="s">
        <v>1446</v>
      </c>
      <c r="M420" s="13" t="s">
        <v>3400</v>
      </c>
      <c r="N420" s="13" t="s">
        <v>201</v>
      </c>
      <c r="O420" s="14" t="s">
        <v>2028</v>
      </c>
      <c r="P420" s="14" t="s">
        <v>1949</v>
      </c>
      <c r="Q420" s="14"/>
      <c r="R420" s="14" t="s">
        <v>1927</v>
      </c>
      <c r="S420" s="14"/>
      <c r="T420" s="14"/>
    </row>
    <row r="421" ht="13.5" customHeight="1" spans="1:20">
      <c r="A421" s="13" t="s">
        <v>3403</v>
      </c>
      <c r="B421" s="13" t="s">
        <v>1458</v>
      </c>
      <c r="C421" s="13" t="s">
        <v>1999</v>
      </c>
      <c r="D421" s="13" t="s">
        <v>2082</v>
      </c>
      <c r="E421" s="13" t="s">
        <v>3401</v>
      </c>
      <c r="F421" s="13" t="s">
        <v>1931</v>
      </c>
      <c r="G421" s="13" t="s">
        <v>1941</v>
      </c>
      <c r="H421" s="13" t="s">
        <v>1922</v>
      </c>
      <c r="I421" s="13" t="s">
        <v>1934</v>
      </c>
      <c r="J421" s="13" t="s">
        <v>3404</v>
      </c>
      <c r="K421" s="14">
        <v>1</v>
      </c>
      <c r="L421" s="13" t="s">
        <v>1458</v>
      </c>
      <c r="M421" s="13" t="s">
        <v>3403</v>
      </c>
      <c r="N421" s="13" t="s">
        <v>201</v>
      </c>
      <c r="O421" s="14" t="s">
        <v>2028</v>
      </c>
      <c r="P421" s="14" t="s">
        <v>1926</v>
      </c>
      <c r="Q421" s="14"/>
      <c r="R421" s="14" t="s">
        <v>1939</v>
      </c>
      <c r="S421" s="14"/>
      <c r="T421" s="14"/>
    </row>
    <row r="422" ht="13.5" customHeight="1" spans="1:20">
      <c r="A422" s="13" t="s">
        <v>3405</v>
      </c>
      <c r="B422" s="13" t="s">
        <v>1521</v>
      </c>
      <c r="C422" s="13" t="s">
        <v>1999</v>
      </c>
      <c r="D422" s="13" t="s">
        <v>2123</v>
      </c>
      <c r="E422" s="13" t="s">
        <v>3406</v>
      </c>
      <c r="F422" s="13" t="s">
        <v>1931</v>
      </c>
      <c r="G422" s="13" t="s">
        <v>2056</v>
      </c>
      <c r="H422" s="13" t="s">
        <v>1947</v>
      </c>
      <c r="I422" s="13" t="s">
        <v>2139</v>
      </c>
      <c r="J422" s="13" t="s">
        <v>3407</v>
      </c>
      <c r="K422" s="14">
        <v>1</v>
      </c>
      <c r="L422" s="13" t="s">
        <v>1521</v>
      </c>
      <c r="M422" s="13" t="s">
        <v>3405</v>
      </c>
      <c r="N422" s="13" t="s">
        <v>201</v>
      </c>
      <c r="O422" s="14" t="s">
        <v>1969</v>
      </c>
      <c r="P422" s="14" t="s">
        <v>1949</v>
      </c>
      <c r="Q422" s="14"/>
      <c r="R422" s="14" t="s">
        <v>1939</v>
      </c>
      <c r="S422" s="14"/>
      <c r="T422" s="14"/>
    </row>
    <row r="423" ht="13.5" customHeight="1" spans="1:20">
      <c r="A423" s="13" t="s">
        <v>3408</v>
      </c>
      <c r="B423" s="13" t="s">
        <v>1537</v>
      </c>
      <c r="C423" s="13" t="s">
        <v>1999</v>
      </c>
      <c r="D423" s="13" t="s">
        <v>2800</v>
      </c>
      <c r="E423" s="13" t="s">
        <v>3401</v>
      </c>
      <c r="F423" s="13" t="s">
        <v>1931</v>
      </c>
      <c r="G423" s="13" t="s">
        <v>2234</v>
      </c>
      <c r="H423" s="13" t="s">
        <v>3409</v>
      </c>
      <c r="I423" s="13" t="s">
        <v>1934</v>
      </c>
      <c r="J423" s="13" t="s">
        <v>3410</v>
      </c>
      <c r="K423" s="14">
        <v>1</v>
      </c>
      <c r="L423" s="13" t="s">
        <v>1537</v>
      </c>
      <c r="M423" s="13" t="s">
        <v>3408</v>
      </c>
      <c r="N423" s="13" t="s">
        <v>201</v>
      </c>
      <c r="O423" s="14" t="s">
        <v>2028</v>
      </c>
      <c r="P423" s="14" t="s">
        <v>1937</v>
      </c>
      <c r="Q423" s="14" t="s">
        <v>3411</v>
      </c>
      <c r="R423" s="14" t="s">
        <v>1939</v>
      </c>
      <c r="S423" s="14"/>
      <c r="T423" s="14"/>
    </row>
    <row r="424" ht="13.5" customHeight="1" spans="1:20">
      <c r="A424" s="13" t="s">
        <v>3412</v>
      </c>
      <c r="B424" s="13" t="s">
        <v>1587</v>
      </c>
      <c r="C424" s="13" t="s">
        <v>1999</v>
      </c>
      <c r="D424" s="13" t="s">
        <v>2422</v>
      </c>
      <c r="E424" s="13" t="s">
        <v>3406</v>
      </c>
      <c r="F424" s="13" t="s">
        <v>1931</v>
      </c>
      <c r="G424" s="13" t="s">
        <v>3413</v>
      </c>
      <c r="H424" s="13" t="s">
        <v>3414</v>
      </c>
      <c r="I424" s="13" t="s">
        <v>2010</v>
      </c>
      <c r="J424" s="13" t="s">
        <v>3415</v>
      </c>
      <c r="K424" s="14">
        <v>1</v>
      </c>
      <c r="L424" s="13" t="s">
        <v>1587</v>
      </c>
      <c r="M424" s="13" t="s">
        <v>3412</v>
      </c>
      <c r="N424" s="13" t="s">
        <v>201</v>
      </c>
      <c r="O424" s="14" t="s">
        <v>1969</v>
      </c>
      <c r="P424" s="14" t="s">
        <v>1937</v>
      </c>
      <c r="Q424" s="14" t="s">
        <v>3416</v>
      </c>
      <c r="R424" s="14" t="s">
        <v>1927</v>
      </c>
      <c r="S424" s="14"/>
      <c r="T424" s="14"/>
    </row>
    <row r="425" ht="13.5" customHeight="1" spans="1:20">
      <c r="A425" s="13" t="s">
        <v>3417</v>
      </c>
      <c r="B425" s="13" t="s">
        <v>1594</v>
      </c>
      <c r="C425" s="13" t="s">
        <v>1999</v>
      </c>
      <c r="D425" s="13" t="s">
        <v>3053</v>
      </c>
      <c r="E425" s="13" t="s">
        <v>3381</v>
      </c>
      <c r="F425" s="13" t="s">
        <v>1931</v>
      </c>
      <c r="G425" s="13" t="s">
        <v>2785</v>
      </c>
      <c r="H425" s="13" t="s">
        <v>3418</v>
      </c>
      <c r="I425" s="13" t="s">
        <v>1923</v>
      </c>
      <c r="J425" s="13" t="s">
        <v>3419</v>
      </c>
      <c r="K425" s="14">
        <v>1</v>
      </c>
      <c r="L425" s="13" t="s">
        <v>1594</v>
      </c>
      <c r="M425" s="13" t="s">
        <v>3417</v>
      </c>
      <c r="N425" s="13" t="s">
        <v>201</v>
      </c>
      <c r="O425" s="14" t="s">
        <v>1936</v>
      </c>
      <c r="P425" s="14" t="s">
        <v>1937</v>
      </c>
      <c r="Q425" s="14" t="s">
        <v>3420</v>
      </c>
      <c r="R425" s="14" t="s">
        <v>1927</v>
      </c>
      <c r="S425" s="14"/>
      <c r="T425" s="14"/>
    </row>
    <row r="426" ht="13.5" customHeight="1" spans="1:20">
      <c r="A426" s="13" t="s">
        <v>3421</v>
      </c>
      <c r="B426" s="13" t="s">
        <v>1602</v>
      </c>
      <c r="C426" s="13" t="s">
        <v>1999</v>
      </c>
      <c r="D426" s="13" t="s">
        <v>2828</v>
      </c>
      <c r="E426" s="13" t="s">
        <v>3398</v>
      </c>
      <c r="F426" s="13" t="s">
        <v>2143</v>
      </c>
      <c r="G426" s="13" t="s">
        <v>3422</v>
      </c>
      <c r="H426" s="13" t="s">
        <v>3423</v>
      </c>
      <c r="I426" s="13" t="s">
        <v>2346</v>
      </c>
      <c r="J426" s="13" t="s">
        <v>3424</v>
      </c>
      <c r="K426" s="14">
        <v>1</v>
      </c>
      <c r="L426" s="13" t="s">
        <v>1602</v>
      </c>
      <c r="M426" s="13" t="s">
        <v>3421</v>
      </c>
      <c r="N426" s="13" t="s">
        <v>201</v>
      </c>
      <c r="O426" s="14" t="s">
        <v>1925</v>
      </c>
      <c r="P426" s="14" t="s">
        <v>1937</v>
      </c>
      <c r="Q426" s="14" t="s">
        <v>3425</v>
      </c>
      <c r="R426" s="14" t="s">
        <v>1927</v>
      </c>
      <c r="S426" s="14"/>
      <c r="T426" s="14"/>
    </row>
    <row r="427" ht="13.5" customHeight="1" spans="1:20">
      <c r="A427" s="13" t="s">
        <v>3426</v>
      </c>
      <c r="B427" s="13" t="s">
        <v>1625</v>
      </c>
      <c r="C427" s="13" t="s">
        <v>1999</v>
      </c>
      <c r="D427" s="13" t="s">
        <v>230</v>
      </c>
      <c r="E427" s="13" t="s">
        <v>3406</v>
      </c>
      <c r="F427" s="13" t="s">
        <v>1931</v>
      </c>
      <c r="G427" s="13" t="s">
        <v>1921</v>
      </c>
      <c r="H427" s="13" t="s">
        <v>3427</v>
      </c>
      <c r="I427" s="13" t="s">
        <v>1923</v>
      </c>
      <c r="J427" s="13" t="s">
        <v>3428</v>
      </c>
      <c r="K427" s="14">
        <v>1</v>
      </c>
      <c r="L427" s="13" t="s">
        <v>1625</v>
      </c>
      <c r="M427" s="13" t="s">
        <v>3426</v>
      </c>
      <c r="N427" s="13" t="s">
        <v>201</v>
      </c>
      <c r="O427" s="14" t="s">
        <v>1969</v>
      </c>
      <c r="P427" s="14" t="s">
        <v>1937</v>
      </c>
      <c r="Q427" s="14" t="s">
        <v>3429</v>
      </c>
      <c r="R427" s="14" t="s">
        <v>1927</v>
      </c>
      <c r="S427" s="14"/>
      <c r="T427" s="14"/>
    </row>
    <row r="428" ht="13.5" customHeight="1" spans="1:20">
      <c r="A428" s="13" t="s">
        <v>3430</v>
      </c>
      <c r="B428" s="13" t="s">
        <v>1642</v>
      </c>
      <c r="C428" s="13" t="s">
        <v>1999</v>
      </c>
      <c r="D428" s="13" t="s">
        <v>311</v>
      </c>
      <c r="E428" s="13" t="s">
        <v>3376</v>
      </c>
      <c r="F428" s="13" t="s">
        <v>1957</v>
      </c>
      <c r="G428" s="13" t="s">
        <v>2056</v>
      </c>
      <c r="H428" s="13" t="s">
        <v>3431</v>
      </c>
      <c r="I428" s="13" t="s">
        <v>1934</v>
      </c>
      <c r="J428" s="13" t="s">
        <v>3432</v>
      </c>
      <c r="K428" s="14">
        <v>1</v>
      </c>
      <c r="L428" s="13" t="s">
        <v>1642</v>
      </c>
      <c r="M428" s="13" t="s">
        <v>3430</v>
      </c>
      <c r="N428" s="13" t="s">
        <v>201</v>
      </c>
      <c r="O428" s="14" t="s">
        <v>1974</v>
      </c>
      <c r="P428" s="14" t="s">
        <v>1937</v>
      </c>
      <c r="Q428" s="14" t="s">
        <v>3433</v>
      </c>
      <c r="R428" s="14" t="s">
        <v>1939</v>
      </c>
      <c r="S428" s="14"/>
      <c r="T428" s="14"/>
    </row>
    <row r="429" ht="13.5" customHeight="1" spans="1:20">
      <c r="A429" s="13" t="s">
        <v>3434</v>
      </c>
      <c r="B429" s="13" t="s">
        <v>1653</v>
      </c>
      <c r="C429" s="13" t="s">
        <v>1999</v>
      </c>
      <c r="D429" s="13" t="s">
        <v>311</v>
      </c>
      <c r="E429" s="13" t="s">
        <v>3389</v>
      </c>
      <c r="F429" s="13" t="s">
        <v>1931</v>
      </c>
      <c r="G429" s="13" t="s">
        <v>1941</v>
      </c>
      <c r="H429" s="13" t="s">
        <v>1947</v>
      </c>
      <c r="I429" s="13" t="s">
        <v>1987</v>
      </c>
      <c r="J429" s="13" t="s">
        <v>3435</v>
      </c>
      <c r="K429" s="14">
        <v>1</v>
      </c>
      <c r="L429" s="13" t="s">
        <v>1653</v>
      </c>
      <c r="M429" s="13" t="s">
        <v>3434</v>
      </c>
      <c r="N429" s="13" t="s">
        <v>201</v>
      </c>
      <c r="O429" s="14" t="s">
        <v>1996</v>
      </c>
      <c r="P429" s="14" t="s">
        <v>1949</v>
      </c>
      <c r="Q429" s="14"/>
      <c r="R429" s="14" t="s">
        <v>1927</v>
      </c>
      <c r="S429" s="14"/>
      <c r="T429" s="14"/>
    </row>
    <row r="430" ht="13.5" customHeight="1" spans="1:20">
      <c r="A430" s="13" t="s">
        <v>3436</v>
      </c>
      <c r="B430" s="13" t="s">
        <v>1668</v>
      </c>
      <c r="C430" s="13" t="s">
        <v>1999</v>
      </c>
      <c r="D430" s="13" t="s">
        <v>311</v>
      </c>
      <c r="E430" s="13" t="s">
        <v>3381</v>
      </c>
      <c r="F430" s="13" t="s">
        <v>1931</v>
      </c>
      <c r="G430" s="13" t="s">
        <v>2647</v>
      </c>
      <c r="H430" s="13" t="s">
        <v>3437</v>
      </c>
      <c r="I430" s="13" t="s">
        <v>2139</v>
      </c>
      <c r="J430" s="13" t="s">
        <v>3438</v>
      </c>
      <c r="K430" s="14">
        <v>1</v>
      </c>
      <c r="L430" s="13" t="s">
        <v>1668</v>
      </c>
      <c r="M430" s="13" t="s">
        <v>3436</v>
      </c>
      <c r="N430" s="13" t="s">
        <v>201</v>
      </c>
      <c r="O430" s="14" t="s">
        <v>1936</v>
      </c>
      <c r="P430" s="14" t="s">
        <v>1937</v>
      </c>
      <c r="Q430" s="14" t="s">
        <v>3439</v>
      </c>
      <c r="R430" s="14" t="s">
        <v>1939</v>
      </c>
      <c r="S430" s="14"/>
      <c r="T430" s="14"/>
    </row>
    <row r="431" ht="13.5" customHeight="1" spans="1:20">
      <c r="A431" s="13" t="s">
        <v>3440</v>
      </c>
      <c r="B431" s="13" t="s">
        <v>1698</v>
      </c>
      <c r="C431" s="13" t="s">
        <v>1999</v>
      </c>
      <c r="D431" s="13" t="s">
        <v>1992</v>
      </c>
      <c r="E431" s="13" t="s">
        <v>3381</v>
      </c>
      <c r="F431" s="13" t="s">
        <v>1931</v>
      </c>
      <c r="G431" s="13" t="s">
        <v>2234</v>
      </c>
      <c r="H431" s="13" t="s">
        <v>3441</v>
      </c>
      <c r="I431" s="13" t="s">
        <v>1934</v>
      </c>
      <c r="J431" s="13" t="s">
        <v>3442</v>
      </c>
      <c r="K431" s="14">
        <v>1</v>
      </c>
      <c r="L431" s="13" t="s">
        <v>1698</v>
      </c>
      <c r="M431" s="13" t="s">
        <v>3440</v>
      </c>
      <c r="N431" s="13" t="s">
        <v>201</v>
      </c>
      <c r="O431" s="14" t="s">
        <v>1936</v>
      </c>
      <c r="P431" s="14" t="s">
        <v>1937</v>
      </c>
      <c r="Q431" s="14" t="s">
        <v>3443</v>
      </c>
      <c r="R431" s="14" t="s">
        <v>1939</v>
      </c>
      <c r="S431" s="14"/>
      <c r="T431" s="14"/>
    </row>
    <row r="432" ht="13.5" customHeight="1" spans="1:20">
      <c r="A432" s="13" t="s">
        <v>3444</v>
      </c>
      <c r="B432" s="13" t="s">
        <v>1702</v>
      </c>
      <c r="C432" s="13" t="s">
        <v>1999</v>
      </c>
      <c r="D432" s="13" t="s">
        <v>2898</v>
      </c>
      <c r="E432" s="13" t="s">
        <v>3389</v>
      </c>
      <c r="F432" s="13" t="s">
        <v>1977</v>
      </c>
      <c r="G432" s="13" t="s">
        <v>2272</v>
      </c>
      <c r="H432" s="13" t="s">
        <v>1947</v>
      </c>
      <c r="I432" s="13" t="s">
        <v>3445</v>
      </c>
      <c r="J432" s="13" t="s">
        <v>3446</v>
      </c>
      <c r="K432" s="14">
        <v>1</v>
      </c>
      <c r="L432" s="13" t="s">
        <v>1702</v>
      </c>
      <c r="M432" s="13" t="s">
        <v>3444</v>
      </c>
      <c r="N432" s="13" t="s">
        <v>201</v>
      </c>
      <c r="O432" s="14" t="s">
        <v>1996</v>
      </c>
      <c r="P432" s="14" t="s">
        <v>1949</v>
      </c>
      <c r="Q432" s="14"/>
      <c r="R432" s="14" t="s">
        <v>1927</v>
      </c>
      <c r="S432" s="14"/>
      <c r="T432" s="14"/>
    </row>
    <row r="433" ht="13.5" customHeight="1" spans="1:20">
      <c r="A433" s="13" t="s">
        <v>3447</v>
      </c>
      <c r="B433" s="13" t="s">
        <v>1703</v>
      </c>
      <c r="C433" s="13" t="s">
        <v>1999</v>
      </c>
      <c r="D433" s="13" t="s">
        <v>2901</v>
      </c>
      <c r="E433" s="13" t="s">
        <v>3401</v>
      </c>
      <c r="F433" s="13" t="s">
        <v>1957</v>
      </c>
      <c r="G433" s="13" t="s">
        <v>1941</v>
      </c>
      <c r="H433" s="13" t="s">
        <v>3448</v>
      </c>
      <c r="I433" s="13" t="s">
        <v>3449</v>
      </c>
      <c r="J433" s="13" t="s">
        <v>3450</v>
      </c>
      <c r="K433" s="14">
        <v>1</v>
      </c>
      <c r="L433" s="13" t="s">
        <v>1703</v>
      </c>
      <c r="M433" s="13" t="s">
        <v>3447</v>
      </c>
      <c r="N433" s="13" t="s">
        <v>201</v>
      </c>
      <c r="O433" s="14" t="s">
        <v>2028</v>
      </c>
      <c r="P433" s="14" t="s">
        <v>1937</v>
      </c>
      <c r="Q433" s="14" t="s">
        <v>3451</v>
      </c>
      <c r="R433" s="14" t="s">
        <v>1939</v>
      </c>
      <c r="S433" s="14"/>
      <c r="T433" s="14"/>
    </row>
    <row r="434" ht="13.5" customHeight="1" spans="1:20">
      <c r="A434" s="13" t="s">
        <v>3452</v>
      </c>
      <c r="B434" s="13" t="s">
        <v>1707</v>
      </c>
      <c r="C434" s="13" t="s">
        <v>1999</v>
      </c>
      <c r="D434" s="13" t="s">
        <v>259</v>
      </c>
      <c r="E434" s="13" t="s">
        <v>3398</v>
      </c>
      <c r="F434" s="13" t="s">
        <v>1931</v>
      </c>
      <c r="G434" s="13" t="s">
        <v>1932</v>
      </c>
      <c r="H434" s="13" t="s">
        <v>1947</v>
      </c>
      <c r="I434" s="13" t="s">
        <v>3453</v>
      </c>
      <c r="J434" s="13" t="s">
        <v>3454</v>
      </c>
      <c r="K434" s="14">
        <v>1</v>
      </c>
      <c r="L434" s="13" t="s">
        <v>1707</v>
      </c>
      <c r="M434" s="13" t="s">
        <v>3452</v>
      </c>
      <c r="N434" s="13" t="s">
        <v>201</v>
      </c>
      <c r="O434" s="14" t="s">
        <v>1925</v>
      </c>
      <c r="P434" s="14" t="s">
        <v>1949</v>
      </c>
      <c r="Q434" s="14"/>
      <c r="R434" s="14" t="s">
        <v>1927</v>
      </c>
      <c r="S434" s="14"/>
      <c r="T434" s="14"/>
    </row>
    <row r="435" ht="13.5" customHeight="1" spans="1:20">
      <c r="A435" s="13" t="s">
        <v>3455</v>
      </c>
      <c r="B435" s="13" t="s">
        <v>1728</v>
      </c>
      <c r="C435" s="13" t="s">
        <v>2233</v>
      </c>
      <c r="D435" s="13" t="s">
        <v>1929</v>
      </c>
      <c r="E435" s="13" t="s">
        <v>3376</v>
      </c>
      <c r="F435" s="13" t="s">
        <v>1931</v>
      </c>
      <c r="G435" s="13" t="s">
        <v>2234</v>
      </c>
      <c r="H435" s="13" t="s">
        <v>3377</v>
      </c>
      <c r="I435" s="13" t="s">
        <v>1934</v>
      </c>
      <c r="J435" s="13" t="s">
        <v>3456</v>
      </c>
      <c r="K435" s="14">
        <v>1</v>
      </c>
      <c r="L435" s="13" t="s">
        <v>1728</v>
      </c>
      <c r="M435" s="13" t="s">
        <v>3455</v>
      </c>
      <c r="N435" s="13" t="s">
        <v>201</v>
      </c>
      <c r="O435" s="14" t="s">
        <v>1974</v>
      </c>
      <c r="P435" s="14" t="s">
        <v>1937</v>
      </c>
      <c r="Q435" s="14" t="s">
        <v>3379</v>
      </c>
      <c r="R435" s="14" t="s">
        <v>1939</v>
      </c>
      <c r="S435" s="14"/>
      <c r="T435" s="14"/>
    </row>
    <row r="436" ht="13.5" customHeight="1" spans="1:20">
      <c r="A436" s="13" t="s">
        <v>3457</v>
      </c>
      <c r="B436" s="13" t="s">
        <v>1273</v>
      </c>
      <c r="C436" s="13" t="s">
        <v>1918</v>
      </c>
      <c r="D436" s="13" t="s">
        <v>2245</v>
      </c>
      <c r="E436" s="13" t="s">
        <v>3458</v>
      </c>
      <c r="F436" s="13" t="s">
        <v>1931</v>
      </c>
      <c r="G436" s="13" t="s">
        <v>2009</v>
      </c>
      <c r="H436" s="13" t="s">
        <v>1942</v>
      </c>
      <c r="I436" s="13" t="s">
        <v>1934</v>
      </c>
      <c r="J436" s="13" t="s">
        <v>3459</v>
      </c>
      <c r="K436" s="14">
        <v>1</v>
      </c>
      <c r="L436" s="13" t="s">
        <v>1273</v>
      </c>
      <c r="M436" s="13" t="s">
        <v>3457</v>
      </c>
      <c r="N436" s="13" t="s">
        <v>206</v>
      </c>
      <c r="O436" s="14" t="s">
        <v>2028</v>
      </c>
      <c r="P436" s="14" t="s">
        <v>1944</v>
      </c>
      <c r="Q436" s="14"/>
      <c r="R436" s="14" t="s">
        <v>1939</v>
      </c>
      <c r="S436" s="14"/>
      <c r="T436" s="14"/>
    </row>
    <row r="437" ht="13.5" customHeight="1" spans="1:20">
      <c r="A437" s="13" t="s">
        <v>3460</v>
      </c>
      <c r="B437" s="13" t="s">
        <v>1293</v>
      </c>
      <c r="C437" s="13" t="s">
        <v>1918</v>
      </c>
      <c r="D437" s="13" t="s">
        <v>2089</v>
      </c>
      <c r="E437" s="13" t="s">
        <v>3461</v>
      </c>
      <c r="F437" s="13" t="s">
        <v>1931</v>
      </c>
      <c r="G437" s="13" t="s">
        <v>1946</v>
      </c>
      <c r="H437" s="13" t="s">
        <v>3462</v>
      </c>
      <c r="I437" s="13" t="s">
        <v>2010</v>
      </c>
      <c r="J437" s="13" t="s">
        <v>3463</v>
      </c>
      <c r="K437" s="14">
        <v>1</v>
      </c>
      <c r="L437" s="13" t="s">
        <v>1293</v>
      </c>
      <c r="M437" s="13" t="s">
        <v>3460</v>
      </c>
      <c r="N437" s="13" t="s">
        <v>206</v>
      </c>
      <c r="O437" s="14" t="s">
        <v>1925</v>
      </c>
      <c r="P437" s="14" t="s">
        <v>1937</v>
      </c>
      <c r="Q437" s="14" t="s">
        <v>3464</v>
      </c>
      <c r="R437" s="14" t="s">
        <v>1927</v>
      </c>
      <c r="S437" s="14"/>
      <c r="T437" s="14"/>
    </row>
    <row r="438" ht="13.5" customHeight="1" spans="1:20">
      <c r="A438" s="13" t="s">
        <v>3465</v>
      </c>
      <c r="B438" s="13" t="s">
        <v>1320</v>
      </c>
      <c r="C438" s="13" t="s">
        <v>1918</v>
      </c>
      <c r="D438" s="13" t="s">
        <v>311</v>
      </c>
      <c r="E438" s="13" t="s">
        <v>3466</v>
      </c>
      <c r="F438" s="13" t="s">
        <v>1931</v>
      </c>
      <c r="G438" s="13" t="s">
        <v>1921</v>
      </c>
      <c r="H438" s="13" t="s">
        <v>3467</v>
      </c>
      <c r="I438" s="13" t="s">
        <v>1987</v>
      </c>
      <c r="J438" s="13" t="s">
        <v>3468</v>
      </c>
      <c r="K438" s="14">
        <v>1</v>
      </c>
      <c r="L438" s="13" t="s">
        <v>1320</v>
      </c>
      <c r="M438" s="13" t="s">
        <v>3465</v>
      </c>
      <c r="N438" s="13" t="s">
        <v>206</v>
      </c>
      <c r="O438" s="14" t="s">
        <v>1969</v>
      </c>
      <c r="P438" s="14" t="s">
        <v>1937</v>
      </c>
      <c r="Q438" s="14" t="s">
        <v>3469</v>
      </c>
      <c r="R438" s="14" t="s">
        <v>1927</v>
      </c>
      <c r="S438" s="14"/>
      <c r="T438" s="14"/>
    </row>
    <row r="439" ht="13.5" customHeight="1" spans="1:20">
      <c r="A439" s="13" t="s">
        <v>3470</v>
      </c>
      <c r="B439" s="13" t="s">
        <v>1375</v>
      </c>
      <c r="C439" s="13" t="s">
        <v>1999</v>
      </c>
      <c r="D439" s="13" t="s">
        <v>2291</v>
      </c>
      <c r="E439" s="13" t="s">
        <v>3466</v>
      </c>
      <c r="F439" s="13" t="s">
        <v>1977</v>
      </c>
      <c r="G439" s="13" t="s">
        <v>1932</v>
      </c>
      <c r="H439" s="13" t="s">
        <v>3471</v>
      </c>
      <c r="I439" s="13" t="s">
        <v>2424</v>
      </c>
      <c r="J439" s="13" t="s">
        <v>3472</v>
      </c>
      <c r="K439" s="14">
        <v>1</v>
      </c>
      <c r="L439" s="13" t="s">
        <v>1375</v>
      </c>
      <c r="M439" s="13" t="s">
        <v>3470</v>
      </c>
      <c r="N439" s="13" t="s">
        <v>206</v>
      </c>
      <c r="O439" s="14" t="s">
        <v>1969</v>
      </c>
      <c r="P439" s="14" t="s">
        <v>1937</v>
      </c>
      <c r="Q439" s="14" t="s">
        <v>3473</v>
      </c>
      <c r="R439" s="14" t="s">
        <v>1939</v>
      </c>
      <c r="S439" s="14"/>
      <c r="T439" s="14"/>
    </row>
    <row r="440" ht="13.5" customHeight="1" spans="1:20">
      <c r="A440" s="13" t="s">
        <v>3474</v>
      </c>
      <c r="B440" s="13" t="s">
        <v>1422</v>
      </c>
      <c r="C440" s="13" t="s">
        <v>1999</v>
      </c>
      <c r="D440" s="13" t="s">
        <v>1929</v>
      </c>
      <c r="E440" s="13" t="s">
        <v>3475</v>
      </c>
      <c r="F440" s="13" t="s">
        <v>1931</v>
      </c>
      <c r="G440" s="13" t="s">
        <v>2634</v>
      </c>
      <c r="H440" s="13" t="s">
        <v>1947</v>
      </c>
      <c r="I440" s="13" t="s">
        <v>1934</v>
      </c>
      <c r="J440" s="13" t="s">
        <v>3476</v>
      </c>
      <c r="K440" s="14">
        <v>1</v>
      </c>
      <c r="L440" s="13" t="s">
        <v>1422</v>
      </c>
      <c r="M440" s="13" t="s">
        <v>3474</v>
      </c>
      <c r="N440" s="13" t="s">
        <v>206</v>
      </c>
      <c r="O440" s="14" t="s">
        <v>1936</v>
      </c>
      <c r="P440" s="14" t="s">
        <v>1949</v>
      </c>
      <c r="Q440" s="14"/>
      <c r="R440" s="14" t="s">
        <v>1939</v>
      </c>
      <c r="S440" s="14"/>
      <c r="T440" s="14"/>
    </row>
    <row r="441" ht="13.5" customHeight="1" spans="1:20">
      <c r="A441" s="13" t="s">
        <v>3477</v>
      </c>
      <c r="B441" s="13" t="s">
        <v>1430</v>
      </c>
      <c r="C441" s="13" t="s">
        <v>1999</v>
      </c>
      <c r="D441" s="13" t="s">
        <v>1929</v>
      </c>
      <c r="E441" s="13" t="s">
        <v>3461</v>
      </c>
      <c r="F441" s="13" t="s">
        <v>1931</v>
      </c>
      <c r="G441" s="13" t="s">
        <v>1921</v>
      </c>
      <c r="H441" s="13" t="s">
        <v>1922</v>
      </c>
      <c r="I441" s="13" t="s">
        <v>1934</v>
      </c>
      <c r="J441" s="13" t="s">
        <v>3478</v>
      </c>
      <c r="K441" s="14">
        <v>1</v>
      </c>
      <c r="L441" s="13" t="s">
        <v>1430</v>
      </c>
      <c r="M441" s="13" t="s">
        <v>3477</v>
      </c>
      <c r="N441" s="13" t="s">
        <v>206</v>
      </c>
      <c r="O441" s="14" t="s">
        <v>1925</v>
      </c>
      <c r="P441" s="14" t="s">
        <v>1926</v>
      </c>
      <c r="Q441" s="14"/>
      <c r="R441" s="14" t="s">
        <v>1939</v>
      </c>
      <c r="S441" s="14"/>
      <c r="T441" s="14"/>
    </row>
    <row r="442" ht="13.5" customHeight="1" spans="1:20">
      <c r="A442" s="13" t="s">
        <v>3479</v>
      </c>
      <c r="B442" s="13" t="s">
        <v>1432</v>
      </c>
      <c r="C442" s="13" t="s">
        <v>1999</v>
      </c>
      <c r="D442" s="13" t="s">
        <v>1929</v>
      </c>
      <c r="E442" s="13" t="s">
        <v>3480</v>
      </c>
      <c r="F442" s="13" t="s">
        <v>1931</v>
      </c>
      <c r="G442" s="13" t="s">
        <v>1921</v>
      </c>
      <c r="H442" s="13" t="s">
        <v>1922</v>
      </c>
      <c r="I442" s="13" t="s">
        <v>1934</v>
      </c>
      <c r="J442" s="13" t="s">
        <v>3481</v>
      </c>
      <c r="K442" s="14">
        <v>1</v>
      </c>
      <c r="L442" s="13" t="s">
        <v>1432</v>
      </c>
      <c r="M442" s="13" t="s">
        <v>3479</v>
      </c>
      <c r="N442" s="13" t="s">
        <v>206</v>
      </c>
      <c r="O442" s="14" t="s">
        <v>1996</v>
      </c>
      <c r="P442" s="14" t="s">
        <v>1926</v>
      </c>
      <c r="Q442" s="14"/>
      <c r="R442" s="14" t="s">
        <v>1939</v>
      </c>
      <c r="S442" s="14"/>
      <c r="T442" s="14"/>
    </row>
    <row r="443" ht="13.5" customHeight="1" spans="1:20">
      <c r="A443" s="13" t="s">
        <v>3482</v>
      </c>
      <c r="B443" s="13" t="s">
        <v>1437</v>
      </c>
      <c r="C443" s="13" t="s">
        <v>1999</v>
      </c>
      <c r="D443" s="13" t="s">
        <v>2068</v>
      </c>
      <c r="E443" s="13" t="s">
        <v>3461</v>
      </c>
      <c r="F443" s="13" t="s">
        <v>1931</v>
      </c>
      <c r="G443" s="13" t="s">
        <v>1932</v>
      </c>
      <c r="H443" s="13" t="s">
        <v>3483</v>
      </c>
      <c r="I443" s="13" t="s">
        <v>2010</v>
      </c>
      <c r="J443" s="13" t="s">
        <v>3484</v>
      </c>
      <c r="K443" s="14">
        <v>1</v>
      </c>
      <c r="L443" s="13" t="s">
        <v>1437</v>
      </c>
      <c r="M443" s="13" t="s">
        <v>3482</v>
      </c>
      <c r="N443" s="13" t="s">
        <v>206</v>
      </c>
      <c r="O443" s="14" t="s">
        <v>1925</v>
      </c>
      <c r="P443" s="14" t="s">
        <v>1937</v>
      </c>
      <c r="Q443" s="14" t="s">
        <v>3485</v>
      </c>
      <c r="R443" s="14" t="s">
        <v>1927</v>
      </c>
      <c r="S443" s="14"/>
      <c r="T443" s="14"/>
    </row>
    <row r="444" ht="13.5" customHeight="1" spans="1:20">
      <c r="A444" s="13" t="s">
        <v>3486</v>
      </c>
      <c r="B444" s="13" t="s">
        <v>1457</v>
      </c>
      <c r="C444" s="13" t="s">
        <v>1999</v>
      </c>
      <c r="D444" s="13" t="s">
        <v>2082</v>
      </c>
      <c r="E444" s="13" t="s">
        <v>3458</v>
      </c>
      <c r="F444" s="13" t="s">
        <v>1931</v>
      </c>
      <c r="G444" s="13" t="s">
        <v>1941</v>
      </c>
      <c r="H444" s="13" t="s">
        <v>1922</v>
      </c>
      <c r="I444" s="13" t="s">
        <v>1934</v>
      </c>
      <c r="J444" s="13" t="s">
        <v>3487</v>
      </c>
      <c r="K444" s="14">
        <v>1</v>
      </c>
      <c r="L444" s="13" t="s">
        <v>1457</v>
      </c>
      <c r="M444" s="13" t="s">
        <v>3486</v>
      </c>
      <c r="N444" s="13" t="s">
        <v>206</v>
      </c>
      <c r="O444" s="14" t="s">
        <v>2028</v>
      </c>
      <c r="P444" s="14" t="s">
        <v>1926</v>
      </c>
      <c r="Q444" s="14"/>
      <c r="R444" s="14" t="s">
        <v>1939</v>
      </c>
      <c r="S444" s="14"/>
      <c r="T444" s="14"/>
    </row>
    <row r="445" ht="13.5" customHeight="1" spans="1:20">
      <c r="A445" s="13" t="s">
        <v>3488</v>
      </c>
      <c r="B445" s="13" t="s">
        <v>1538</v>
      </c>
      <c r="C445" s="13" t="s">
        <v>1999</v>
      </c>
      <c r="D445" s="13" t="s">
        <v>2800</v>
      </c>
      <c r="E445" s="13" t="s">
        <v>3489</v>
      </c>
      <c r="F445" s="13" t="s">
        <v>1977</v>
      </c>
      <c r="G445" s="13" t="s">
        <v>2056</v>
      </c>
      <c r="H445" s="13" t="s">
        <v>3490</v>
      </c>
      <c r="I445" s="13" t="s">
        <v>1979</v>
      </c>
      <c r="J445" s="13" t="s">
        <v>3491</v>
      </c>
      <c r="K445" s="14">
        <v>1</v>
      </c>
      <c r="L445" s="13" t="s">
        <v>1538</v>
      </c>
      <c r="M445" s="13" t="s">
        <v>3488</v>
      </c>
      <c r="N445" s="13" t="s">
        <v>206</v>
      </c>
      <c r="O445" s="14" t="s">
        <v>1989</v>
      </c>
      <c r="P445" s="14" t="s">
        <v>1937</v>
      </c>
      <c r="Q445" s="14" t="s">
        <v>3492</v>
      </c>
      <c r="R445" s="14" t="s">
        <v>1939</v>
      </c>
      <c r="S445" s="14"/>
      <c r="T445" s="14"/>
    </row>
    <row r="446" ht="13.5" customHeight="1" spans="1:20">
      <c r="A446" s="13" t="s">
        <v>3493</v>
      </c>
      <c r="B446" s="13" t="s">
        <v>1550</v>
      </c>
      <c r="C446" s="13" t="s">
        <v>1999</v>
      </c>
      <c r="D446" s="13" t="s">
        <v>2155</v>
      </c>
      <c r="E446" s="13" t="s">
        <v>3475</v>
      </c>
      <c r="F446" s="13" t="s">
        <v>1931</v>
      </c>
      <c r="G446" s="13" t="s">
        <v>2056</v>
      </c>
      <c r="H446" s="13" t="s">
        <v>1947</v>
      </c>
      <c r="I446" s="13" t="s">
        <v>1934</v>
      </c>
      <c r="J446" s="13" t="s">
        <v>3494</v>
      </c>
      <c r="K446" s="14">
        <v>1</v>
      </c>
      <c r="L446" s="13" t="s">
        <v>1550</v>
      </c>
      <c r="M446" s="13" t="s">
        <v>3493</v>
      </c>
      <c r="N446" s="13" t="s">
        <v>206</v>
      </c>
      <c r="O446" s="14" t="s">
        <v>1936</v>
      </c>
      <c r="P446" s="14" t="s">
        <v>1949</v>
      </c>
      <c r="Q446" s="14"/>
      <c r="R446" s="14" t="s">
        <v>1939</v>
      </c>
      <c r="S446" s="14"/>
      <c r="T446" s="14"/>
    </row>
    <row r="447" ht="13.5" customHeight="1" spans="1:20">
      <c r="A447" s="13" t="s">
        <v>3495</v>
      </c>
      <c r="B447" s="13" t="s">
        <v>1570</v>
      </c>
      <c r="C447" s="13" t="s">
        <v>1999</v>
      </c>
      <c r="D447" s="13" t="s">
        <v>3206</v>
      </c>
      <c r="E447" s="13" t="s">
        <v>3496</v>
      </c>
      <c r="F447" s="13" t="s">
        <v>1957</v>
      </c>
      <c r="G447" s="13" t="s">
        <v>1952</v>
      </c>
      <c r="H447" s="13" t="s">
        <v>3497</v>
      </c>
      <c r="I447" s="13" t="s">
        <v>50</v>
      </c>
      <c r="J447" s="13" t="s">
        <v>3498</v>
      </c>
      <c r="K447" s="14">
        <v>1</v>
      </c>
      <c r="L447" s="13" t="s">
        <v>1570</v>
      </c>
      <c r="M447" s="13" t="s">
        <v>3495</v>
      </c>
      <c r="N447" s="13" t="s">
        <v>206</v>
      </c>
      <c r="O447" s="14" t="s">
        <v>1974</v>
      </c>
      <c r="P447" s="14" t="s">
        <v>1937</v>
      </c>
      <c r="Q447" s="14" t="s">
        <v>3499</v>
      </c>
      <c r="R447" s="14" t="s">
        <v>1939</v>
      </c>
      <c r="S447" s="14"/>
      <c r="T447" s="14"/>
    </row>
    <row r="448" ht="13.5" customHeight="1" spans="1:20">
      <c r="A448" s="13" t="s">
        <v>3500</v>
      </c>
      <c r="B448" s="13" t="s">
        <v>1572</v>
      </c>
      <c r="C448" s="13" t="s">
        <v>1999</v>
      </c>
      <c r="D448" s="13" t="s">
        <v>3501</v>
      </c>
      <c r="E448" s="13" t="s">
        <v>3480</v>
      </c>
      <c r="F448" s="13" t="s">
        <v>1931</v>
      </c>
      <c r="G448" s="13" t="s">
        <v>1941</v>
      </c>
      <c r="H448" s="13" t="s">
        <v>3502</v>
      </c>
      <c r="I448" s="13" t="s">
        <v>3503</v>
      </c>
      <c r="J448" s="13" t="s">
        <v>3504</v>
      </c>
      <c r="K448" s="14">
        <v>1</v>
      </c>
      <c r="L448" s="13" t="s">
        <v>1572</v>
      </c>
      <c r="M448" s="13" t="s">
        <v>3500</v>
      </c>
      <c r="N448" s="13" t="s">
        <v>206</v>
      </c>
      <c r="O448" s="14" t="s">
        <v>1996</v>
      </c>
      <c r="P448" s="14" t="s">
        <v>1937</v>
      </c>
      <c r="Q448" s="14" t="s">
        <v>3505</v>
      </c>
      <c r="R448" s="14" t="s">
        <v>1927</v>
      </c>
      <c r="S448" s="14"/>
      <c r="T448" s="14"/>
    </row>
    <row r="449" ht="13.5" customHeight="1" spans="1:20">
      <c r="A449" s="13" t="s">
        <v>3506</v>
      </c>
      <c r="B449" s="13" t="s">
        <v>1611</v>
      </c>
      <c r="C449" s="13" t="s">
        <v>1999</v>
      </c>
      <c r="D449" s="13" t="s">
        <v>2195</v>
      </c>
      <c r="E449" s="13" t="s">
        <v>3496</v>
      </c>
      <c r="F449" s="13" t="s">
        <v>1957</v>
      </c>
      <c r="G449" s="13" t="s">
        <v>2056</v>
      </c>
      <c r="H449" s="13" t="s">
        <v>3507</v>
      </c>
      <c r="I449" s="13" t="s">
        <v>1934</v>
      </c>
      <c r="J449" s="13" t="s">
        <v>3508</v>
      </c>
      <c r="K449" s="14">
        <v>1</v>
      </c>
      <c r="L449" s="13" t="s">
        <v>1611</v>
      </c>
      <c r="M449" s="13" t="s">
        <v>3506</v>
      </c>
      <c r="N449" s="13" t="s">
        <v>206</v>
      </c>
      <c r="O449" s="14" t="s">
        <v>1974</v>
      </c>
      <c r="P449" s="14" t="s">
        <v>1937</v>
      </c>
      <c r="Q449" s="14" t="s">
        <v>3509</v>
      </c>
      <c r="R449" s="14" t="s">
        <v>1939</v>
      </c>
      <c r="S449" s="14"/>
      <c r="T449" s="14"/>
    </row>
    <row r="450" ht="13.5" customHeight="1" spans="1:20">
      <c r="A450" s="13" t="s">
        <v>3510</v>
      </c>
      <c r="B450" s="13" t="s">
        <v>1627</v>
      </c>
      <c r="C450" s="13" t="s">
        <v>1999</v>
      </c>
      <c r="D450" s="13" t="s">
        <v>230</v>
      </c>
      <c r="E450" s="13" t="s">
        <v>3475</v>
      </c>
      <c r="F450" s="13" t="s">
        <v>1931</v>
      </c>
      <c r="G450" s="13" t="s">
        <v>1941</v>
      </c>
      <c r="H450" s="13" t="s">
        <v>1947</v>
      </c>
      <c r="I450" s="13" t="s">
        <v>1934</v>
      </c>
      <c r="J450" s="13" t="s">
        <v>3511</v>
      </c>
      <c r="K450" s="14">
        <v>1</v>
      </c>
      <c r="L450" s="13" t="s">
        <v>1627</v>
      </c>
      <c r="M450" s="13" t="s">
        <v>3510</v>
      </c>
      <c r="N450" s="13" t="s">
        <v>206</v>
      </c>
      <c r="O450" s="14" t="s">
        <v>1936</v>
      </c>
      <c r="P450" s="14" t="s">
        <v>1949</v>
      </c>
      <c r="Q450" s="14"/>
      <c r="R450" s="14" t="s">
        <v>1939</v>
      </c>
      <c r="S450" s="14"/>
      <c r="T450" s="14"/>
    </row>
    <row r="451" ht="13.5" customHeight="1" spans="1:20">
      <c r="A451" s="13" t="s">
        <v>3512</v>
      </c>
      <c r="B451" s="13" t="s">
        <v>1663</v>
      </c>
      <c r="C451" s="13" t="s">
        <v>1999</v>
      </c>
      <c r="D451" s="13" t="s">
        <v>311</v>
      </c>
      <c r="E451" s="13" t="s">
        <v>3466</v>
      </c>
      <c r="F451" s="13" t="s">
        <v>1931</v>
      </c>
      <c r="G451" s="13" t="s">
        <v>1941</v>
      </c>
      <c r="H451" s="13" t="s">
        <v>1947</v>
      </c>
      <c r="I451" s="13" t="s">
        <v>2143</v>
      </c>
      <c r="J451" s="13" t="s">
        <v>3513</v>
      </c>
      <c r="K451" s="14">
        <v>1</v>
      </c>
      <c r="L451" s="13" t="s">
        <v>1663</v>
      </c>
      <c r="M451" s="13" t="s">
        <v>3512</v>
      </c>
      <c r="N451" s="13" t="s">
        <v>206</v>
      </c>
      <c r="O451" s="14" t="s">
        <v>1969</v>
      </c>
      <c r="P451" s="14" t="s">
        <v>1949</v>
      </c>
      <c r="Q451" s="14"/>
      <c r="R451" s="14" t="s">
        <v>1939</v>
      </c>
      <c r="S451" s="14"/>
      <c r="T451" s="14"/>
    </row>
    <row r="452" ht="13.5" customHeight="1" spans="1:20">
      <c r="A452" s="13" t="s">
        <v>3514</v>
      </c>
      <c r="B452" s="13" t="s">
        <v>1672</v>
      </c>
      <c r="C452" s="13" t="s">
        <v>1999</v>
      </c>
      <c r="D452" s="13" t="s">
        <v>311</v>
      </c>
      <c r="E452" s="13" t="s">
        <v>3515</v>
      </c>
      <c r="F452" s="13" t="s">
        <v>1931</v>
      </c>
      <c r="G452" s="13" t="s">
        <v>1946</v>
      </c>
      <c r="H452" s="13" t="s">
        <v>1947</v>
      </c>
      <c r="I452" s="13" t="s">
        <v>1923</v>
      </c>
      <c r="J452" s="13" t="s">
        <v>3516</v>
      </c>
      <c r="K452" s="14">
        <v>1</v>
      </c>
      <c r="L452" s="13" t="s">
        <v>1672</v>
      </c>
      <c r="M452" s="13" t="s">
        <v>3514</v>
      </c>
      <c r="N452" s="13" t="s">
        <v>206</v>
      </c>
      <c r="O452" s="14" t="s">
        <v>2049</v>
      </c>
      <c r="P452" s="14" t="s">
        <v>1949</v>
      </c>
      <c r="Q452" s="14"/>
      <c r="R452" s="14" t="s">
        <v>1927</v>
      </c>
      <c r="S452" s="14"/>
      <c r="T452" s="14"/>
    </row>
    <row r="453" ht="13.5" customHeight="1" spans="1:20">
      <c r="A453" s="13" t="s">
        <v>3517</v>
      </c>
      <c r="B453" s="13" t="s">
        <v>1706</v>
      </c>
      <c r="C453" s="13" t="s">
        <v>1999</v>
      </c>
      <c r="D453" s="13" t="s">
        <v>2901</v>
      </c>
      <c r="E453" s="13" t="s">
        <v>3461</v>
      </c>
      <c r="F453" s="13" t="s">
        <v>1931</v>
      </c>
      <c r="G453" s="13" t="s">
        <v>1921</v>
      </c>
      <c r="H453" s="13" t="s">
        <v>3518</v>
      </c>
      <c r="I453" s="13" t="s">
        <v>2010</v>
      </c>
      <c r="J453" s="13" t="s">
        <v>3519</v>
      </c>
      <c r="K453" s="14">
        <v>1</v>
      </c>
      <c r="L453" s="13" t="s">
        <v>1706</v>
      </c>
      <c r="M453" s="13" t="s">
        <v>3517</v>
      </c>
      <c r="N453" s="13" t="s">
        <v>206</v>
      </c>
      <c r="O453" s="14" t="s">
        <v>1925</v>
      </c>
      <c r="P453" s="14" t="s">
        <v>1937</v>
      </c>
      <c r="Q453" s="14" t="s">
        <v>3520</v>
      </c>
      <c r="R453" s="14" t="s">
        <v>1927</v>
      </c>
      <c r="S453" s="14"/>
      <c r="T453" s="14"/>
    </row>
    <row r="454" ht="13.5" customHeight="1" spans="1:20">
      <c r="A454" s="13" t="s">
        <v>3521</v>
      </c>
      <c r="B454" s="13" t="s">
        <v>1716</v>
      </c>
      <c r="C454" s="13" t="s">
        <v>1999</v>
      </c>
      <c r="D454" s="13" t="s">
        <v>259</v>
      </c>
      <c r="E454" s="13" t="s">
        <v>3480</v>
      </c>
      <c r="F454" s="13" t="s">
        <v>1931</v>
      </c>
      <c r="G454" s="13" t="s">
        <v>2272</v>
      </c>
      <c r="H454" s="13" t="s">
        <v>1947</v>
      </c>
      <c r="I454" s="13" t="s">
        <v>1923</v>
      </c>
      <c r="J454" s="13" t="s">
        <v>3522</v>
      </c>
      <c r="K454" s="14">
        <v>1</v>
      </c>
      <c r="L454" s="13" t="s">
        <v>1716</v>
      </c>
      <c r="M454" s="13" t="s">
        <v>3521</v>
      </c>
      <c r="N454" s="13" t="s">
        <v>206</v>
      </c>
      <c r="O454" s="14" t="s">
        <v>1996</v>
      </c>
      <c r="P454" s="14" t="s">
        <v>1949</v>
      </c>
      <c r="Q454" s="14"/>
      <c r="R454" s="14" t="s">
        <v>1927</v>
      </c>
      <c r="S454" s="14"/>
      <c r="T454" s="14"/>
    </row>
    <row r="455" ht="13.5" customHeight="1" spans="1:20">
      <c r="A455" s="13" t="s">
        <v>3523</v>
      </c>
      <c r="B455" s="13" t="s">
        <v>1331</v>
      </c>
      <c r="C455" s="13" t="s">
        <v>1918</v>
      </c>
      <c r="D455" s="13" t="s">
        <v>3252</v>
      </c>
      <c r="E455" s="13" t="s">
        <v>3524</v>
      </c>
      <c r="F455" s="13" t="s">
        <v>1920</v>
      </c>
      <c r="G455" s="13" t="s">
        <v>1958</v>
      </c>
      <c r="H455" s="13" t="s">
        <v>1947</v>
      </c>
      <c r="I455" s="13" t="s">
        <v>1977</v>
      </c>
      <c r="J455" s="13" t="s">
        <v>3525</v>
      </c>
      <c r="K455" s="14">
        <v>1</v>
      </c>
      <c r="L455" s="13" t="s">
        <v>1331</v>
      </c>
      <c r="M455" s="13" t="s">
        <v>3523</v>
      </c>
      <c r="N455" s="13" t="s">
        <v>186</v>
      </c>
      <c r="O455" s="14" t="s">
        <v>1925</v>
      </c>
      <c r="P455" s="14" t="s">
        <v>1949</v>
      </c>
      <c r="Q455" s="14"/>
      <c r="R455" s="14" t="s">
        <v>1939</v>
      </c>
      <c r="S455" s="14"/>
      <c r="T455" s="14"/>
    </row>
    <row r="456" ht="13.5" customHeight="1" spans="1:20">
      <c r="A456" s="13" t="s">
        <v>3526</v>
      </c>
      <c r="B456" s="13" t="s">
        <v>1342</v>
      </c>
      <c r="C456" s="13" t="s">
        <v>1918</v>
      </c>
      <c r="D456" s="13" t="s">
        <v>1992</v>
      </c>
      <c r="E456" s="13" t="s">
        <v>3524</v>
      </c>
      <c r="F456" s="13" t="s">
        <v>1931</v>
      </c>
      <c r="G456" s="13" t="s">
        <v>1932</v>
      </c>
      <c r="H456" s="13" t="s">
        <v>1947</v>
      </c>
      <c r="I456" s="13" t="s">
        <v>1934</v>
      </c>
      <c r="J456" s="13" t="s">
        <v>3527</v>
      </c>
      <c r="K456" s="14">
        <v>1</v>
      </c>
      <c r="L456" s="13" t="s">
        <v>1342</v>
      </c>
      <c r="M456" s="13" t="s">
        <v>3526</v>
      </c>
      <c r="N456" s="13" t="s">
        <v>186</v>
      </c>
      <c r="O456" s="14" t="s">
        <v>1925</v>
      </c>
      <c r="P456" s="14" t="s">
        <v>1949</v>
      </c>
      <c r="Q456" s="14"/>
      <c r="R456" s="14" t="s">
        <v>1939</v>
      </c>
      <c r="S456" s="14"/>
      <c r="T456" s="14"/>
    </row>
    <row r="457" ht="13.5" customHeight="1" spans="1:20">
      <c r="A457" s="13" t="s">
        <v>3528</v>
      </c>
      <c r="B457" s="13" t="s">
        <v>1344</v>
      </c>
      <c r="C457" s="13" t="s">
        <v>1918</v>
      </c>
      <c r="D457" s="13" t="s">
        <v>1992</v>
      </c>
      <c r="E457" s="13" t="s">
        <v>3524</v>
      </c>
      <c r="F457" s="13" t="s">
        <v>1931</v>
      </c>
      <c r="G457" s="13" t="s">
        <v>1932</v>
      </c>
      <c r="H457" s="13" t="s">
        <v>1942</v>
      </c>
      <c r="I457" s="13" t="s">
        <v>3529</v>
      </c>
      <c r="J457" s="13" t="s">
        <v>3530</v>
      </c>
      <c r="K457" s="14">
        <v>1</v>
      </c>
      <c r="L457" s="13" t="s">
        <v>1344</v>
      </c>
      <c r="M457" s="13" t="s">
        <v>3528</v>
      </c>
      <c r="N457" s="13" t="s">
        <v>186</v>
      </c>
      <c r="O457" s="14" t="s">
        <v>1925</v>
      </c>
      <c r="P457" s="14" t="s">
        <v>1944</v>
      </c>
      <c r="Q457" s="14"/>
      <c r="R457" s="14" t="s">
        <v>1939</v>
      </c>
      <c r="S457" s="14"/>
      <c r="T457" s="14"/>
    </row>
    <row r="458" ht="13.5" customHeight="1" spans="1:20">
      <c r="A458" s="13" t="s">
        <v>3531</v>
      </c>
      <c r="B458" s="13" t="s">
        <v>1345</v>
      </c>
      <c r="C458" s="13" t="s">
        <v>1918</v>
      </c>
      <c r="D458" s="13" t="s">
        <v>1992</v>
      </c>
      <c r="E458" s="13" t="s">
        <v>3524</v>
      </c>
      <c r="F458" s="13" t="s">
        <v>1931</v>
      </c>
      <c r="G458" s="13" t="s">
        <v>1932</v>
      </c>
      <c r="H458" s="13" t="s">
        <v>1942</v>
      </c>
      <c r="I458" s="13" t="s">
        <v>3529</v>
      </c>
      <c r="J458" s="13" t="s">
        <v>3532</v>
      </c>
      <c r="K458" s="14">
        <v>1</v>
      </c>
      <c r="L458" s="13" t="s">
        <v>1345</v>
      </c>
      <c r="M458" s="13" t="s">
        <v>3531</v>
      </c>
      <c r="N458" s="13" t="s">
        <v>186</v>
      </c>
      <c r="O458" s="14" t="s">
        <v>1925</v>
      </c>
      <c r="P458" s="14" t="s">
        <v>1944</v>
      </c>
      <c r="Q458" s="14"/>
      <c r="R458" s="14" t="s">
        <v>1939</v>
      </c>
      <c r="S458" s="14"/>
      <c r="T458" s="14"/>
    </row>
    <row r="459" ht="13.5" customHeight="1" spans="1:20">
      <c r="A459" s="13" t="s">
        <v>3533</v>
      </c>
      <c r="B459" s="13" t="s">
        <v>1353</v>
      </c>
      <c r="C459" s="13" t="s">
        <v>1918</v>
      </c>
      <c r="D459" s="13" t="s">
        <v>1992</v>
      </c>
      <c r="E459" s="13" t="s">
        <v>3524</v>
      </c>
      <c r="F459" s="13" t="s">
        <v>1931</v>
      </c>
      <c r="G459" s="13" t="s">
        <v>1941</v>
      </c>
      <c r="H459" s="13" t="s">
        <v>1942</v>
      </c>
      <c r="I459" s="13" t="s">
        <v>3529</v>
      </c>
      <c r="J459" s="13" t="s">
        <v>3534</v>
      </c>
      <c r="K459" s="14">
        <v>1</v>
      </c>
      <c r="L459" s="13" t="s">
        <v>1353</v>
      </c>
      <c r="M459" s="13" t="s">
        <v>3533</v>
      </c>
      <c r="N459" s="13" t="s">
        <v>186</v>
      </c>
      <c r="O459" s="14" t="s">
        <v>1925</v>
      </c>
      <c r="P459" s="14" t="s">
        <v>1944</v>
      </c>
      <c r="Q459" s="14"/>
      <c r="R459" s="14" t="s">
        <v>1939</v>
      </c>
      <c r="S459" s="14"/>
      <c r="T459" s="14"/>
    </row>
    <row r="460" ht="13.5" customHeight="1" spans="1:20">
      <c r="A460" s="13" t="s">
        <v>3535</v>
      </c>
      <c r="B460" s="13" t="s">
        <v>1357</v>
      </c>
      <c r="C460" s="13" t="s">
        <v>1918</v>
      </c>
      <c r="D460" s="13" t="s">
        <v>259</v>
      </c>
      <c r="E460" s="13" t="s">
        <v>3524</v>
      </c>
      <c r="F460" s="13" t="s">
        <v>1931</v>
      </c>
      <c r="G460" s="13" t="s">
        <v>1921</v>
      </c>
      <c r="H460" s="13" t="s">
        <v>1942</v>
      </c>
      <c r="I460" s="13" t="s">
        <v>1934</v>
      </c>
      <c r="J460" s="13" t="s">
        <v>3536</v>
      </c>
      <c r="K460" s="14">
        <v>1</v>
      </c>
      <c r="L460" s="13" t="s">
        <v>1357</v>
      </c>
      <c r="M460" s="13" t="s">
        <v>3535</v>
      </c>
      <c r="N460" s="13" t="s">
        <v>186</v>
      </c>
      <c r="O460" s="14" t="s">
        <v>1925</v>
      </c>
      <c r="P460" s="14" t="s">
        <v>1944</v>
      </c>
      <c r="Q460" s="14"/>
      <c r="R460" s="14" t="s">
        <v>1939</v>
      </c>
      <c r="S460" s="14"/>
      <c r="T460" s="14"/>
    </row>
    <row r="461" ht="13.5" customHeight="1" spans="1:20">
      <c r="A461" s="13" t="s">
        <v>3537</v>
      </c>
      <c r="B461" s="13" t="s">
        <v>1459</v>
      </c>
      <c r="C461" s="13" t="s">
        <v>1999</v>
      </c>
      <c r="D461" s="13" t="s">
        <v>2082</v>
      </c>
      <c r="E461" s="13" t="s">
        <v>3524</v>
      </c>
      <c r="F461" s="13" t="s">
        <v>1931</v>
      </c>
      <c r="G461" s="13" t="s">
        <v>1952</v>
      </c>
      <c r="H461" s="13" t="s">
        <v>1947</v>
      </c>
      <c r="I461" s="13" t="s">
        <v>3538</v>
      </c>
      <c r="J461" s="13" t="s">
        <v>3539</v>
      </c>
      <c r="K461" s="14">
        <v>1</v>
      </c>
      <c r="L461" s="13" t="s">
        <v>1459</v>
      </c>
      <c r="M461" s="13" t="s">
        <v>3537</v>
      </c>
      <c r="N461" s="13" t="s">
        <v>186</v>
      </c>
      <c r="O461" s="14" t="s">
        <v>1925</v>
      </c>
      <c r="P461" s="14" t="s">
        <v>1949</v>
      </c>
      <c r="Q461" s="14"/>
      <c r="R461" s="14" t="s">
        <v>1939</v>
      </c>
      <c r="S461" s="14"/>
      <c r="T461" s="14"/>
    </row>
    <row r="462" ht="13.5" customHeight="1" spans="1:20">
      <c r="A462" s="13" t="s">
        <v>3540</v>
      </c>
      <c r="B462" s="13" t="s">
        <v>1470</v>
      </c>
      <c r="C462" s="13" t="s">
        <v>1999</v>
      </c>
      <c r="D462" s="13" t="s">
        <v>2089</v>
      </c>
      <c r="E462" s="13" t="s">
        <v>3524</v>
      </c>
      <c r="F462" s="13" t="s">
        <v>1931</v>
      </c>
      <c r="G462" s="13" t="s">
        <v>1946</v>
      </c>
      <c r="H462" s="13" t="s">
        <v>3541</v>
      </c>
      <c r="I462" s="13" t="s">
        <v>1967</v>
      </c>
      <c r="J462" s="13" t="s">
        <v>3542</v>
      </c>
      <c r="K462" s="14">
        <v>1</v>
      </c>
      <c r="L462" s="13" t="s">
        <v>1470</v>
      </c>
      <c r="M462" s="13" t="s">
        <v>3540</v>
      </c>
      <c r="N462" s="13" t="s">
        <v>186</v>
      </c>
      <c r="O462" s="14" t="s">
        <v>1925</v>
      </c>
      <c r="P462" s="14" t="s">
        <v>1937</v>
      </c>
      <c r="Q462" s="14" t="s">
        <v>3543</v>
      </c>
      <c r="R462" s="14" t="s">
        <v>1939</v>
      </c>
      <c r="S462" s="14"/>
      <c r="T462" s="14"/>
    </row>
    <row r="463" ht="13.5" customHeight="1" spans="1:20">
      <c r="A463" s="13" t="s">
        <v>3544</v>
      </c>
      <c r="B463" s="13" t="s">
        <v>1497</v>
      </c>
      <c r="C463" s="13" t="s">
        <v>1999</v>
      </c>
      <c r="D463" s="13" t="s">
        <v>3545</v>
      </c>
      <c r="E463" s="13" t="s">
        <v>3524</v>
      </c>
      <c r="F463" s="13" t="s">
        <v>1977</v>
      </c>
      <c r="G463" s="13" t="s">
        <v>2056</v>
      </c>
      <c r="H463" s="13" t="s">
        <v>3546</v>
      </c>
      <c r="I463" s="13" t="s">
        <v>1934</v>
      </c>
      <c r="J463" s="13" t="s">
        <v>3547</v>
      </c>
      <c r="K463" s="14">
        <v>1</v>
      </c>
      <c r="L463" s="13" t="s">
        <v>1497</v>
      </c>
      <c r="M463" s="13" t="s">
        <v>3544</v>
      </c>
      <c r="N463" s="13" t="s">
        <v>186</v>
      </c>
      <c r="O463" s="14" t="s">
        <v>1925</v>
      </c>
      <c r="P463" s="14" t="s">
        <v>1937</v>
      </c>
      <c r="Q463" s="14" t="s">
        <v>3548</v>
      </c>
      <c r="R463" s="14" t="s">
        <v>1939</v>
      </c>
      <c r="S463" s="14"/>
      <c r="T463" s="14"/>
    </row>
    <row r="464" ht="13.5" customHeight="1" spans="1:20">
      <c r="A464" s="13" t="s">
        <v>3549</v>
      </c>
      <c r="B464" s="13" t="s">
        <v>1636</v>
      </c>
      <c r="C464" s="13" t="s">
        <v>1999</v>
      </c>
      <c r="D464" s="13" t="s">
        <v>230</v>
      </c>
      <c r="E464" s="13" t="s">
        <v>3524</v>
      </c>
      <c r="F464" s="13" t="s">
        <v>1931</v>
      </c>
      <c r="G464" s="13" t="s">
        <v>1932</v>
      </c>
      <c r="H464" s="13" t="s">
        <v>1922</v>
      </c>
      <c r="I464" s="13" t="s">
        <v>3550</v>
      </c>
      <c r="J464" s="13" t="s">
        <v>3551</v>
      </c>
      <c r="K464" s="14">
        <v>1</v>
      </c>
      <c r="L464" s="13" t="s">
        <v>1636</v>
      </c>
      <c r="M464" s="13" t="s">
        <v>3549</v>
      </c>
      <c r="N464" s="13" t="s">
        <v>186</v>
      </c>
      <c r="O464" s="14" t="s">
        <v>1925</v>
      </c>
      <c r="P464" s="14" t="s">
        <v>1926</v>
      </c>
      <c r="Q464" s="14"/>
      <c r="R464" s="14" t="s">
        <v>1939</v>
      </c>
      <c r="S464" s="14"/>
      <c r="T464" s="14"/>
    </row>
    <row r="465" ht="13.5" customHeight="1" spans="1:20">
      <c r="A465" s="13" t="s">
        <v>3552</v>
      </c>
      <c r="B465" s="13" t="s">
        <v>1673</v>
      </c>
      <c r="C465" s="13" t="s">
        <v>1999</v>
      </c>
      <c r="D465" s="13" t="s">
        <v>259</v>
      </c>
      <c r="E465" s="13" t="s">
        <v>3524</v>
      </c>
      <c r="F465" s="13" t="s">
        <v>1931</v>
      </c>
      <c r="G465" s="13" t="s">
        <v>1932</v>
      </c>
      <c r="H465" s="13" t="s">
        <v>1947</v>
      </c>
      <c r="I465" s="13" t="s">
        <v>1934</v>
      </c>
      <c r="J465" s="13" t="s">
        <v>3553</v>
      </c>
      <c r="K465" s="14">
        <v>1</v>
      </c>
      <c r="L465" s="13" t="s">
        <v>1673</v>
      </c>
      <c r="M465" s="13" t="s">
        <v>3552</v>
      </c>
      <c r="N465" s="13" t="s">
        <v>186</v>
      </c>
      <c r="O465" s="14" t="s">
        <v>1925</v>
      </c>
      <c r="P465" s="14" t="s">
        <v>1949</v>
      </c>
      <c r="Q465" s="14"/>
      <c r="R465" s="14" t="s">
        <v>1939</v>
      </c>
      <c r="S465" s="14"/>
      <c r="T465" s="14"/>
    </row>
    <row r="466" ht="13.5" customHeight="1" spans="1:20">
      <c r="A466" s="13" t="s">
        <v>3554</v>
      </c>
      <c r="B466" s="13" t="s">
        <v>1715</v>
      </c>
      <c r="C466" s="13" t="s">
        <v>1999</v>
      </c>
      <c r="D466" s="13" t="s">
        <v>259</v>
      </c>
      <c r="E466" s="13" t="s">
        <v>3524</v>
      </c>
      <c r="F466" s="13" t="s">
        <v>1920</v>
      </c>
      <c r="G466" s="13" t="s">
        <v>2056</v>
      </c>
      <c r="H466" s="13" t="s">
        <v>3555</v>
      </c>
      <c r="I466" s="13" t="s">
        <v>1977</v>
      </c>
      <c r="J466" s="13" t="s">
        <v>3556</v>
      </c>
      <c r="K466" s="14">
        <v>1</v>
      </c>
      <c r="L466" s="13" t="s">
        <v>1715</v>
      </c>
      <c r="M466" s="13" t="s">
        <v>3554</v>
      </c>
      <c r="N466" s="13" t="s">
        <v>186</v>
      </c>
      <c r="O466" s="14" t="s">
        <v>1925</v>
      </c>
      <c r="P466" s="14" t="s">
        <v>1937</v>
      </c>
      <c r="Q466" s="14" t="s">
        <v>3557</v>
      </c>
      <c r="R466" s="14" t="s">
        <v>1939</v>
      </c>
      <c r="S466" s="14"/>
      <c r="T466" s="14"/>
    </row>
    <row r="467" ht="13.5" customHeight="1" spans="1:20">
      <c r="A467" s="13" t="s">
        <v>3558</v>
      </c>
      <c r="B467" s="13" t="s">
        <v>1717</v>
      </c>
      <c r="C467" s="13" t="s">
        <v>1999</v>
      </c>
      <c r="D467" s="13" t="s">
        <v>259</v>
      </c>
      <c r="E467" s="13" t="s">
        <v>3524</v>
      </c>
      <c r="F467" s="13" t="s">
        <v>1931</v>
      </c>
      <c r="G467" s="13" t="s">
        <v>1932</v>
      </c>
      <c r="H467" s="13" t="s">
        <v>3559</v>
      </c>
      <c r="I467" s="13" t="s">
        <v>1934</v>
      </c>
      <c r="J467" s="15" t="s">
        <v>3560</v>
      </c>
      <c r="K467" s="14">
        <v>1</v>
      </c>
      <c r="L467" s="13" t="s">
        <v>1717</v>
      </c>
      <c r="M467" s="13" t="s">
        <v>3558</v>
      </c>
      <c r="N467" s="13" t="s">
        <v>186</v>
      </c>
      <c r="O467" s="14" t="s">
        <v>1925</v>
      </c>
      <c r="P467" s="14" t="s">
        <v>1937</v>
      </c>
      <c r="Q467" s="14" t="s">
        <v>3561</v>
      </c>
      <c r="R467" s="14" t="s">
        <v>1939</v>
      </c>
      <c r="S467" s="14"/>
      <c r="T467" s="14"/>
    </row>
    <row r="468" ht="13.5" customHeight="1" spans="1:20">
      <c r="A468" s="13" t="s">
        <v>3562</v>
      </c>
      <c r="B468" s="13" t="s">
        <v>1734</v>
      </c>
      <c r="C468" s="13" t="s">
        <v>2233</v>
      </c>
      <c r="D468" s="13" t="s">
        <v>3252</v>
      </c>
      <c r="E468" s="13" t="s">
        <v>3524</v>
      </c>
      <c r="F468" s="13" t="s">
        <v>1920</v>
      </c>
      <c r="G468" s="13" t="s">
        <v>2056</v>
      </c>
      <c r="H468" s="13" t="s">
        <v>1947</v>
      </c>
      <c r="I468" s="13" t="s">
        <v>1977</v>
      </c>
      <c r="J468" s="13" t="s">
        <v>3563</v>
      </c>
      <c r="K468" s="14">
        <v>1</v>
      </c>
      <c r="L468" s="13" t="s">
        <v>1734</v>
      </c>
      <c r="M468" s="13" t="s">
        <v>3562</v>
      </c>
      <c r="N468" s="13" t="s">
        <v>186</v>
      </c>
      <c r="O468" s="14" t="s">
        <v>1925</v>
      </c>
      <c r="P468" s="14" t="s">
        <v>1949</v>
      </c>
      <c r="Q468" s="14"/>
      <c r="R468" s="14" t="s">
        <v>1939</v>
      </c>
      <c r="S468" s="14"/>
      <c r="T468" s="14"/>
    </row>
    <row r="469" ht="13.5" customHeight="1" spans="1:20">
      <c r="A469" s="13" t="s">
        <v>3564</v>
      </c>
      <c r="B469" s="13" t="s">
        <v>1743</v>
      </c>
      <c r="C469" s="13" t="s">
        <v>2233</v>
      </c>
      <c r="D469" s="13" t="s">
        <v>1992</v>
      </c>
      <c r="E469" s="13" t="s">
        <v>3524</v>
      </c>
      <c r="F469" s="13" t="s">
        <v>1931</v>
      </c>
      <c r="G469" s="13" t="s">
        <v>1932</v>
      </c>
      <c r="H469" s="13" t="s">
        <v>1947</v>
      </c>
      <c r="I469" s="13" t="s">
        <v>1934</v>
      </c>
      <c r="J469" s="13" t="s">
        <v>3565</v>
      </c>
      <c r="K469" s="14">
        <v>1</v>
      </c>
      <c r="L469" s="13" t="s">
        <v>1743</v>
      </c>
      <c r="M469" s="13" t="s">
        <v>3564</v>
      </c>
      <c r="N469" s="13" t="s">
        <v>186</v>
      </c>
      <c r="O469" s="14" t="s">
        <v>1925</v>
      </c>
      <c r="P469" s="14" t="s">
        <v>1949</v>
      </c>
      <c r="Q469" s="14"/>
      <c r="R469" s="14" t="s">
        <v>1939</v>
      </c>
      <c r="S469" s="14"/>
      <c r="T469" s="14"/>
    </row>
    <row r="470" ht="13.5" customHeight="1" spans="1:20">
      <c r="A470" s="13" t="s">
        <v>3566</v>
      </c>
      <c r="B470" s="13" t="s">
        <v>1745</v>
      </c>
      <c r="C470" s="13" t="s">
        <v>2233</v>
      </c>
      <c r="D470" s="13" t="s">
        <v>1992</v>
      </c>
      <c r="E470" s="13" t="s">
        <v>3524</v>
      </c>
      <c r="F470" s="13" t="s">
        <v>1931</v>
      </c>
      <c r="G470" s="13" t="s">
        <v>1932</v>
      </c>
      <c r="H470" s="13" t="s">
        <v>1942</v>
      </c>
      <c r="I470" s="13" t="s">
        <v>3567</v>
      </c>
      <c r="J470" s="13" t="s">
        <v>3568</v>
      </c>
      <c r="K470" s="14">
        <v>1</v>
      </c>
      <c r="L470" s="13" t="s">
        <v>1745</v>
      </c>
      <c r="M470" s="13" t="s">
        <v>3566</v>
      </c>
      <c r="N470" s="13" t="s">
        <v>186</v>
      </c>
      <c r="O470" s="14" t="s">
        <v>1925</v>
      </c>
      <c r="P470" s="14" t="s">
        <v>1944</v>
      </c>
      <c r="Q470" s="14"/>
      <c r="R470" s="14" t="s">
        <v>1939</v>
      </c>
      <c r="S470" s="14"/>
      <c r="T470" s="14"/>
    </row>
    <row r="471" ht="13.5" customHeight="1" spans="1:20">
      <c r="A471" s="13" t="s">
        <v>3569</v>
      </c>
      <c r="B471" s="13" t="s">
        <v>1746</v>
      </c>
      <c r="C471" s="13" t="s">
        <v>2233</v>
      </c>
      <c r="D471" s="13" t="s">
        <v>1992</v>
      </c>
      <c r="E471" s="13" t="s">
        <v>3524</v>
      </c>
      <c r="F471" s="13" t="s">
        <v>1931</v>
      </c>
      <c r="G471" s="13" t="s">
        <v>1932</v>
      </c>
      <c r="H471" s="13" t="s">
        <v>1942</v>
      </c>
      <c r="I471" s="13" t="s">
        <v>3529</v>
      </c>
      <c r="J471" s="13" t="s">
        <v>3570</v>
      </c>
      <c r="K471" s="14">
        <v>1</v>
      </c>
      <c r="L471" s="13" t="s">
        <v>1746</v>
      </c>
      <c r="M471" s="13" t="s">
        <v>3569</v>
      </c>
      <c r="N471" s="13" t="s">
        <v>186</v>
      </c>
      <c r="O471" s="14" t="s">
        <v>1925</v>
      </c>
      <c r="P471" s="14" t="s">
        <v>1944</v>
      </c>
      <c r="Q471" s="14"/>
      <c r="R471" s="14" t="s">
        <v>1939</v>
      </c>
      <c r="S471" s="14"/>
      <c r="T471" s="14"/>
    </row>
    <row r="472" ht="13.5" customHeight="1" spans="1:20">
      <c r="A472" s="13" t="s">
        <v>3571</v>
      </c>
      <c r="B472" s="13" t="s">
        <v>1754</v>
      </c>
      <c r="C472" s="13" t="s">
        <v>2233</v>
      </c>
      <c r="D472" s="13" t="s">
        <v>1992</v>
      </c>
      <c r="E472" s="13" t="s">
        <v>3524</v>
      </c>
      <c r="F472" s="13" t="s">
        <v>1931</v>
      </c>
      <c r="G472" s="13" t="s">
        <v>1941</v>
      </c>
      <c r="H472" s="13" t="s">
        <v>1942</v>
      </c>
      <c r="I472" s="13" t="s">
        <v>3529</v>
      </c>
      <c r="J472" s="13" t="s">
        <v>3572</v>
      </c>
      <c r="K472" s="14">
        <v>1</v>
      </c>
      <c r="L472" s="13" t="s">
        <v>1754</v>
      </c>
      <c r="M472" s="13" t="s">
        <v>3571</v>
      </c>
      <c r="N472" s="13" t="s">
        <v>186</v>
      </c>
      <c r="O472" s="14" t="s">
        <v>1925</v>
      </c>
      <c r="P472" s="14" t="s">
        <v>1944</v>
      </c>
      <c r="Q472" s="14"/>
      <c r="R472" s="14" t="s">
        <v>1939</v>
      </c>
      <c r="S472" s="14"/>
      <c r="T472" s="14"/>
    </row>
    <row r="473" ht="13.5" customHeight="1" spans="1:20">
      <c r="A473" s="13" t="s">
        <v>3573</v>
      </c>
      <c r="B473" s="13" t="s">
        <v>1441</v>
      </c>
      <c r="C473" s="13" t="s">
        <v>1999</v>
      </c>
      <c r="D473" s="13" t="s">
        <v>2082</v>
      </c>
      <c r="E473" s="13" t="s">
        <v>3574</v>
      </c>
      <c r="F473" s="13" t="s">
        <v>1931</v>
      </c>
      <c r="G473" s="13" t="s">
        <v>1921</v>
      </c>
      <c r="H473" s="13" t="s">
        <v>1947</v>
      </c>
      <c r="I473" s="13" t="s">
        <v>1967</v>
      </c>
      <c r="J473" s="13" t="s">
        <v>3575</v>
      </c>
      <c r="K473" s="14">
        <v>1</v>
      </c>
      <c r="L473" s="13" t="s">
        <v>1441</v>
      </c>
      <c r="M473" s="13" t="s">
        <v>3573</v>
      </c>
      <c r="N473" s="13" t="s">
        <v>186</v>
      </c>
      <c r="O473" s="14" t="s">
        <v>1969</v>
      </c>
      <c r="P473" s="14" t="s">
        <v>1949</v>
      </c>
      <c r="Q473" s="14"/>
      <c r="R473" s="14" t="s">
        <v>1939</v>
      </c>
      <c r="S473" s="14"/>
      <c r="T473" s="14"/>
    </row>
    <row r="474" ht="13.5" customHeight="1" spans="1:20">
      <c r="A474" s="13" t="s">
        <v>3576</v>
      </c>
      <c r="B474" s="13" t="s">
        <v>1610</v>
      </c>
      <c r="C474" s="13" t="s">
        <v>1999</v>
      </c>
      <c r="D474" s="13" t="s">
        <v>2195</v>
      </c>
      <c r="E474" s="13" t="s">
        <v>3574</v>
      </c>
      <c r="F474" s="13" t="s">
        <v>1931</v>
      </c>
      <c r="G474" s="13" t="s">
        <v>2056</v>
      </c>
      <c r="H474" s="13" t="s">
        <v>3577</v>
      </c>
      <c r="I474" s="13" t="s">
        <v>1923</v>
      </c>
      <c r="J474" s="13" t="s">
        <v>3578</v>
      </c>
      <c r="K474" s="14">
        <v>1</v>
      </c>
      <c r="L474" s="13" t="s">
        <v>1610</v>
      </c>
      <c r="M474" s="13" t="s">
        <v>3576</v>
      </c>
      <c r="N474" s="13" t="s">
        <v>186</v>
      </c>
      <c r="O474" s="14" t="s">
        <v>1969</v>
      </c>
      <c r="P474" s="14" t="s">
        <v>1937</v>
      </c>
      <c r="Q474" s="14" t="s">
        <v>3579</v>
      </c>
      <c r="R474" s="14" t="s">
        <v>1927</v>
      </c>
      <c r="S474" s="14"/>
      <c r="T474" s="14"/>
    </row>
    <row r="475" ht="13.5" customHeight="1" spans="1:20">
      <c r="A475" s="13" t="s">
        <v>3580</v>
      </c>
      <c r="B475" s="13" t="s">
        <v>1449</v>
      </c>
      <c r="C475" s="13" t="s">
        <v>1999</v>
      </c>
      <c r="D475" s="13" t="s">
        <v>2082</v>
      </c>
      <c r="E475" s="13" t="s">
        <v>3581</v>
      </c>
      <c r="F475" s="13" t="s">
        <v>1931</v>
      </c>
      <c r="G475" s="13" t="s">
        <v>1921</v>
      </c>
      <c r="H475" s="13" t="s">
        <v>3582</v>
      </c>
      <c r="I475" s="13" t="s">
        <v>1923</v>
      </c>
      <c r="J475" s="13" t="s">
        <v>3583</v>
      </c>
      <c r="K475" s="14">
        <v>1</v>
      </c>
      <c r="L475" s="13" t="s">
        <v>1449</v>
      </c>
      <c r="M475" s="13" t="s">
        <v>3580</v>
      </c>
      <c r="N475" s="13" t="s">
        <v>186</v>
      </c>
      <c r="O475" s="14" t="s">
        <v>2028</v>
      </c>
      <c r="P475" s="14" t="s">
        <v>1981</v>
      </c>
      <c r="Q475" s="14" t="s">
        <v>3584</v>
      </c>
      <c r="R475" s="14" t="s">
        <v>1927</v>
      </c>
      <c r="S475" s="14"/>
      <c r="T475" s="14"/>
    </row>
    <row r="476" ht="13.5" customHeight="1" spans="1:20">
      <c r="A476" s="13" t="s">
        <v>3585</v>
      </c>
      <c r="B476" s="13" t="s">
        <v>1551</v>
      </c>
      <c r="C476" s="13" t="s">
        <v>1999</v>
      </c>
      <c r="D476" s="16" t="s">
        <v>2155</v>
      </c>
      <c r="E476" s="13" t="s">
        <v>3581</v>
      </c>
      <c r="F476" s="13" t="s">
        <v>1931</v>
      </c>
      <c r="G476" s="13" t="s">
        <v>1941</v>
      </c>
      <c r="H476" s="13" t="s">
        <v>1922</v>
      </c>
      <c r="I476" s="13" t="s">
        <v>1934</v>
      </c>
      <c r="J476" s="13" t="s">
        <v>3586</v>
      </c>
      <c r="K476" s="14">
        <v>1</v>
      </c>
      <c r="L476" s="13" t="s">
        <v>1551</v>
      </c>
      <c r="M476" s="13" t="s">
        <v>3585</v>
      </c>
      <c r="N476" s="13" t="s">
        <v>186</v>
      </c>
      <c r="O476" s="14" t="s">
        <v>2028</v>
      </c>
      <c r="P476" s="14" t="s">
        <v>1926</v>
      </c>
      <c r="Q476" s="14"/>
      <c r="R476" s="14" t="s">
        <v>1939</v>
      </c>
      <c r="S476" s="14"/>
      <c r="T476" s="14"/>
    </row>
    <row r="477" ht="13.5" customHeight="1" spans="1:20">
      <c r="A477" s="13" t="s">
        <v>3587</v>
      </c>
      <c r="B477" s="13" t="s">
        <v>1456</v>
      </c>
      <c r="C477" s="13" t="s">
        <v>1999</v>
      </c>
      <c r="D477" s="13" t="s">
        <v>2082</v>
      </c>
      <c r="E477" s="13" t="s">
        <v>3588</v>
      </c>
      <c r="F477" s="13" t="s">
        <v>1931</v>
      </c>
      <c r="G477" s="13" t="s">
        <v>1932</v>
      </c>
      <c r="H477" s="13" t="s">
        <v>3589</v>
      </c>
      <c r="I477" s="13" t="s">
        <v>1977</v>
      </c>
      <c r="J477" s="13" t="s">
        <v>3590</v>
      </c>
      <c r="K477" s="14">
        <v>1</v>
      </c>
      <c r="L477" s="13" t="s">
        <v>1456</v>
      </c>
      <c r="M477" s="13" t="s">
        <v>3587</v>
      </c>
      <c r="N477" s="13" t="s">
        <v>186</v>
      </c>
      <c r="O477" s="14" t="s">
        <v>2049</v>
      </c>
      <c r="P477" s="14" t="s">
        <v>1981</v>
      </c>
      <c r="Q477" s="14" t="s">
        <v>2622</v>
      </c>
      <c r="R477" s="14" t="s">
        <v>1939</v>
      </c>
      <c r="S477" s="14"/>
      <c r="T477" s="14"/>
    </row>
    <row r="478" ht="13.5" customHeight="1" spans="1:20">
      <c r="A478" s="13" t="s">
        <v>3591</v>
      </c>
      <c r="B478" s="13" t="s">
        <v>1304</v>
      </c>
      <c r="C478" s="13" t="s">
        <v>1918</v>
      </c>
      <c r="D478" s="13" t="s">
        <v>3592</v>
      </c>
      <c r="E478" s="13" t="s">
        <v>3593</v>
      </c>
      <c r="F478" s="13" t="s">
        <v>1931</v>
      </c>
      <c r="G478" s="13" t="s">
        <v>1941</v>
      </c>
      <c r="H478" s="13" t="s">
        <v>1947</v>
      </c>
      <c r="I478" s="13" t="s">
        <v>1934</v>
      </c>
      <c r="J478" s="13" t="s">
        <v>3594</v>
      </c>
      <c r="K478" s="14">
        <v>1</v>
      </c>
      <c r="L478" s="13" t="s">
        <v>1304</v>
      </c>
      <c r="M478" s="13" t="s">
        <v>3591</v>
      </c>
      <c r="N478" s="13" t="s">
        <v>186</v>
      </c>
      <c r="O478" s="14" t="s">
        <v>1974</v>
      </c>
      <c r="P478" s="14" t="s">
        <v>1949</v>
      </c>
      <c r="Q478" s="14"/>
      <c r="R478" s="14" t="s">
        <v>1939</v>
      </c>
      <c r="S478" s="14"/>
      <c r="T478" s="14"/>
    </row>
    <row r="479" ht="13.5" customHeight="1" spans="1:20">
      <c r="A479" s="13" t="s">
        <v>3595</v>
      </c>
      <c r="B479" s="13" t="s">
        <v>1387</v>
      </c>
      <c r="C479" s="13" t="s">
        <v>1999</v>
      </c>
      <c r="D479" s="13" t="s">
        <v>2031</v>
      </c>
      <c r="E479" s="13" t="s">
        <v>3593</v>
      </c>
      <c r="F479" s="13" t="s">
        <v>1931</v>
      </c>
      <c r="G479" s="13" t="s">
        <v>1946</v>
      </c>
      <c r="H479" s="13" t="s">
        <v>2039</v>
      </c>
      <c r="I479" s="13" t="s">
        <v>1967</v>
      </c>
      <c r="J479" s="13" t="s">
        <v>3596</v>
      </c>
      <c r="K479" s="14">
        <v>1</v>
      </c>
      <c r="L479" s="13" t="s">
        <v>1387</v>
      </c>
      <c r="M479" s="13" t="s">
        <v>3595</v>
      </c>
      <c r="N479" s="13" t="s">
        <v>186</v>
      </c>
      <c r="O479" s="14" t="s">
        <v>1974</v>
      </c>
      <c r="P479" s="14" t="s">
        <v>1949</v>
      </c>
      <c r="Q479" s="14"/>
      <c r="R479" s="14" t="s">
        <v>1939</v>
      </c>
      <c r="S479" s="14"/>
      <c r="T479" s="14"/>
    </row>
    <row r="480" ht="13.5" customHeight="1" spans="1:20">
      <c r="A480" s="13" t="s">
        <v>3597</v>
      </c>
      <c r="B480" s="13" t="s">
        <v>1633</v>
      </c>
      <c r="C480" s="13" t="s">
        <v>1999</v>
      </c>
      <c r="D480" s="13" t="s">
        <v>230</v>
      </c>
      <c r="E480" s="13" t="s">
        <v>3593</v>
      </c>
      <c r="F480" s="13" t="s">
        <v>1931</v>
      </c>
      <c r="G480" s="13" t="s">
        <v>2056</v>
      </c>
      <c r="H480" s="13" t="s">
        <v>1947</v>
      </c>
      <c r="I480" s="13" t="s">
        <v>1934</v>
      </c>
      <c r="J480" s="13" t="s">
        <v>3598</v>
      </c>
      <c r="K480" s="14">
        <v>1</v>
      </c>
      <c r="L480" s="13" t="s">
        <v>1633</v>
      </c>
      <c r="M480" s="13" t="s">
        <v>3597</v>
      </c>
      <c r="N480" s="13" t="s">
        <v>186</v>
      </c>
      <c r="O480" s="14" t="s">
        <v>1974</v>
      </c>
      <c r="P480" s="14" t="s">
        <v>1949</v>
      </c>
      <c r="Q480" s="14"/>
      <c r="R480" s="14" t="s">
        <v>1939</v>
      </c>
      <c r="S480" s="14"/>
      <c r="T480" s="14"/>
    </row>
    <row r="481" ht="13.5" customHeight="1" spans="1:20">
      <c r="A481" s="13" t="s">
        <v>3599</v>
      </c>
      <c r="B481" s="13" t="s">
        <v>1297</v>
      </c>
      <c r="C481" s="13" t="s">
        <v>1918</v>
      </c>
      <c r="D481" s="13" t="s">
        <v>2768</v>
      </c>
      <c r="E481" s="13" t="s">
        <v>3600</v>
      </c>
      <c r="F481" s="13" t="s">
        <v>1931</v>
      </c>
      <c r="G481" s="13" t="s">
        <v>2286</v>
      </c>
      <c r="H481" s="13" t="s">
        <v>1942</v>
      </c>
      <c r="I481" s="13" t="s">
        <v>1934</v>
      </c>
      <c r="J481" s="13" t="s">
        <v>3601</v>
      </c>
      <c r="K481" s="14">
        <v>1</v>
      </c>
      <c r="L481" s="13" t="s">
        <v>1297</v>
      </c>
      <c r="M481" s="13" t="s">
        <v>3599</v>
      </c>
      <c r="N481" s="13" t="s">
        <v>186</v>
      </c>
      <c r="O481" s="14" t="s">
        <v>1936</v>
      </c>
      <c r="P481" s="14" t="s">
        <v>1944</v>
      </c>
      <c r="Q481" s="14"/>
      <c r="R481" s="14" t="s">
        <v>1939</v>
      </c>
      <c r="S481" s="14"/>
      <c r="T481" s="14"/>
    </row>
    <row r="482" ht="13.5" customHeight="1" spans="1:20">
      <c r="A482" s="13" t="s">
        <v>3602</v>
      </c>
      <c r="B482" s="13" t="s">
        <v>1308</v>
      </c>
      <c r="C482" s="13" t="s">
        <v>1918</v>
      </c>
      <c r="D482" s="13" t="s">
        <v>230</v>
      </c>
      <c r="E482" s="13" t="s">
        <v>3600</v>
      </c>
      <c r="F482" s="13" t="s">
        <v>1931</v>
      </c>
      <c r="G482" s="13" t="s">
        <v>2286</v>
      </c>
      <c r="H482" s="13" t="s">
        <v>3603</v>
      </c>
      <c r="I482" s="13" t="s">
        <v>1934</v>
      </c>
      <c r="J482" s="13" t="s">
        <v>3604</v>
      </c>
      <c r="K482" s="14">
        <v>1</v>
      </c>
      <c r="L482" s="13" t="s">
        <v>1308</v>
      </c>
      <c r="M482" s="13" t="s">
        <v>3602</v>
      </c>
      <c r="N482" s="13" t="s">
        <v>186</v>
      </c>
      <c r="O482" s="14" t="s">
        <v>1936</v>
      </c>
      <c r="P482" s="14" t="s">
        <v>2095</v>
      </c>
      <c r="Q482" s="14" t="s">
        <v>3605</v>
      </c>
      <c r="R482" s="14" t="s">
        <v>1939</v>
      </c>
      <c r="S482" s="14"/>
      <c r="T482" s="14"/>
    </row>
    <row r="483" ht="13.5" customHeight="1" spans="1:20">
      <c r="A483" s="13" t="s">
        <v>3606</v>
      </c>
      <c r="B483" s="13" t="s">
        <v>1352</v>
      </c>
      <c r="C483" s="13" t="s">
        <v>1918</v>
      </c>
      <c r="D483" s="13" t="s">
        <v>2278</v>
      </c>
      <c r="E483" s="13" t="s">
        <v>3600</v>
      </c>
      <c r="F483" s="13" t="s">
        <v>1931</v>
      </c>
      <c r="G483" s="13" t="s">
        <v>1941</v>
      </c>
      <c r="H483" s="13" t="s">
        <v>1947</v>
      </c>
      <c r="I483" s="13" t="s">
        <v>1934</v>
      </c>
      <c r="J483" s="13" t="s">
        <v>3607</v>
      </c>
      <c r="K483" s="14">
        <v>1</v>
      </c>
      <c r="L483" s="13" t="s">
        <v>1352</v>
      </c>
      <c r="M483" s="13" t="s">
        <v>3608</v>
      </c>
      <c r="N483" s="13" t="s">
        <v>186</v>
      </c>
      <c r="O483" s="14" t="s">
        <v>1936</v>
      </c>
      <c r="P483" s="14" t="s">
        <v>1949</v>
      </c>
      <c r="Q483" s="14"/>
      <c r="R483" s="14" t="s">
        <v>1939</v>
      </c>
      <c r="S483" s="14"/>
      <c r="T483" s="14"/>
    </row>
    <row r="484" ht="13.5" customHeight="1" spans="1:20">
      <c r="A484" s="13" t="s">
        <v>3609</v>
      </c>
      <c r="B484" s="13" t="s">
        <v>1359</v>
      </c>
      <c r="C484" s="13" t="s">
        <v>3610</v>
      </c>
      <c r="D484" s="13" t="s">
        <v>3611</v>
      </c>
      <c r="E484" s="13" t="s">
        <v>3600</v>
      </c>
      <c r="F484" s="13" t="s">
        <v>1931</v>
      </c>
      <c r="G484" s="13" t="s">
        <v>2286</v>
      </c>
      <c r="H484" s="13" t="s">
        <v>3612</v>
      </c>
      <c r="I484" s="13" t="s">
        <v>1967</v>
      </c>
      <c r="J484" s="13" t="s">
        <v>3613</v>
      </c>
      <c r="K484" s="14">
        <v>1</v>
      </c>
      <c r="L484" s="13" t="s">
        <v>1359</v>
      </c>
      <c r="M484" s="13" t="s">
        <v>3609</v>
      </c>
      <c r="N484" s="13" t="s">
        <v>186</v>
      </c>
      <c r="O484" s="14" t="s">
        <v>1936</v>
      </c>
      <c r="P484" s="14" t="s">
        <v>2095</v>
      </c>
      <c r="Q484" s="14" t="s">
        <v>3614</v>
      </c>
      <c r="R484" s="14" t="s">
        <v>1939</v>
      </c>
      <c r="S484" s="14"/>
      <c r="T484" s="14"/>
    </row>
    <row r="485" ht="13.5" customHeight="1" spans="1:20">
      <c r="A485" s="13" t="s">
        <v>3615</v>
      </c>
      <c r="B485" s="13" t="s">
        <v>1360</v>
      </c>
      <c r="C485" s="13" t="s">
        <v>3610</v>
      </c>
      <c r="D485" s="13" t="s">
        <v>3611</v>
      </c>
      <c r="E485" s="13" t="s">
        <v>3600</v>
      </c>
      <c r="F485" s="13" t="s">
        <v>1931</v>
      </c>
      <c r="G485" s="13" t="s">
        <v>2286</v>
      </c>
      <c r="H485" s="13" t="s">
        <v>3612</v>
      </c>
      <c r="I485" s="13" t="s">
        <v>1934</v>
      </c>
      <c r="J485" s="13" t="s">
        <v>3616</v>
      </c>
      <c r="K485" s="14">
        <v>1</v>
      </c>
      <c r="L485" s="13" t="s">
        <v>1360</v>
      </c>
      <c r="M485" s="13" t="s">
        <v>3615</v>
      </c>
      <c r="N485" s="13" t="s">
        <v>186</v>
      </c>
      <c r="O485" s="14" t="s">
        <v>1936</v>
      </c>
      <c r="P485" s="14" t="s">
        <v>2095</v>
      </c>
      <c r="Q485" s="14" t="s">
        <v>3614</v>
      </c>
      <c r="R485" s="14" t="s">
        <v>1939</v>
      </c>
      <c r="S485" s="14"/>
      <c r="T485" s="14"/>
    </row>
    <row r="486" ht="13.5" customHeight="1" spans="1:20">
      <c r="A486" s="13" t="s">
        <v>3617</v>
      </c>
      <c r="B486" s="13" t="s">
        <v>1361</v>
      </c>
      <c r="C486" s="13" t="s">
        <v>3610</v>
      </c>
      <c r="D486" s="13" t="s">
        <v>3611</v>
      </c>
      <c r="E486" s="13" t="s">
        <v>3600</v>
      </c>
      <c r="F486" s="13" t="s">
        <v>1931</v>
      </c>
      <c r="G486" s="13" t="s">
        <v>3618</v>
      </c>
      <c r="H486" s="13" t="s">
        <v>1922</v>
      </c>
      <c r="I486" s="13" t="s">
        <v>1934</v>
      </c>
      <c r="J486" s="13" t="s">
        <v>3619</v>
      </c>
      <c r="K486" s="14">
        <v>1</v>
      </c>
      <c r="L486" s="13" t="s">
        <v>1361</v>
      </c>
      <c r="M486" s="13" t="s">
        <v>3617</v>
      </c>
      <c r="N486" s="13" t="s">
        <v>186</v>
      </c>
      <c r="O486" s="14" t="s">
        <v>1936</v>
      </c>
      <c r="P486" s="14" t="s">
        <v>1926</v>
      </c>
      <c r="Q486" s="14"/>
      <c r="R486" s="14" t="s">
        <v>1939</v>
      </c>
      <c r="S486" s="14"/>
      <c r="T486" s="14"/>
    </row>
    <row r="487" ht="13.5" customHeight="1" spans="1:20">
      <c r="A487" s="13" t="s">
        <v>3620</v>
      </c>
      <c r="B487" s="13" t="s">
        <v>1380</v>
      </c>
      <c r="C487" s="13" t="s">
        <v>1999</v>
      </c>
      <c r="D487" s="13" t="s">
        <v>331</v>
      </c>
      <c r="E487" s="13" t="s">
        <v>3600</v>
      </c>
      <c r="F487" s="13" t="s">
        <v>1931</v>
      </c>
      <c r="G487" s="13" t="s">
        <v>1946</v>
      </c>
      <c r="H487" s="13" t="s">
        <v>1947</v>
      </c>
      <c r="I487" s="13" t="s">
        <v>1934</v>
      </c>
      <c r="J487" s="13" t="s">
        <v>3621</v>
      </c>
      <c r="K487" s="14">
        <v>1</v>
      </c>
      <c r="L487" s="13" t="s">
        <v>1380</v>
      </c>
      <c r="M487" s="13" t="s">
        <v>3620</v>
      </c>
      <c r="N487" s="13" t="s">
        <v>186</v>
      </c>
      <c r="O487" s="14" t="s">
        <v>1936</v>
      </c>
      <c r="P487" s="14" t="s">
        <v>1949</v>
      </c>
      <c r="Q487" s="14"/>
      <c r="R487" s="14" t="s">
        <v>1939</v>
      </c>
      <c r="S487" s="14"/>
      <c r="T487" s="14"/>
    </row>
    <row r="488" ht="13.5" customHeight="1" spans="1:20">
      <c r="A488" s="13" t="s">
        <v>3622</v>
      </c>
      <c r="B488" s="13" t="s">
        <v>1413</v>
      </c>
      <c r="C488" s="13" t="s">
        <v>1999</v>
      </c>
      <c r="D488" s="13" t="s">
        <v>1929</v>
      </c>
      <c r="E488" s="13" t="s">
        <v>3600</v>
      </c>
      <c r="F488" s="13" t="s">
        <v>1931</v>
      </c>
      <c r="G488" s="13" t="s">
        <v>1946</v>
      </c>
      <c r="H488" s="13" t="s">
        <v>1947</v>
      </c>
      <c r="I488" s="13" t="s">
        <v>1934</v>
      </c>
      <c r="J488" s="13" t="s">
        <v>3623</v>
      </c>
      <c r="K488" s="14">
        <v>1</v>
      </c>
      <c r="L488" s="13" t="s">
        <v>1413</v>
      </c>
      <c r="M488" s="13" t="s">
        <v>3622</v>
      </c>
      <c r="N488" s="13" t="s">
        <v>186</v>
      </c>
      <c r="O488" s="14" t="s">
        <v>1936</v>
      </c>
      <c r="P488" s="14" t="s">
        <v>1949</v>
      </c>
      <c r="Q488" s="14"/>
      <c r="R488" s="14" t="s">
        <v>1939</v>
      </c>
      <c r="S488" s="14"/>
      <c r="T488" s="14"/>
    </row>
    <row r="489" ht="13.5" customHeight="1" spans="1:20">
      <c r="A489" s="13" t="s">
        <v>3624</v>
      </c>
      <c r="B489" s="13" t="s">
        <v>1424</v>
      </c>
      <c r="C489" s="13" t="s">
        <v>1999</v>
      </c>
      <c r="D489" s="13" t="s">
        <v>1929</v>
      </c>
      <c r="E489" s="13" t="s">
        <v>3600</v>
      </c>
      <c r="F489" s="13" t="s">
        <v>1931</v>
      </c>
      <c r="G489" s="13" t="s">
        <v>1941</v>
      </c>
      <c r="H489" s="13" t="s">
        <v>1947</v>
      </c>
      <c r="I489" s="13" t="s">
        <v>1934</v>
      </c>
      <c r="J489" s="13" t="s">
        <v>3625</v>
      </c>
      <c r="K489" s="14">
        <v>1</v>
      </c>
      <c r="L489" s="13" t="s">
        <v>1424</v>
      </c>
      <c r="M489" s="13" t="s">
        <v>3624</v>
      </c>
      <c r="N489" s="13" t="s">
        <v>186</v>
      </c>
      <c r="O489" s="14" t="s">
        <v>1936</v>
      </c>
      <c r="P489" s="14" t="s">
        <v>1949</v>
      </c>
      <c r="Q489" s="14"/>
      <c r="R489" s="14" t="s">
        <v>1939</v>
      </c>
      <c r="S489" s="14"/>
      <c r="T489" s="14"/>
    </row>
    <row r="490" ht="13.5" customHeight="1" spans="1:20">
      <c r="A490" s="13" t="s">
        <v>3626</v>
      </c>
      <c r="B490" s="13" t="s">
        <v>1427</v>
      </c>
      <c r="C490" s="13" t="s">
        <v>1999</v>
      </c>
      <c r="D490" s="13" t="s">
        <v>1929</v>
      </c>
      <c r="E490" s="13" t="s">
        <v>3600</v>
      </c>
      <c r="F490" s="13" t="s">
        <v>1931</v>
      </c>
      <c r="G490" s="13" t="s">
        <v>2056</v>
      </c>
      <c r="H490" s="13" t="s">
        <v>1947</v>
      </c>
      <c r="I490" s="13" t="s">
        <v>1934</v>
      </c>
      <c r="J490" s="13" t="s">
        <v>3627</v>
      </c>
      <c r="K490" s="14">
        <v>1</v>
      </c>
      <c r="L490" s="13" t="s">
        <v>1427</v>
      </c>
      <c r="M490" s="13" t="s">
        <v>3626</v>
      </c>
      <c r="N490" s="13" t="s">
        <v>186</v>
      </c>
      <c r="O490" s="14" t="s">
        <v>1936</v>
      </c>
      <c r="P490" s="14" t="s">
        <v>1949</v>
      </c>
      <c r="Q490" s="14"/>
      <c r="R490" s="14" t="s">
        <v>1939</v>
      </c>
      <c r="S490" s="14"/>
      <c r="T490" s="14"/>
    </row>
    <row r="491" ht="13.5" customHeight="1" spans="1:20">
      <c r="A491" s="13" t="s">
        <v>3628</v>
      </c>
      <c r="B491" s="13" t="s">
        <v>1464</v>
      </c>
      <c r="C491" s="13" t="s">
        <v>1999</v>
      </c>
      <c r="D491" s="13" t="s">
        <v>2089</v>
      </c>
      <c r="E491" s="13" t="s">
        <v>3600</v>
      </c>
      <c r="F491" s="13" t="s">
        <v>1931</v>
      </c>
      <c r="G491" s="13" t="s">
        <v>1946</v>
      </c>
      <c r="H491" s="13" t="s">
        <v>3629</v>
      </c>
      <c r="I491" s="13" t="s">
        <v>1923</v>
      </c>
      <c r="J491" s="13" t="s">
        <v>3630</v>
      </c>
      <c r="K491" s="14">
        <v>1</v>
      </c>
      <c r="L491" s="13" t="s">
        <v>1464</v>
      </c>
      <c r="M491" s="13" t="s">
        <v>3628</v>
      </c>
      <c r="N491" s="13" t="s">
        <v>186</v>
      </c>
      <c r="O491" s="14" t="s">
        <v>1936</v>
      </c>
      <c r="P491" s="14" t="s">
        <v>1937</v>
      </c>
      <c r="Q491" s="14" t="s">
        <v>3631</v>
      </c>
      <c r="R491" s="14" t="s">
        <v>1927</v>
      </c>
      <c r="S491" s="14"/>
      <c r="T491" s="14"/>
    </row>
    <row r="492" ht="13.5" customHeight="1" spans="1:20">
      <c r="A492" s="13" t="s">
        <v>3632</v>
      </c>
      <c r="B492" s="13" t="s">
        <v>1486</v>
      </c>
      <c r="C492" s="13" t="s">
        <v>1999</v>
      </c>
      <c r="D492" s="13" t="s">
        <v>2367</v>
      </c>
      <c r="E492" s="13" t="s">
        <v>3600</v>
      </c>
      <c r="F492" s="13" t="s">
        <v>1931</v>
      </c>
      <c r="G492" s="13" t="s">
        <v>2056</v>
      </c>
      <c r="H492" s="13" t="s">
        <v>3633</v>
      </c>
      <c r="I492" s="13" t="s">
        <v>1957</v>
      </c>
      <c r="J492" s="13" t="s">
        <v>3634</v>
      </c>
      <c r="K492" s="14">
        <v>1</v>
      </c>
      <c r="L492" s="13" t="s">
        <v>1486</v>
      </c>
      <c r="M492" s="13" t="s">
        <v>3632</v>
      </c>
      <c r="N492" s="13" t="s">
        <v>186</v>
      </c>
      <c r="O492" s="14" t="s">
        <v>1936</v>
      </c>
      <c r="P492" s="14" t="s">
        <v>2095</v>
      </c>
      <c r="Q492" s="14" t="s">
        <v>3635</v>
      </c>
      <c r="R492" s="14" t="s">
        <v>1939</v>
      </c>
      <c r="S492" s="14"/>
      <c r="T492" s="14"/>
    </row>
    <row r="493" ht="13.5" customHeight="1" spans="1:20">
      <c r="A493" s="13" t="s">
        <v>3636</v>
      </c>
      <c r="B493" s="13" t="s">
        <v>1631</v>
      </c>
      <c r="C493" s="13" t="s">
        <v>1999</v>
      </c>
      <c r="D493" s="13" t="s">
        <v>230</v>
      </c>
      <c r="E493" s="13" t="s">
        <v>3600</v>
      </c>
      <c r="F493" s="13" t="s">
        <v>1931</v>
      </c>
      <c r="G493" s="13" t="s">
        <v>1941</v>
      </c>
      <c r="H493" s="13" t="s">
        <v>1947</v>
      </c>
      <c r="I493" s="13" t="s">
        <v>1934</v>
      </c>
      <c r="J493" s="13" t="s">
        <v>3637</v>
      </c>
      <c r="K493" s="14">
        <v>1</v>
      </c>
      <c r="L493" s="13" t="s">
        <v>1631</v>
      </c>
      <c r="M493" s="13" t="s">
        <v>3636</v>
      </c>
      <c r="N493" s="13" t="s">
        <v>186</v>
      </c>
      <c r="O493" s="14" t="s">
        <v>1936</v>
      </c>
      <c r="P493" s="14" t="s">
        <v>1949</v>
      </c>
      <c r="Q493" s="14"/>
      <c r="R493" s="14" t="s">
        <v>1939</v>
      </c>
      <c r="S493" s="14"/>
      <c r="T493" s="14"/>
    </row>
    <row r="494" ht="13.5" customHeight="1" spans="1:20">
      <c r="A494" s="13" t="s">
        <v>3608</v>
      </c>
      <c r="B494" s="13" t="s">
        <v>1753</v>
      </c>
      <c r="C494" s="13" t="s">
        <v>2233</v>
      </c>
      <c r="D494" s="13" t="s">
        <v>2278</v>
      </c>
      <c r="E494" s="13" t="s">
        <v>3600</v>
      </c>
      <c r="F494" s="13" t="s">
        <v>1931</v>
      </c>
      <c r="G494" s="13" t="s">
        <v>1941</v>
      </c>
      <c r="H494" s="13" t="s">
        <v>1947</v>
      </c>
      <c r="I494" s="13" t="s">
        <v>1934</v>
      </c>
      <c r="J494" s="13" t="s">
        <v>3607</v>
      </c>
      <c r="K494" s="14">
        <v>1</v>
      </c>
      <c r="L494" s="13" t="s">
        <v>1753</v>
      </c>
      <c r="M494" s="13" t="s">
        <v>3608</v>
      </c>
      <c r="N494" s="13" t="s">
        <v>186</v>
      </c>
      <c r="O494" s="14" t="s">
        <v>1936</v>
      </c>
      <c r="P494" s="14" t="s">
        <v>1949</v>
      </c>
      <c r="Q494" s="14"/>
      <c r="R494" s="14" t="s">
        <v>1939</v>
      </c>
      <c r="S494" s="14"/>
      <c r="T494" s="14"/>
    </row>
    <row r="495" ht="13.5" customHeight="1" spans="1:20">
      <c r="A495" s="13" t="s">
        <v>3599</v>
      </c>
      <c r="B495" s="13" t="s">
        <v>1760</v>
      </c>
      <c r="C495" s="13" t="s">
        <v>2233</v>
      </c>
      <c r="D495" s="13" t="s">
        <v>2146</v>
      </c>
      <c r="E495" s="13" t="s">
        <v>3600</v>
      </c>
      <c r="F495" s="13" t="s">
        <v>1931</v>
      </c>
      <c r="G495" s="13" t="s">
        <v>3638</v>
      </c>
      <c r="H495" s="13" t="s">
        <v>1942</v>
      </c>
      <c r="I495" s="13" t="s">
        <v>1934</v>
      </c>
      <c r="J495" s="13" t="s">
        <v>3639</v>
      </c>
      <c r="K495" s="14">
        <v>1</v>
      </c>
      <c r="L495" s="13" t="s">
        <v>1760</v>
      </c>
      <c r="M495" s="13" t="s">
        <v>3599</v>
      </c>
      <c r="N495" s="13" t="s">
        <v>186</v>
      </c>
      <c r="O495" s="14" t="s">
        <v>1936</v>
      </c>
      <c r="P495" s="14" t="s">
        <v>1944</v>
      </c>
      <c r="Q495" s="14"/>
      <c r="R495" s="14" t="s">
        <v>1939</v>
      </c>
      <c r="S495" s="14"/>
      <c r="T495" s="14"/>
    </row>
    <row r="496" ht="13.5" customHeight="1" spans="1:20">
      <c r="A496" s="13" t="s">
        <v>3640</v>
      </c>
      <c r="B496" s="13" t="s">
        <v>1462</v>
      </c>
      <c r="C496" s="13" t="s">
        <v>1999</v>
      </c>
      <c r="D496" s="13" t="s">
        <v>2082</v>
      </c>
      <c r="E496" s="13" t="s">
        <v>3641</v>
      </c>
      <c r="F496" s="13" t="s">
        <v>1931</v>
      </c>
      <c r="G496" s="13" t="s">
        <v>1932</v>
      </c>
      <c r="H496" s="13" t="s">
        <v>1942</v>
      </c>
      <c r="I496" s="13" t="s">
        <v>3642</v>
      </c>
      <c r="J496" s="13" t="s">
        <v>3643</v>
      </c>
      <c r="K496" s="14">
        <v>1</v>
      </c>
      <c r="L496" s="13" t="s">
        <v>1462</v>
      </c>
      <c r="M496" s="13" t="s">
        <v>3640</v>
      </c>
      <c r="N496" s="13" t="s">
        <v>186</v>
      </c>
      <c r="O496" s="14" t="s">
        <v>1989</v>
      </c>
      <c r="P496" s="14" t="s">
        <v>1944</v>
      </c>
      <c r="Q496" s="14"/>
      <c r="R496" s="14" t="s">
        <v>1927</v>
      </c>
      <c r="S496" s="14"/>
      <c r="T496" s="14"/>
    </row>
    <row r="497" ht="13.5" customHeight="1" spans="1:20">
      <c r="A497" s="13" t="s">
        <v>3644</v>
      </c>
      <c r="B497" s="13" t="s">
        <v>1606</v>
      </c>
      <c r="C497" s="13" t="s">
        <v>1999</v>
      </c>
      <c r="D497" s="13" t="s">
        <v>2195</v>
      </c>
      <c r="E497" s="13" t="s">
        <v>3641</v>
      </c>
      <c r="F497" s="13" t="s">
        <v>1931</v>
      </c>
      <c r="G497" s="13" t="s">
        <v>2056</v>
      </c>
      <c r="H497" s="13" t="s">
        <v>1947</v>
      </c>
      <c r="I497" s="13" t="s">
        <v>1923</v>
      </c>
      <c r="J497" s="13" t="s">
        <v>3645</v>
      </c>
      <c r="K497" s="14">
        <v>1</v>
      </c>
      <c r="L497" s="13" t="s">
        <v>1606</v>
      </c>
      <c r="M497" s="13" t="s">
        <v>3644</v>
      </c>
      <c r="N497" s="13" t="s">
        <v>186</v>
      </c>
      <c r="O497" s="14" t="s">
        <v>1989</v>
      </c>
      <c r="P497" s="14" t="s">
        <v>1949</v>
      </c>
      <c r="Q497" s="14"/>
      <c r="R497" s="14" t="s">
        <v>1927</v>
      </c>
      <c r="S497" s="14"/>
      <c r="T497" s="14"/>
    </row>
    <row r="498" ht="13.5" customHeight="1" spans="1:20">
      <c r="A498" s="13" t="s">
        <v>3646</v>
      </c>
      <c r="B498" s="13" t="s">
        <v>1332</v>
      </c>
      <c r="C498" s="13" t="s">
        <v>1918</v>
      </c>
      <c r="D498" s="13" t="s">
        <v>2278</v>
      </c>
      <c r="E498" s="13" t="s">
        <v>3647</v>
      </c>
      <c r="F498" s="13" t="s">
        <v>1931</v>
      </c>
      <c r="G498" s="13" t="s">
        <v>1941</v>
      </c>
      <c r="H498" s="13" t="s">
        <v>1947</v>
      </c>
      <c r="I498" s="13" t="s">
        <v>1923</v>
      </c>
      <c r="J498" s="13" t="s">
        <v>3648</v>
      </c>
      <c r="K498" s="14">
        <v>1</v>
      </c>
      <c r="L498" s="13" t="s">
        <v>1332</v>
      </c>
      <c r="M498" s="13" t="s">
        <v>3646</v>
      </c>
      <c r="N498" s="13" t="s">
        <v>186</v>
      </c>
      <c r="O498" s="14" t="s">
        <v>1996</v>
      </c>
      <c r="P498" s="14" t="s">
        <v>1949</v>
      </c>
      <c r="Q498" s="14"/>
      <c r="R498" s="14" t="s">
        <v>1927</v>
      </c>
      <c r="S498" s="14"/>
      <c r="T498" s="14"/>
    </row>
    <row r="499" ht="13.5" customHeight="1" spans="1:20">
      <c r="A499" s="13" t="s">
        <v>3649</v>
      </c>
      <c r="B499" s="13" t="s">
        <v>1334</v>
      </c>
      <c r="C499" s="13" t="s">
        <v>1918</v>
      </c>
      <c r="D499" s="13" t="s">
        <v>2278</v>
      </c>
      <c r="E499" s="13" t="s">
        <v>3647</v>
      </c>
      <c r="F499" s="13" t="s">
        <v>1931</v>
      </c>
      <c r="G499" s="13" t="s">
        <v>1932</v>
      </c>
      <c r="H499" s="13" t="s">
        <v>3650</v>
      </c>
      <c r="I499" s="13" t="s">
        <v>1934</v>
      </c>
      <c r="J499" s="13" t="s">
        <v>3651</v>
      </c>
      <c r="K499" s="14">
        <v>1</v>
      </c>
      <c r="L499" s="13" t="s">
        <v>1334</v>
      </c>
      <c r="M499" s="13" t="s">
        <v>3649</v>
      </c>
      <c r="N499" s="13" t="s">
        <v>186</v>
      </c>
      <c r="O499" s="14" t="s">
        <v>1996</v>
      </c>
      <c r="P499" s="14" t="s">
        <v>1937</v>
      </c>
      <c r="Q499" s="14" t="s">
        <v>3652</v>
      </c>
      <c r="R499" s="14" t="s">
        <v>1939</v>
      </c>
      <c r="S499" s="14"/>
      <c r="T499" s="14"/>
    </row>
    <row r="500" ht="13.5" customHeight="1" spans="1:20">
      <c r="A500" s="13" t="s">
        <v>3653</v>
      </c>
      <c r="B500" s="13" t="s">
        <v>1362</v>
      </c>
      <c r="C500" s="13" t="s">
        <v>3610</v>
      </c>
      <c r="D500" s="13" t="s">
        <v>3611</v>
      </c>
      <c r="E500" s="13" t="s">
        <v>3647</v>
      </c>
      <c r="F500" s="13" t="s">
        <v>1931</v>
      </c>
      <c r="G500" s="13" t="s">
        <v>2286</v>
      </c>
      <c r="H500" s="13" t="s">
        <v>1922</v>
      </c>
      <c r="I500" s="13" t="s">
        <v>1934</v>
      </c>
      <c r="J500" s="13" t="s">
        <v>3654</v>
      </c>
      <c r="K500" s="14">
        <v>1</v>
      </c>
      <c r="L500" s="13" t="s">
        <v>1362</v>
      </c>
      <c r="M500" s="13" t="s">
        <v>3653</v>
      </c>
      <c r="N500" s="13" t="s">
        <v>186</v>
      </c>
      <c r="O500" s="14" t="s">
        <v>1996</v>
      </c>
      <c r="P500" s="14" t="s">
        <v>1926</v>
      </c>
      <c r="Q500" s="14"/>
      <c r="R500" s="14" t="s">
        <v>1939</v>
      </c>
      <c r="S500" s="14"/>
      <c r="T500" s="14"/>
    </row>
    <row r="501" ht="13.5" customHeight="1" spans="1:20">
      <c r="A501" s="13" t="s">
        <v>3655</v>
      </c>
      <c r="B501" s="13" t="s">
        <v>1399</v>
      </c>
      <c r="C501" s="13" t="s">
        <v>1999</v>
      </c>
      <c r="D501" s="13" t="s">
        <v>1929</v>
      </c>
      <c r="E501" s="13" t="s">
        <v>3647</v>
      </c>
      <c r="F501" s="13" t="s">
        <v>1931</v>
      </c>
      <c r="G501" s="13" t="s">
        <v>1941</v>
      </c>
      <c r="H501" s="13" t="s">
        <v>1947</v>
      </c>
      <c r="I501" s="13" t="s">
        <v>1934</v>
      </c>
      <c r="J501" s="13" t="s">
        <v>3656</v>
      </c>
      <c r="K501" s="14">
        <v>1</v>
      </c>
      <c r="L501" s="13" t="s">
        <v>1399</v>
      </c>
      <c r="M501" s="13" t="s">
        <v>3655</v>
      </c>
      <c r="N501" s="13" t="s">
        <v>186</v>
      </c>
      <c r="O501" s="14" t="s">
        <v>1996</v>
      </c>
      <c r="P501" s="14" t="s">
        <v>1949</v>
      </c>
      <c r="Q501" s="14"/>
      <c r="R501" s="14" t="s">
        <v>1939</v>
      </c>
      <c r="S501" s="14"/>
      <c r="T501" s="14"/>
    </row>
    <row r="502" ht="13.5" customHeight="1" spans="1:20">
      <c r="A502" s="13" t="s">
        <v>3657</v>
      </c>
      <c r="B502" s="13" t="s">
        <v>1453</v>
      </c>
      <c r="C502" s="13" t="s">
        <v>1999</v>
      </c>
      <c r="D502" s="13" t="s">
        <v>2082</v>
      </c>
      <c r="E502" s="13" t="s">
        <v>3647</v>
      </c>
      <c r="F502" s="13" t="s">
        <v>1931</v>
      </c>
      <c r="G502" s="13" t="s">
        <v>1932</v>
      </c>
      <c r="H502" s="13" t="s">
        <v>1947</v>
      </c>
      <c r="I502" s="13" t="s">
        <v>1977</v>
      </c>
      <c r="J502" s="13" t="s">
        <v>3658</v>
      </c>
      <c r="K502" s="14">
        <v>1</v>
      </c>
      <c r="L502" s="13" t="s">
        <v>1453</v>
      </c>
      <c r="M502" s="13" t="s">
        <v>3657</v>
      </c>
      <c r="N502" s="13" t="s">
        <v>186</v>
      </c>
      <c r="O502" s="14" t="s">
        <v>1996</v>
      </c>
      <c r="P502" s="14" t="s">
        <v>1949</v>
      </c>
      <c r="Q502" s="14"/>
      <c r="R502" s="14" t="s">
        <v>1939</v>
      </c>
      <c r="S502" s="14"/>
      <c r="T502" s="14"/>
    </row>
    <row r="503" ht="13.5" customHeight="1" spans="1:20">
      <c r="A503" s="13" t="s">
        <v>3659</v>
      </c>
      <c r="B503" s="13" t="s">
        <v>1674</v>
      </c>
      <c r="C503" s="13" t="s">
        <v>1999</v>
      </c>
      <c r="D503" s="13" t="s">
        <v>259</v>
      </c>
      <c r="E503" s="13" t="s">
        <v>3647</v>
      </c>
      <c r="F503" s="13" t="s">
        <v>1931</v>
      </c>
      <c r="G503" s="13" t="s">
        <v>1921</v>
      </c>
      <c r="H503" s="13" t="s">
        <v>1947</v>
      </c>
      <c r="I503" s="13" t="s">
        <v>2143</v>
      </c>
      <c r="J503" s="13" t="s">
        <v>3660</v>
      </c>
      <c r="K503" s="14">
        <v>1</v>
      </c>
      <c r="L503" s="13" t="s">
        <v>1674</v>
      </c>
      <c r="M503" s="13" t="s">
        <v>3659</v>
      </c>
      <c r="N503" s="13" t="s">
        <v>186</v>
      </c>
      <c r="O503" s="14" t="s">
        <v>1996</v>
      </c>
      <c r="P503" s="14" t="s">
        <v>1949</v>
      </c>
      <c r="Q503" s="14"/>
      <c r="R503" s="14" t="s">
        <v>1939</v>
      </c>
      <c r="S503" s="14"/>
      <c r="T503" s="14"/>
    </row>
    <row r="504" ht="13.5" customHeight="1" spans="1:20">
      <c r="A504" s="13" t="s">
        <v>3661</v>
      </c>
      <c r="B504" s="13" t="s">
        <v>1692</v>
      </c>
      <c r="C504" s="13" t="s">
        <v>1999</v>
      </c>
      <c r="D504" s="13" t="s">
        <v>2887</v>
      </c>
      <c r="E504" s="13" t="s">
        <v>3647</v>
      </c>
      <c r="F504" s="13" t="s">
        <v>1931</v>
      </c>
      <c r="G504" s="13" t="s">
        <v>1952</v>
      </c>
      <c r="H504" s="13" t="s">
        <v>1947</v>
      </c>
      <c r="I504" s="13" t="s">
        <v>1934</v>
      </c>
      <c r="J504" s="13" t="s">
        <v>3662</v>
      </c>
      <c r="K504" s="14">
        <v>1</v>
      </c>
      <c r="L504" s="13" t="s">
        <v>1692</v>
      </c>
      <c r="M504" s="13" t="s">
        <v>3661</v>
      </c>
      <c r="N504" s="13" t="s">
        <v>186</v>
      </c>
      <c r="O504" s="14" t="s">
        <v>1996</v>
      </c>
      <c r="P504" s="14" t="s">
        <v>1949</v>
      </c>
      <c r="Q504" s="14"/>
      <c r="R504" s="14" t="s">
        <v>1939</v>
      </c>
      <c r="S504" s="14"/>
      <c r="T504" s="14"/>
    </row>
    <row r="505" ht="13.5" customHeight="1" spans="1:20">
      <c r="A505" s="13" t="s">
        <v>3663</v>
      </c>
      <c r="B505" s="13" t="s">
        <v>1735</v>
      </c>
      <c r="C505" s="13" t="s">
        <v>2233</v>
      </c>
      <c r="D505" s="13" t="s">
        <v>2278</v>
      </c>
      <c r="E505" s="13" t="s">
        <v>3647</v>
      </c>
      <c r="F505" s="13" t="s">
        <v>1931</v>
      </c>
      <c r="G505" s="13" t="s">
        <v>1941</v>
      </c>
      <c r="H505" s="13" t="s">
        <v>1947</v>
      </c>
      <c r="I505" s="13" t="s">
        <v>1923</v>
      </c>
      <c r="J505" s="13" t="s">
        <v>3664</v>
      </c>
      <c r="K505" s="14">
        <v>1</v>
      </c>
      <c r="L505" s="13" t="s">
        <v>1735</v>
      </c>
      <c r="M505" s="13" t="s">
        <v>3663</v>
      </c>
      <c r="N505" s="13" t="s">
        <v>186</v>
      </c>
      <c r="O505" s="14" t="s">
        <v>1996</v>
      </c>
      <c r="P505" s="14" t="s">
        <v>1949</v>
      </c>
      <c r="Q505" s="14"/>
      <c r="R505" s="14" t="s">
        <v>1927</v>
      </c>
      <c r="S505" s="14"/>
      <c r="T505" s="14"/>
    </row>
    <row r="506" ht="13.5" customHeight="1" spans="1:20">
      <c r="A506" s="13" t="s">
        <v>3665</v>
      </c>
      <c r="B506" s="13" t="s">
        <v>3666</v>
      </c>
      <c r="C506" s="13" t="s">
        <v>3667</v>
      </c>
      <c r="D506" s="13"/>
      <c r="E506" s="13" t="s">
        <v>3668</v>
      </c>
      <c r="F506" s="13" t="s">
        <v>3669</v>
      </c>
      <c r="G506" s="13" t="s">
        <v>1921</v>
      </c>
      <c r="H506" s="13" t="s">
        <v>3670</v>
      </c>
      <c r="I506" s="13" t="s">
        <v>3671</v>
      </c>
      <c r="J506" s="13" t="s">
        <v>3672</v>
      </c>
      <c r="K506" s="14">
        <v>1</v>
      </c>
      <c r="L506" s="13" t="s">
        <v>3666</v>
      </c>
      <c r="M506" s="13" t="s">
        <v>3665</v>
      </c>
      <c r="N506" s="13" t="s">
        <v>193</v>
      </c>
      <c r="O506" s="14" t="s">
        <v>3673</v>
      </c>
      <c r="P506" s="14" t="s">
        <v>1937</v>
      </c>
      <c r="Q506" s="14" t="s">
        <v>3674</v>
      </c>
      <c r="R506" s="14" t="s">
        <v>1939</v>
      </c>
      <c r="S506" s="14"/>
      <c r="T506" s="14"/>
    </row>
    <row r="507" ht="13.5" customHeight="1" spans="1:20">
      <c r="A507" s="13" t="s">
        <v>3675</v>
      </c>
      <c r="B507" s="13" t="s">
        <v>3676</v>
      </c>
      <c r="C507" s="13" t="s">
        <v>3677</v>
      </c>
      <c r="D507" s="13"/>
      <c r="E507" s="13" t="s">
        <v>1969</v>
      </c>
      <c r="F507" s="13" t="s">
        <v>3678</v>
      </c>
      <c r="G507" s="13" t="s">
        <v>1958</v>
      </c>
      <c r="H507" s="13" t="s">
        <v>3679</v>
      </c>
      <c r="I507" s="13" t="s">
        <v>3680</v>
      </c>
      <c r="J507" s="13" t="s">
        <v>3681</v>
      </c>
      <c r="K507" s="14">
        <v>1</v>
      </c>
      <c r="L507" s="13" t="s">
        <v>3676</v>
      </c>
      <c r="M507" s="13" t="s">
        <v>3675</v>
      </c>
      <c r="N507" s="13" t="s">
        <v>191</v>
      </c>
      <c r="O507" s="14" t="s">
        <v>1969</v>
      </c>
      <c r="P507" s="14" t="s">
        <v>1937</v>
      </c>
      <c r="Q507" s="14" t="s">
        <v>3682</v>
      </c>
      <c r="R507" s="14" t="s">
        <v>1939</v>
      </c>
      <c r="S507" s="14"/>
      <c r="T507" s="14"/>
    </row>
    <row r="508" ht="13.5" customHeight="1" spans="1:20">
      <c r="A508" s="13" t="s">
        <v>3683</v>
      </c>
      <c r="B508" s="13" t="s">
        <v>3684</v>
      </c>
      <c r="C508" s="13" t="s">
        <v>3677</v>
      </c>
      <c r="D508" s="13"/>
      <c r="E508" s="13" t="s">
        <v>1969</v>
      </c>
      <c r="F508" s="13" t="s">
        <v>3678</v>
      </c>
      <c r="G508" s="13" t="s">
        <v>1958</v>
      </c>
      <c r="H508" s="13" t="s">
        <v>3685</v>
      </c>
      <c r="I508" s="13" t="s">
        <v>3686</v>
      </c>
      <c r="J508" s="13" t="s">
        <v>3687</v>
      </c>
      <c r="K508" s="14">
        <v>1</v>
      </c>
      <c r="L508" s="13" t="s">
        <v>3684</v>
      </c>
      <c r="M508" s="13" t="s">
        <v>3683</v>
      </c>
      <c r="N508" s="13" t="s">
        <v>191</v>
      </c>
      <c r="O508" s="14" t="s">
        <v>1969</v>
      </c>
      <c r="P508" s="14" t="s">
        <v>1937</v>
      </c>
      <c r="Q508" s="14" t="s">
        <v>3688</v>
      </c>
      <c r="R508" s="14" t="s">
        <v>1939</v>
      </c>
      <c r="S508" s="14"/>
      <c r="T508" s="14"/>
    </row>
    <row r="509" ht="13.5" customHeight="1" spans="1:20">
      <c r="A509" s="13" t="s">
        <v>3689</v>
      </c>
      <c r="B509" s="13" t="s">
        <v>3690</v>
      </c>
      <c r="C509" s="13" t="s">
        <v>1999</v>
      </c>
      <c r="D509" s="13"/>
      <c r="E509" s="13" t="s">
        <v>3691</v>
      </c>
      <c r="F509" s="13" t="s">
        <v>3692</v>
      </c>
      <c r="G509" s="13" t="s">
        <v>2678</v>
      </c>
      <c r="H509" s="13" t="s">
        <v>1922</v>
      </c>
      <c r="I509" s="13" t="s">
        <v>1934</v>
      </c>
      <c r="J509" s="13" t="s">
        <v>3693</v>
      </c>
      <c r="K509" s="14">
        <v>1</v>
      </c>
      <c r="L509" s="13" t="s">
        <v>3690</v>
      </c>
      <c r="M509" s="13" t="s">
        <v>3689</v>
      </c>
      <c r="N509" s="13" t="s">
        <v>206</v>
      </c>
      <c r="O509" s="14" t="s">
        <v>3694</v>
      </c>
      <c r="P509" s="14" t="s">
        <v>1926</v>
      </c>
      <c r="Q509" s="14"/>
      <c r="R509" s="14" t="s">
        <v>1939</v>
      </c>
      <c r="S509" s="14"/>
      <c r="T509" s="14"/>
    </row>
    <row r="510" ht="13.5" customHeight="1" spans="1:20">
      <c r="A510" s="13" t="s">
        <v>3695</v>
      </c>
      <c r="B510" s="13" t="s">
        <v>3696</v>
      </c>
      <c r="C510" s="13" t="s">
        <v>3677</v>
      </c>
      <c r="D510" s="13"/>
      <c r="E510" s="13" t="s">
        <v>1936</v>
      </c>
      <c r="F510" s="13" t="s">
        <v>3669</v>
      </c>
      <c r="G510" s="13" t="s">
        <v>50</v>
      </c>
      <c r="H510" s="13" t="s">
        <v>3697</v>
      </c>
      <c r="I510" s="13" t="s">
        <v>1934</v>
      </c>
      <c r="J510" s="13" t="s">
        <v>3698</v>
      </c>
      <c r="K510" s="14">
        <v>1</v>
      </c>
      <c r="L510" s="13" t="s">
        <v>3696</v>
      </c>
      <c r="M510" s="13" t="s">
        <v>3695</v>
      </c>
      <c r="N510" s="13" t="s">
        <v>193</v>
      </c>
      <c r="O510" s="14" t="s">
        <v>1936</v>
      </c>
      <c r="P510" s="14" t="s">
        <v>1937</v>
      </c>
      <c r="Q510" s="14" t="s">
        <v>3699</v>
      </c>
      <c r="R510" s="14" t="s">
        <v>1939</v>
      </c>
      <c r="S510" s="14"/>
      <c r="T510" s="14"/>
    </row>
    <row r="511" ht="13.5" customHeight="1" spans="1:20">
      <c r="A511" s="13" t="s">
        <v>3700</v>
      </c>
      <c r="B511" s="13" t="s">
        <v>3701</v>
      </c>
      <c r="C511" s="13" t="s">
        <v>3677</v>
      </c>
      <c r="D511" s="13"/>
      <c r="E511" s="13" t="s">
        <v>3702</v>
      </c>
      <c r="F511" s="13" t="s">
        <v>1931</v>
      </c>
      <c r="G511" s="13" t="s">
        <v>1958</v>
      </c>
      <c r="H511" s="13" t="s">
        <v>3703</v>
      </c>
      <c r="I511" s="13" t="s">
        <v>3704</v>
      </c>
      <c r="J511" s="13" t="s">
        <v>3705</v>
      </c>
      <c r="K511" s="14">
        <v>1</v>
      </c>
      <c r="L511" s="13" t="s">
        <v>3701</v>
      </c>
      <c r="M511" s="13" t="s">
        <v>3700</v>
      </c>
      <c r="N511" s="13" t="s">
        <v>190</v>
      </c>
      <c r="O511" s="14" t="s">
        <v>3702</v>
      </c>
      <c r="P511" s="14" t="s">
        <v>1937</v>
      </c>
      <c r="Q511" s="14" t="s">
        <v>3706</v>
      </c>
      <c r="R511" s="14" t="s">
        <v>1939</v>
      </c>
      <c r="S511" s="14"/>
      <c r="T511" s="14"/>
    </row>
    <row r="512" ht="13.5" customHeight="1" spans="1:20">
      <c r="A512" s="13" t="s">
        <v>3707</v>
      </c>
      <c r="B512" s="13" t="s">
        <v>3708</v>
      </c>
      <c r="C512" s="13" t="s">
        <v>3677</v>
      </c>
      <c r="D512" s="13"/>
      <c r="E512" s="13" t="s">
        <v>3709</v>
      </c>
      <c r="F512" s="13" t="s">
        <v>3710</v>
      </c>
      <c r="G512" s="13" t="s">
        <v>1941</v>
      </c>
      <c r="H512" s="13" t="s">
        <v>3711</v>
      </c>
      <c r="I512" s="13" t="s">
        <v>3712</v>
      </c>
      <c r="J512" s="13" t="s">
        <v>3713</v>
      </c>
      <c r="K512" s="14">
        <v>1</v>
      </c>
      <c r="L512" s="13" t="s">
        <v>3708</v>
      </c>
      <c r="M512" s="13" t="s">
        <v>3707</v>
      </c>
      <c r="N512" s="13" t="s">
        <v>195</v>
      </c>
      <c r="O512" s="14" t="s">
        <v>3709</v>
      </c>
      <c r="P512" s="14" t="s">
        <v>1937</v>
      </c>
      <c r="Q512" s="14" t="s">
        <v>3714</v>
      </c>
      <c r="R512" s="14" t="s">
        <v>1939</v>
      </c>
      <c r="S512" s="14"/>
      <c r="T512" s="14"/>
    </row>
    <row r="513" ht="13.5" customHeight="1" spans="1:20">
      <c r="A513" s="13" t="s">
        <v>3715</v>
      </c>
      <c r="B513" s="13" t="s">
        <v>3716</v>
      </c>
      <c r="C513" s="13" t="s">
        <v>3677</v>
      </c>
      <c r="D513" s="13"/>
      <c r="E513" s="13" t="s">
        <v>3709</v>
      </c>
      <c r="F513" s="13" t="s">
        <v>3678</v>
      </c>
      <c r="G513" s="13" t="s">
        <v>50</v>
      </c>
      <c r="H513" s="13" t="s">
        <v>3717</v>
      </c>
      <c r="I513" s="13" t="s">
        <v>50</v>
      </c>
      <c r="J513" s="13" t="s">
        <v>3718</v>
      </c>
      <c r="K513" s="14">
        <v>1</v>
      </c>
      <c r="L513" s="13" t="s">
        <v>3716</v>
      </c>
      <c r="M513" s="13" t="s">
        <v>3715</v>
      </c>
      <c r="N513" s="13" t="s">
        <v>197</v>
      </c>
      <c r="O513" s="14" t="s">
        <v>3709</v>
      </c>
      <c r="P513" s="14" t="s">
        <v>1937</v>
      </c>
      <c r="Q513" s="14" t="s">
        <v>3719</v>
      </c>
      <c r="R513" s="14" t="s">
        <v>1939</v>
      </c>
      <c r="S513" s="14"/>
      <c r="T513" s="14"/>
    </row>
    <row r="514" ht="13.5" customHeight="1" spans="1:20">
      <c r="A514" s="13" t="s">
        <v>3720</v>
      </c>
      <c r="B514" s="13" t="s">
        <v>3721</v>
      </c>
      <c r="C514" s="13" t="s">
        <v>3677</v>
      </c>
      <c r="D514" s="13"/>
      <c r="E514" s="13" t="s">
        <v>3709</v>
      </c>
      <c r="F514" s="13" t="s">
        <v>3669</v>
      </c>
      <c r="G514" s="13" t="s">
        <v>50</v>
      </c>
      <c r="H514" s="13" t="s">
        <v>3722</v>
      </c>
      <c r="I514" s="13" t="s">
        <v>3723</v>
      </c>
      <c r="J514" s="13" t="s">
        <v>3724</v>
      </c>
      <c r="K514" s="14">
        <v>1</v>
      </c>
      <c r="L514" s="13" t="s">
        <v>3721</v>
      </c>
      <c r="M514" s="13" t="s">
        <v>3720</v>
      </c>
      <c r="N514" s="13" t="s">
        <v>193</v>
      </c>
      <c r="O514" s="14" t="s">
        <v>3709</v>
      </c>
      <c r="P514" s="14" t="s">
        <v>1937</v>
      </c>
      <c r="Q514" s="14" t="s">
        <v>3725</v>
      </c>
      <c r="R514" s="14" t="s">
        <v>1939</v>
      </c>
      <c r="S514" s="14"/>
      <c r="T514" s="14"/>
    </row>
    <row r="515" ht="13.5" customHeight="1" spans="1:20">
      <c r="A515" s="13" t="s">
        <v>3726</v>
      </c>
      <c r="B515" s="13" t="s">
        <v>3727</v>
      </c>
      <c r="C515" s="13" t="s">
        <v>3728</v>
      </c>
      <c r="D515" s="13"/>
      <c r="E515" s="13" t="s">
        <v>3729</v>
      </c>
      <c r="F515" s="13" t="s">
        <v>3669</v>
      </c>
      <c r="G515" s="13" t="s">
        <v>3730</v>
      </c>
      <c r="H515" s="13" t="s">
        <v>2039</v>
      </c>
      <c r="I515" s="13" t="s">
        <v>1934</v>
      </c>
      <c r="J515" s="13" t="s">
        <v>3731</v>
      </c>
      <c r="K515" s="14">
        <v>1</v>
      </c>
      <c r="L515" s="13" t="s">
        <v>3727</v>
      </c>
      <c r="M515" s="13" t="s">
        <v>3726</v>
      </c>
      <c r="N515" s="13" t="s">
        <v>193</v>
      </c>
      <c r="O515" s="14" t="s">
        <v>3732</v>
      </c>
      <c r="P515" s="14" t="s">
        <v>1949</v>
      </c>
      <c r="Q515" s="14"/>
      <c r="R515" s="14" t="s">
        <v>1939</v>
      </c>
      <c r="S515" s="14"/>
      <c r="T515" s="14"/>
    </row>
    <row r="516" ht="13.5" customHeight="1" spans="1:20">
      <c r="A516" s="13" t="s">
        <v>3733</v>
      </c>
      <c r="B516" s="13" t="s">
        <v>3734</v>
      </c>
      <c r="C516" s="13" t="s">
        <v>3735</v>
      </c>
      <c r="D516" s="13"/>
      <c r="E516" s="13" t="s">
        <v>3736</v>
      </c>
      <c r="F516" s="13" t="s">
        <v>3710</v>
      </c>
      <c r="G516" s="13" t="s">
        <v>3737</v>
      </c>
      <c r="H516" s="13" t="s">
        <v>2039</v>
      </c>
      <c r="I516" s="13" t="s">
        <v>1934</v>
      </c>
      <c r="J516" s="13" t="s">
        <v>3738</v>
      </c>
      <c r="K516" s="14">
        <v>1</v>
      </c>
      <c r="L516" s="13" t="s">
        <v>3734</v>
      </c>
      <c r="M516" s="13" t="s">
        <v>3733</v>
      </c>
      <c r="N516" s="13" t="s">
        <v>195</v>
      </c>
      <c r="O516" s="14" t="s">
        <v>3739</v>
      </c>
      <c r="P516" s="14" t="s">
        <v>1949</v>
      </c>
      <c r="Q516" s="14"/>
      <c r="R516" s="14" t="s">
        <v>1939</v>
      </c>
      <c r="S516" s="14"/>
      <c r="T516" s="14"/>
    </row>
    <row r="517" ht="13.5" customHeight="1" spans="1:20">
      <c r="A517" s="13" t="s">
        <v>3740</v>
      </c>
      <c r="B517" s="13" t="s">
        <v>3741</v>
      </c>
      <c r="C517" s="13" t="s">
        <v>1999</v>
      </c>
      <c r="D517" s="13"/>
      <c r="E517" s="13" t="s">
        <v>3742</v>
      </c>
      <c r="F517" s="13" t="s">
        <v>1931</v>
      </c>
      <c r="G517" s="13" t="s">
        <v>1921</v>
      </c>
      <c r="H517" s="13" t="s">
        <v>2039</v>
      </c>
      <c r="I517" s="13" t="s">
        <v>1934</v>
      </c>
      <c r="J517" s="13" t="s">
        <v>3743</v>
      </c>
      <c r="K517" s="14">
        <v>1</v>
      </c>
      <c r="L517" s="13" t="s">
        <v>3741</v>
      </c>
      <c r="M517" s="13" t="s">
        <v>3740</v>
      </c>
      <c r="N517" s="13" t="s">
        <v>197</v>
      </c>
      <c r="O517" s="14" t="s">
        <v>3742</v>
      </c>
      <c r="P517" s="14" t="s">
        <v>1949</v>
      </c>
      <c r="Q517" s="14"/>
      <c r="R517" s="14" t="s">
        <v>1939</v>
      </c>
      <c r="S517" s="14"/>
      <c r="T517" s="14"/>
    </row>
    <row r="518" ht="13.5" customHeight="1" spans="1:20">
      <c r="A518" s="13" t="s">
        <v>3744</v>
      </c>
      <c r="B518" s="13" t="s">
        <v>3745</v>
      </c>
      <c r="C518" s="13" t="s">
        <v>3677</v>
      </c>
      <c r="D518" s="13"/>
      <c r="E518" s="13" t="s">
        <v>3742</v>
      </c>
      <c r="F518" s="13" t="s">
        <v>1931</v>
      </c>
      <c r="G518" s="13" t="s">
        <v>3746</v>
      </c>
      <c r="H518" s="13" t="s">
        <v>2039</v>
      </c>
      <c r="I518" s="13" t="s">
        <v>1934</v>
      </c>
      <c r="J518" s="13" t="s">
        <v>3747</v>
      </c>
      <c r="K518" s="14">
        <v>1</v>
      </c>
      <c r="L518" s="13" t="s">
        <v>3745</v>
      </c>
      <c r="M518" s="13" t="s">
        <v>3744</v>
      </c>
      <c r="N518" s="13" t="s">
        <v>198</v>
      </c>
      <c r="O518" s="14" t="s">
        <v>3742</v>
      </c>
      <c r="P518" s="14" t="s">
        <v>1949</v>
      </c>
      <c r="Q518" s="14"/>
      <c r="R518" s="14" t="s">
        <v>1939</v>
      </c>
      <c r="S518" s="14"/>
      <c r="T518" s="14"/>
    </row>
    <row r="519" ht="13.5" customHeight="1" spans="1:20">
      <c r="A519" s="13" t="s">
        <v>3748</v>
      </c>
      <c r="B519" s="13" t="s">
        <v>3749</v>
      </c>
      <c r="C519" s="13" t="s">
        <v>3677</v>
      </c>
      <c r="D519" s="13"/>
      <c r="E519" s="13" t="s">
        <v>3750</v>
      </c>
      <c r="F519" s="13" t="s">
        <v>1931</v>
      </c>
      <c r="G519" s="13" t="s">
        <v>1958</v>
      </c>
      <c r="H519" s="13" t="s">
        <v>3751</v>
      </c>
      <c r="I519" s="13" t="s">
        <v>3686</v>
      </c>
      <c r="J519" s="13" t="s">
        <v>3752</v>
      </c>
      <c r="K519" s="14">
        <v>1</v>
      </c>
      <c r="L519" s="13" t="s">
        <v>3749</v>
      </c>
      <c r="M519" s="13" t="s">
        <v>3748</v>
      </c>
      <c r="N519" s="13" t="s">
        <v>189</v>
      </c>
      <c r="O519" s="14" t="s">
        <v>3750</v>
      </c>
      <c r="P519" s="14" t="s">
        <v>1937</v>
      </c>
      <c r="Q519" s="14" t="s">
        <v>3753</v>
      </c>
      <c r="R519" s="14" t="s">
        <v>1939</v>
      </c>
      <c r="S519" s="14"/>
      <c r="T519" s="14"/>
    </row>
    <row r="520" ht="13.5" customHeight="1" spans="1:20">
      <c r="A520" s="13" t="s">
        <v>3754</v>
      </c>
      <c r="B520" s="13" t="s">
        <v>3755</v>
      </c>
      <c r="C520" s="13" t="s">
        <v>3677</v>
      </c>
      <c r="D520" s="13"/>
      <c r="E520" s="14" t="s">
        <v>3756</v>
      </c>
      <c r="F520" s="13" t="s">
        <v>3678</v>
      </c>
      <c r="G520" s="13" t="s">
        <v>1958</v>
      </c>
      <c r="H520" s="13" t="s">
        <v>3757</v>
      </c>
      <c r="I520" s="13" t="s">
        <v>3758</v>
      </c>
      <c r="J520" s="13" t="s">
        <v>3759</v>
      </c>
      <c r="K520" s="14">
        <v>1</v>
      </c>
      <c r="L520" s="13" t="s">
        <v>3755</v>
      </c>
      <c r="M520" s="13" t="s">
        <v>3754</v>
      </c>
      <c r="N520" s="13" t="s">
        <v>191</v>
      </c>
      <c r="O520" s="14" t="s">
        <v>3756</v>
      </c>
      <c r="P520" s="14" t="s">
        <v>1937</v>
      </c>
      <c r="Q520" s="14" t="s">
        <v>3760</v>
      </c>
      <c r="R520" s="14" t="s">
        <v>1939</v>
      </c>
      <c r="S520" s="14"/>
      <c r="T520" s="14"/>
    </row>
    <row r="521" ht="13.5" customHeight="1" spans="1:20">
      <c r="A521" s="13" t="s">
        <v>3761</v>
      </c>
      <c r="B521" s="13" t="s">
        <v>3762</v>
      </c>
      <c r="C521" s="13" t="s">
        <v>3677</v>
      </c>
      <c r="D521" s="13"/>
      <c r="E521" s="13" t="s">
        <v>3763</v>
      </c>
      <c r="F521" s="13" t="s">
        <v>3669</v>
      </c>
      <c r="G521" s="13" t="s">
        <v>1958</v>
      </c>
      <c r="H521" s="13" t="s">
        <v>3764</v>
      </c>
      <c r="I521" s="13" t="s">
        <v>3680</v>
      </c>
      <c r="J521" s="13" t="s">
        <v>3765</v>
      </c>
      <c r="K521" s="14">
        <v>1</v>
      </c>
      <c r="L521" s="13" t="s">
        <v>3762</v>
      </c>
      <c r="M521" s="13" t="s">
        <v>3761</v>
      </c>
      <c r="N521" s="13" t="s">
        <v>193</v>
      </c>
      <c r="O521" s="14" t="s">
        <v>3763</v>
      </c>
      <c r="P521" s="14" t="s">
        <v>1937</v>
      </c>
      <c r="Q521" s="14" t="s">
        <v>3766</v>
      </c>
      <c r="R521" s="14" t="s">
        <v>1939</v>
      </c>
      <c r="S521" s="14"/>
      <c r="T521" s="14"/>
    </row>
    <row r="522" ht="13.5" customHeight="1" spans="1:20">
      <c r="A522" s="13"/>
      <c r="B522" s="13"/>
      <c r="C522" s="13"/>
      <c r="D522" s="13"/>
      <c r="E522" s="13"/>
      <c r="F522" s="13"/>
      <c r="G522" s="13"/>
      <c r="H522" s="13"/>
      <c r="I522" s="13"/>
      <c r="J522" s="13"/>
      <c r="K522" s="14">
        <v>1</v>
      </c>
      <c r="L522" s="13"/>
      <c r="M522" s="13"/>
      <c r="N522" s="13"/>
      <c r="O522" s="14"/>
      <c r="P522" s="14"/>
      <c r="Q522" s="14"/>
      <c r="R522" s="14"/>
      <c r="S522" s="14"/>
      <c r="T522" s="14"/>
    </row>
    <row r="523" ht="13.5" customHeight="1" spans="1:20">
      <c r="A523" s="13"/>
      <c r="B523" s="13"/>
      <c r="C523" s="13"/>
      <c r="D523" s="13"/>
      <c r="E523" s="13"/>
      <c r="F523" s="13"/>
      <c r="G523" s="13"/>
      <c r="H523" s="13"/>
      <c r="I523" s="13"/>
      <c r="J523" s="13"/>
      <c r="K523" s="14">
        <v>1</v>
      </c>
      <c r="L523" s="13"/>
      <c r="M523" s="13"/>
      <c r="N523" s="13"/>
      <c r="O523" s="14"/>
      <c r="P523" s="14"/>
      <c r="Q523" s="14"/>
      <c r="R523" s="14"/>
      <c r="S523" s="14"/>
      <c r="T523" s="14"/>
    </row>
    <row r="524" ht="13.5" customHeight="1" spans="1:20">
      <c r="A524" s="13"/>
      <c r="B524" s="13"/>
      <c r="C524" s="13"/>
      <c r="D524" s="13"/>
      <c r="E524" s="13"/>
      <c r="F524" s="13"/>
      <c r="G524" s="13"/>
      <c r="H524" s="13"/>
      <c r="I524" s="13"/>
      <c r="J524" s="13"/>
      <c r="K524" s="14">
        <v>1</v>
      </c>
      <c r="L524" s="13"/>
      <c r="M524" s="13"/>
      <c r="N524" s="13"/>
      <c r="O524" s="14"/>
      <c r="P524" s="14"/>
      <c r="Q524" s="14"/>
      <c r="R524" s="14"/>
      <c r="S524" s="14"/>
      <c r="T524" s="14"/>
    </row>
    <row r="525" ht="13.5" customHeight="1" spans="1:20">
      <c r="A525" s="13"/>
      <c r="B525" s="13"/>
      <c r="C525" s="13"/>
      <c r="D525" s="13"/>
      <c r="E525" s="13"/>
      <c r="F525" s="13"/>
      <c r="G525" s="13"/>
      <c r="H525" s="13"/>
      <c r="I525" s="13"/>
      <c r="J525" s="13"/>
      <c r="K525" s="14">
        <v>1</v>
      </c>
      <c r="L525" s="13"/>
      <c r="M525" s="13"/>
      <c r="N525" s="13"/>
      <c r="O525" s="14"/>
      <c r="P525" s="14"/>
      <c r="Q525" s="14"/>
      <c r="R525" s="14"/>
      <c r="S525" s="14"/>
      <c r="T525" s="14"/>
    </row>
    <row r="526" ht="13.5" customHeight="1" spans="1:20">
      <c r="A526" s="13"/>
      <c r="B526" s="13"/>
      <c r="C526" s="13"/>
      <c r="D526" s="13"/>
      <c r="E526" s="13"/>
      <c r="F526" s="13"/>
      <c r="G526" s="13"/>
      <c r="H526" s="13"/>
      <c r="I526" s="13"/>
      <c r="J526" s="13"/>
      <c r="K526" s="14">
        <v>1</v>
      </c>
      <c r="L526" s="13"/>
      <c r="M526" s="13"/>
      <c r="N526" s="13"/>
      <c r="O526" s="14"/>
      <c r="P526" s="14"/>
      <c r="Q526" s="14"/>
      <c r="R526" s="14"/>
      <c r="S526" s="14"/>
      <c r="T526" s="14"/>
    </row>
    <row r="527" ht="13.5" customHeight="1" spans="1:20">
      <c r="A527" s="13"/>
      <c r="B527" s="13"/>
      <c r="C527" s="13"/>
      <c r="D527" s="13"/>
      <c r="E527" s="13"/>
      <c r="F527" s="13"/>
      <c r="G527" s="13"/>
      <c r="H527" s="13"/>
      <c r="I527" s="13"/>
      <c r="J527" s="13"/>
      <c r="K527" s="14">
        <v>1</v>
      </c>
      <c r="L527" s="13"/>
      <c r="M527" s="13"/>
      <c r="N527" s="13"/>
      <c r="O527" s="14"/>
      <c r="P527" s="14"/>
      <c r="Q527" s="14"/>
      <c r="R527" s="14"/>
      <c r="S527" s="14"/>
      <c r="T527" s="14"/>
    </row>
    <row r="528" ht="13.5" customHeight="1" spans="1:20">
      <c r="A528" s="13"/>
      <c r="B528" s="13"/>
      <c r="C528" s="13"/>
      <c r="D528" s="13"/>
      <c r="E528" s="13"/>
      <c r="F528" s="13"/>
      <c r="G528" s="13"/>
      <c r="H528" s="13"/>
      <c r="I528" s="13"/>
      <c r="J528" s="13"/>
      <c r="K528" s="14">
        <v>1</v>
      </c>
      <c r="L528" s="13"/>
      <c r="M528" s="13"/>
      <c r="N528" s="13"/>
      <c r="O528" s="14"/>
      <c r="P528" s="14"/>
      <c r="Q528" s="14"/>
      <c r="R528" s="14"/>
      <c r="S528" s="14"/>
      <c r="T528" s="14"/>
    </row>
    <row r="529" ht="13.5" customHeight="1" spans="1:20">
      <c r="A529" s="13"/>
      <c r="B529" s="13"/>
      <c r="C529" s="13"/>
      <c r="D529" s="13"/>
      <c r="E529" s="13"/>
      <c r="F529" s="13"/>
      <c r="G529" s="13"/>
      <c r="H529" s="13"/>
      <c r="I529" s="13"/>
      <c r="J529" s="13"/>
      <c r="K529" s="14">
        <v>1</v>
      </c>
      <c r="L529" s="13"/>
      <c r="M529" s="13"/>
      <c r="N529" s="13"/>
      <c r="O529" s="14"/>
      <c r="P529" s="14"/>
      <c r="Q529" s="14"/>
      <c r="R529" s="14"/>
      <c r="S529" s="14"/>
      <c r="T529" s="14"/>
    </row>
    <row r="530" ht="13.5" customHeight="1" spans="1:20">
      <c r="A530" s="13"/>
      <c r="B530" s="13"/>
      <c r="C530" s="13"/>
      <c r="D530" s="13"/>
      <c r="E530" s="13"/>
      <c r="F530" s="13"/>
      <c r="G530" s="13"/>
      <c r="H530" s="13"/>
      <c r="I530" s="13"/>
      <c r="J530" s="13"/>
      <c r="K530" s="14">
        <v>1</v>
      </c>
      <c r="L530" s="13"/>
      <c r="M530" s="13"/>
      <c r="N530" s="13"/>
      <c r="O530" s="14"/>
      <c r="P530" s="14"/>
      <c r="Q530" s="14"/>
      <c r="R530" s="14"/>
      <c r="S530" s="14"/>
      <c r="T530" s="14"/>
    </row>
    <row r="531" ht="13.5" customHeight="1" spans="1:20">
      <c r="A531" s="13"/>
      <c r="B531" s="13"/>
      <c r="C531" s="13"/>
      <c r="D531" s="13"/>
      <c r="E531" s="13"/>
      <c r="F531" s="13"/>
      <c r="G531" s="13"/>
      <c r="H531" s="13"/>
      <c r="I531" s="13"/>
      <c r="J531" s="13"/>
      <c r="K531" s="14">
        <v>1</v>
      </c>
      <c r="L531" s="13"/>
      <c r="M531" s="13"/>
      <c r="N531" s="13"/>
      <c r="O531" s="14"/>
      <c r="P531" s="14"/>
      <c r="Q531" s="14"/>
      <c r="R531" s="14"/>
      <c r="S531" s="14"/>
      <c r="T531" s="14"/>
    </row>
    <row r="532" ht="13.5" customHeight="1" spans="1:20">
      <c r="A532" s="13"/>
      <c r="B532" s="13"/>
      <c r="C532" s="13"/>
      <c r="D532" s="13"/>
      <c r="E532" s="13"/>
      <c r="F532" s="13"/>
      <c r="G532" s="13"/>
      <c r="H532" s="13"/>
      <c r="I532" s="13"/>
      <c r="J532" s="13"/>
      <c r="K532" s="14">
        <v>1</v>
      </c>
      <c r="L532" s="13"/>
      <c r="M532" s="13"/>
      <c r="N532" s="13"/>
      <c r="O532" s="14"/>
      <c r="P532" s="14"/>
      <c r="Q532" s="14"/>
      <c r="R532" s="14"/>
      <c r="S532" s="14"/>
      <c r="T532" s="14"/>
    </row>
    <row r="533" ht="13.5" customHeight="1" spans="1:20">
      <c r="A533" s="13"/>
      <c r="B533" s="13"/>
      <c r="C533" s="13"/>
      <c r="D533" s="13"/>
      <c r="E533" s="13"/>
      <c r="F533" s="13"/>
      <c r="G533" s="13"/>
      <c r="H533" s="13"/>
      <c r="I533" s="13"/>
      <c r="J533" s="13"/>
      <c r="K533" s="14">
        <v>1</v>
      </c>
      <c r="L533" s="13"/>
      <c r="M533" s="13"/>
      <c r="N533" s="13"/>
      <c r="O533" s="14"/>
      <c r="P533" s="14"/>
      <c r="Q533" s="14"/>
      <c r="R533" s="14"/>
      <c r="S533" s="14"/>
      <c r="T533" s="14"/>
    </row>
    <row r="534" ht="13.5" customHeight="1" spans="1:20">
      <c r="A534" s="13"/>
      <c r="B534" s="13"/>
      <c r="C534" s="13"/>
      <c r="D534" s="13"/>
      <c r="E534" s="13"/>
      <c r="F534" s="13"/>
      <c r="G534" s="13"/>
      <c r="H534" s="13"/>
      <c r="I534" s="13"/>
      <c r="J534" s="13"/>
      <c r="K534" s="14">
        <v>1</v>
      </c>
      <c r="L534" s="13"/>
      <c r="M534" s="13"/>
      <c r="N534" s="13"/>
      <c r="O534" s="14"/>
      <c r="P534" s="14"/>
      <c r="Q534" s="14"/>
      <c r="R534" s="14"/>
      <c r="S534" s="14"/>
      <c r="T534" s="14"/>
    </row>
    <row r="535" ht="13.5" customHeight="1" spans="1:20">
      <c r="A535" s="13"/>
      <c r="B535" s="13"/>
      <c r="C535" s="13"/>
      <c r="D535" s="13"/>
      <c r="E535" s="13"/>
      <c r="F535" s="13"/>
      <c r="G535" s="13"/>
      <c r="H535" s="13"/>
      <c r="I535" s="13"/>
      <c r="J535" s="13"/>
      <c r="K535" s="14">
        <v>1</v>
      </c>
      <c r="L535" s="13"/>
      <c r="M535" s="13"/>
      <c r="N535" s="13"/>
      <c r="O535" s="14"/>
      <c r="P535" s="14"/>
      <c r="Q535" s="14"/>
      <c r="R535" s="14"/>
      <c r="S535" s="14"/>
      <c r="T535" s="14"/>
    </row>
    <row r="536" ht="13.5" customHeight="1" spans="1:20">
      <c r="A536" s="13"/>
      <c r="B536" s="13"/>
      <c r="C536" s="13"/>
      <c r="D536" s="13"/>
      <c r="E536" s="13"/>
      <c r="F536" s="13"/>
      <c r="G536" s="13"/>
      <c r="H536" s="13"/>
      <c r="I536" s="13"/>
      <c r="J536" s="13"/>
      <c r="K536" s="14">
        <v>1</v>
      </c>
      <c r="L536" s="13"/>
      <c r="M536" s="13"/>
      <c r="N536" s="13"/>
      <c r="O536" s="14"/>
      <c r="P536" s="14"/>
      <c r="Q536" s="14"/>
      <c r="R536" s="14"/>
      <c r="S536" s="14"/>
      <c r="T536" s="14"/>
    </row>
    <row r="537" ht="13.5" customHeight="1" spans="1:20">
      <c r="A537" s="13"/>
      <c r="B537" s="13"/>
      <c r="C537" s="13"/>
      <c r="D537" s="13"/>
      <c r="E537" s="13"/>
      <c r="F537" s="13"/>
      <c r="G537" s="13"/>
      <c r="H537" s="13"/>
      <c r="I537" s="13"/>
      <c r="J537" s="13"/>
      <c r="K537" s="14">
        <v>1</v>
      </c>
      <c r="L537" s="13"/>
      <c r="M537" s="13"/>
      <c r="N537" s="13"/>
      <c r="O537" s="14"/>
      <c r="P537" s="14"/>
      <c r="Q537" s="14"/>
      <c r="R537" s="14"/>
      <c r="S537" s="14"/>
      <c r="T537" s="14"/>
    </row>
    <row r="538" ht="13.5" customHeight="1" spans="1:20">
      <c r="A538" s="13"/>
      <c r="B538" s="13"/>
      <c r="C538" s="13"/>
      <c r="D538" s="13"/>
      <c r="E538" s="13"/>
      <c r="F538" s="13"/>
      <c r="G538" s="13"/>
      <c r="H538" s="13"/>
      <c r="I538" s="13"/>
      <c r="J538" s="13"/>
      <c r="K538" s="14">
        <v>1</v>
      </c>
      <c r="L538" s="13"/>
      <c r="M538" s="13"/>
      <c r="N538" s="13"/>
      <c r="O538" s="14"/>
      <c r="P538" s="14"/>
      <c r="Q538" s="14"/>
      <c r="R538" s="14"/>
      <c r="S538" s="14"/>
      <c r="T538" s="14"/>
    </row>
    <row r="539" ht="13.5" customHeight="1" spans="1:20">
      <c r="A539" s="13"/>
      <c r="B539" s="13"/>
      <c r="C539" s="13"/>
      <c r="D539" s="13"/>
      <c r="E539" s="13"/>
      <c r="F539" s="13"/>
      <c r="G539" s="13"/>
      <c r="H539" s="13"/>
      <c r="I539" s="13"/>
      <c r="J539" s="13"/>
      <c r="K539" s="14">
        <v>1</v>
      </c>
      <c r="L539" s="13"/>
      <c r="M539" s="13"/>
      <c r="N539" s="13"/>
      <c r="O539" s="14"/>
      <c r="P539" s="14"/>
      <c r="Q539" s="14"/>
      <c r="R539" s="14"/>
      <c r="S539" s="14"/>
      <c r="T539" s="14"/>
    </row>
    <row r="540" ht="13.5" customHeight="1" spans="1:20">
      <c r="A540" s="13"/>
      <c r="B540" s="13"/>
      <c r="C540" s="13"/>
      <c r="D540" s="13"/>
      <c r="E540" s="13"/>
      <c r="F540" s="13"/>
      <c r="G540" s="13"/>
      <c r="H540" s="13"/>
      <c r="I540" s="13"/>
      <c r="J540" s="13"/>
      <c r="K540" s="14">
        <v>1</v>
      </c>
      <c r="L540" s="13"/>
      <c r="M540" s="13"/>
      <c r="N540" s="13"/>
      <c r="O540" s="14"/>
      <c r="P540" s="14"/>
      <c r="Q540" s="14"/>
      <c r="R540" s="14"/>
      <c r="S540" s="14"/>
      <c r="T540" s="14"/>
    </row>
    <row r="541" ht="13.5" customHeight="1" spans="1:20">
      <c r="A541" s="13"/>
      <c r="B541" s="13"/>
      <c r="C541" s="13"/>
      <c r="D541" s="13"/>
      <c r="E541" s="13"/>
      <c r="F541" s="13"/>
      <c r="G541" s="13"/>
      <c r="H541" s="13"/>
      <c r="I541" s="13"/>
      <c r="J541" s="13"/>
      <c r="K541" s="14">
        <v>1</v>
      </c>
      <c r="L541" s="13"/>
      <c r="M541" s="13"/>
      <c r="N541" s="13"/>
      <c r="O541" s="14"/>
      <c r="P541" s="14"/>
      <c r="Q541" s="14"/>
      <c r="R541" s="14"/>
      <c r="S541" s="14"/>
      <c r="T541" s="14"/>
    </row>
    <row r="542" ht="13.5" customHeight="1" spans="1:20">
      <c r="A542" s="13"/>
      <c r="B542" s="13"/>
      <c r="C542" s="13"/>
      <c r="D542" s="13"/>
      <c r="E542" s="13"/>
      <c r="F542" s="13"/>
      <c r="G542" s="13"/>
      <c r="H542" s="13"/>
      <c r="I542" s="13"/>
      <c r="J542" s="13"/>
      <c r="K542" s="14">
        <v>1</v>
      </c>
      <c r="L542" s="13"/>
      <c r="M542" s="13"/>
      <c r="N542" s="13"/>
      <c r="O542" s="14"/>
      <c r="P542" s="14"/>
      <c r="Q542" s="14"/>
      <c r="R542" s="14"/>
      <c r="S542" s="14"/>
      <c r="T542" s="14"/>
    </row>
    <row r="543" ht="13.5" customHeight="1" spans="1:20">
      <c r="A543" s="13"/>
      <c r="B543" s="13"/>
      <c r="C543" s="13"/>
      <c r="D543" s="13"/>
      <c r="E543" s="13"/>
      <c r="F543" s="13"/>
      <c r="G543" s="13"/>
      <c r="H543" s="13"/>
      <c r="I543" s="13"/>
      <c r="J543" s="13"/>
      <c r="K543" s="14">
        <v>1</v>
      </c>
      <c r="L543" s="13"/>
      <c r="M543" s="13"/>
      <c r="N543" s="13"/>
      <c r="O543" s="14"/>
      <c r="P543" s="14"/>
      <c r="Q543" s="14"/>
      <c r="R543" s="14"/>
      <c r="S543" s="14"/>
      <c r="T543" s="14"/>
    </row>
    <row r="544" ht="13.5" customHeight="1" spans="1:20">
      <c r="A544" s="13"/>
      <c r="B544" s="13"/>
      <c r="C544" s="13"/>
      <c r="D544" s="13"/>
      <c r="E544" s="13"/>
      <c r="F544" s="13"/>
      <c r="G544" s="13"/>
      <c r="H544" s="13"/>
      <c r="I544" s="13"/>
      <c r="J544" s="13"/>
      <c r="K544" s="14">
        <v>1</v>
      </c>
      <c r="L544" s="13"/>
      <c r="M544" s="13"/>
      <c r="N544" s="13"/>
      <c r="O544" s="14"/>
      <c r="P544" s="14"/>
      <c r="Q544" s="14"/>
      <c r="R544" s="14"/>
      <c r="S544" s="14"/>
      <c r="T544" s="14"/>
    </row>
    <row r="545" ht="13.5" customHeight="1" spans="1:20">
      <c r="A545" s="13"/>
      <c r="B545" s="13"/>
      <c r="C545" s="13"/>
      <c r="D545" s="13"/>
      <c r="E545" s="13"/>
      <c r="F545" s="13"/>
      <c r="G545" s="13"/>
      <c r="H545" s="13"/>
      <c r="I545" s="13"/>
      <c r="J545" s="13"/>
      <c r="K545" s="14">
        <v>1</v>
      </c>
      <c r="L545" s="13"/>
      <c r="M545" s="13"/>
      <c r="N545" s="13"/>
      <c r="O545" s="14"/>
      <c r="P545" s="14"/>
      <c r="Q545" s="14"/>
      <c r="R545" s="14"/>
      <c r="S545" s="14"/>
      <c r="T545" s="14"/>
    </row>
    <row r="546" ht="13.5" customHeight="1" spans="1:20">
      <c r="A546" s="13"/>
      <c r="B546" s="13"/>
      <c r="C546" s="13"/>
      <c r="D546" s="13"/>
      <c r="E546" s="13"/>
      <c r="F546" s="13"/>
      <c r="G546" s="13"/>
      <c r="H546" s="13"/>
      <c r="I546" s="13"/>
      <c r="J546" s="13"/>
      <c r="K546" s="14">
        <v>1</v>
      </c>
      <c r="L546" s="13"/>
      <c r="M546" s="13"/>
      <c r="N546" s="13"/>
      <c r="O546" s="14"/>
      <c r="P546" s="14"/>
      <c r="Q546" s="14"/>
      <c r="R546" s="14"/>
      <c r="S546" s="14"/>
      <c r="T546" s="14"/>
    </row>
    <row r="547" ht="13.5" customHeight="1" spans="1:20">
      <c r="A547" s="13"/>
      <c r="B547" s="13"/>
      <c r="C547" s="13"/>
      <c r="D547" s="13"/>
      <c r="E547" s="13"/>
      <c r="F547" s="13"/>
      <c r="G547" s="13"/>
      <c r="H547" s="13"/>
      <c r="I547" s="13"/>
      <c r="J547" s="13"/>
      <c r="K547" s="14">
        <v>1</v>
      </c>
      <c r="L547" s="13"/>
      <c r="M547" s="13"/>
      <c r="N547" s="13"/>
      <c r="O547" s="14"/>
      <c r="P547" s="14"/>
      <c r="Q547" s="14"/>
      <c r="R547" s="14"/>
      <c r="S547" s="14"/>
      <c r="T547" s="14"/>
    </row>
    <row r="548" ht="13.5" customHeight="1" spans="1:20">
      <c r="A548" s="13"/>
      <c r="B548" s="13"/>
      <c r="C548" s="13"/>
      <c r="D548" s="13"/>
      <c r="E548" s="13"/>
      <c r="F548" s="13"/>
      <c r="G548" s="13"/>
      <c r="H548" s="13"/>
      <c r="I548" s="13"/>
      <c r="J548" s="13"/>
      <c r="K548" s="14">
        <v>1</v>
      </c>
      <c r="L548" s="13"/>
      <c r="M548" s="13"/>
      <c r="N548" s="13"/>
      <c r="O548" s="14"/>
      <c r="P548" s="14"/>
      <c r="Q548" s="14"/>
      <c r="R548" s="14"/>
      <c r="S548" s="14"/>
      <c r="T548" s="14"/>
    </row>
    <row r="549" ht="13.5" customHeight="1" spans="1:20">
      <c r="A549" s="13"/>
      <c r="B549" s="13"/>
      <c r="C549" s="13"/>
      <c r="D549" s="13"/>
      <c r="E549" s="13"/>
      <c r="F549" s="13"/>
      <c r="G549" s="13"/>
      <c r="H549" s="13"/>
      <c r="I549" s="13"/>
      <c r="J549" s="13"/>
      <c r="K549" s="14">
        <v>1</v>
      </c>
      <c r="L549" s="13"/>
      <c r="M549" s="13"/>
      <c r="N549" s="13"/>
      <c r="O549" s="14"/>
      <c r="P549" s="14"/>
      <c r="Q549" s="14"/>
      <c r="R549" s="14"/>
      <c r="S549" s="14"/>
      <c r="T549" s="14"/>
    </row>
    <row r="550" ht="13.5" customHeight="1" spans="1:20">
      <c r="A550" s="13"/>
      <c r="B550" s="13"/>
      <c r="C550" s="13"/>
      <c r="D550" s="13"/>
      <c r="E550" s="13"/>
      <c r="F550" s="13"/>
      <c r="G550" s="13"/>
      <c r="H550" s="13"/>
      <c r="I550" s="13"/>
      <c r="J550" s="13"/>
      <c r="K550" s="14">
        <v>1</v>
      </c>
      <c r="L550" s="13"/>
      <c r="M550" s="13"/>
      <c r="N550" s="13"/>
      <c r="O550" s="14"/>
      <c r="P550" s="14"/>
      <c r="Q550" s="14"/>
      <c r="R550" s="14"/>
      <c r="S550" s="14"/>
      <c r="T550" s="14"/>
    </row>
    <row r="551" ht="13.5" customHeight="1" spans="1:20">
      <c r="A551" s="13"/>
      <c r="B551" s="13"/>
      <c r="C551" s="13"/>
      <c r="D551" s="13"/>
      <c r="E551" s="13"/>
      <c r="F551" s="13"/>
      <c r="G551" s="13"/>
      <c r="H551" s="13"/>
      <c r="I551" s="13"/>
      <c r="J551" s="13"/>
      <c r="K551" s="14">
        <v>1</v>
      </c>
      <c r="L551" s="13"/>
      <c r="M551" s="13"/>
      <c r="N551" s="13"/>
      <c r="O551" s="14"/>
      <c r="P551" s="14"/>
      <c r="Q551" s="14"/>
      <c r="R551" s="14"/>
      <c r="S551" s="14"/>
      <c r="T551" s="14"/>
    </row>
    <row r="552" ht="13.5" customHeight="1" spans="1:20">
      <c r="A552" s="13"/>
      <c r="B552" s="13"/>
      <c r="C552" s="13"/>
      <c r="D552" s="13"/>
      <c r="E552" s="13"/>
      <c r="F552" s="13"/>
      <c r="G552" s="13"/>
      <c r="H552" s="13"/>
      <c r="I552" s="13"/>
      <c r="J552" s="13"/>
      <c r="K552" s="14">
        <v>1</v>
      </c>
      <c r="L552" s="13"/>
      <c r="M552" s="13"/>
      <c r="N552" s="13"/>
      <c r="O552" s="14"/>
      <c r="P552" s="14"/>
      <c r="Q552" s="14"/>
      <c r="R552" s="14"/>
      <c r="S552" s="14"/>
      <c r="T552" s="14"/>
    </row>
    <row r="553" ht="13.5" customHeight="1" spans="1:20">
      <c r="A553" s="13"/>
      <c r="B553" s="13"/>
      <c r="C553" s="13"/>
      <c r="D553" s="13"/>
      <c r="E553" s="13"/>
      <c r="F553" s="13"/>
      <c r="G553" s="13"/>
      <c r="H553" s="13"/>
      <c r="I553" s="13"/>
      <c r="J553" s="13"/>
      <c r="K553" s="14">
        <v>1</v>
      </c>
      <c r="L553" s="13"/>
      <c r="M553" s="13"/>
      <c r="N553" s="13"/>
      <c r="O553" s="14"/>
      <c r="P553" s="14"/>
      <c r="Q553" s="14"/>
      <c r="R553" s="14"/>
      <c r="S553" s="14"/>
      <c r="T553" s="14"/>
    </row>
    <row r="554" ht="13.5" customHeight="1" spans="1:20">
      <c r="A554" s="13"/>
      <c r="B554" s="13"/>
      <c r="C554" s="13"/>
      <c r="D554" s="13"/>
      <c r="E554" s="13"/>
      <c r="F554" s="13"/>
      <c r="G554" s="13"/>
      <c r="H554" s="13"/>
      <c r="I554" s="13"/>
      <c r="J554" s="13"/>
      <c r="K554" s="14">
        <v>1</v>
      </c>
      <c r="L554" s="13"/>
      <c r="M554" s="13"/>
      <c r="N554" s="13"/>
      <c r="O554" s="14"/>
      <c r="P554" s="14"/>
      <c r="Q554" s="14"/>
      <c r="R554" s="14"/>
      <c r="S554" s="14"/>
      <c r="T554" s="14"/>
    </row>
    <row r="555" ht="13.5" customHeight="1" spans="1:20">
      <c r="A555" s="13"/>
      <c r="B555" s="13"/>
      <c r="C555" s="13"/>
      <c r="D555" s="13"/>
      <c r="E555" s="13"/>
      <c r="F555" s="13"/>
      <c r="G555" s="13"/>
      <c r="H555" s="13"/>
      <c r="I555" s="13"/>
      <c r="J555" s="13"/>
      <c r="K555" s="14">
        <v>1</v>
      </c>
      <c r="L555" s="13"/>
      <c r="M555" s="13"/>
      <c r="N555" s="13"/>
      <c r="O555" s="14"/>
      <c r="P555" s="14"/>
      <c r="Q555" s="14"/>
      <c r="R555" s="14"/>
      <c r="S555" s="14"/>
      <c r="T555" s="14"/>
    </row>
    <row r="556" ht="13.5" customHeight="1" spans="1:20">
      <c r="A556" s="13"/>
      <c r="B556" s="13"/>
      <c r="C556" s="13"/>
      <c r="D556" s="13"/>
      <c r="E556" s="13"/>
      <c r="F556" s="13"/>
      <c r="G556" s="13"/>
      <c r="H556" s="13"/>
      <c r="I556" s="13"/>
      <c r="J556" s="13"/>
      <c r="K556" s="14">
        <v>1</v>
      </c>
      <c r="L556" s="13"/>
      <c r="M556" s="13"/>
      <c r="N556" s="13"/>
      <c r="O556" s="14"/>
      <c r="P556" s="14"/>
      <c r="Q556" s="14"/>
      <c r="R556" s="14"/>
      <c r="S556" s="14"/>
      <c r="T556" s="14"/>
    </row>
    <row r="557" ht="13.5" customHeight="1" spans="1:20">
      <c r="A557" s="13"/>
      <c r="B557" s="13"/>
      <c r="C557" s="13"/>
      <c r="D557" s="13"/>
      <c r="E557" s="13"/>
      <c r="F557" s="13"/>
      <c r="G557" s="13"/>
      <c r="H557" s="13"/>
      <c r="I557" s="13"/>
      <c r="J557" s="13"/>
      <c r="K557" s="14">
        <v>1</v>
      </c>
      <c r="L557" s="13"/>
      <c r="M557" s="13"/>
      <c r="N557" s="13"/>
      <c r="O557" s="14"/>
      <c r="P557" s="14"/>
      <c r="Q557" s="14"/>
      <c r="R557" s="14"/>
      <c r="S557" s="14"/>
      <c r="T557" s="14"/>
    </row>
  </sheetData>
  <sheetProtection selectLockedCells="1" selectUnlockedCells="1"/>
  <autoFilter xmlns:etc="http://www.wps.cn/officeDocument/2017/etCustomData" ref="A2:R557" etc:filterBottomFollowUsedRange="0">
    <extLst/>
  </autoFilter>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338"/>
  <sheetViews>
    <sheetView workbookViewId="0">
      <selection activeCell="J29" sqref="J29"/>
    </sheetView>
  </sheetViews>
  <sheetFormatPr defaultColWidth="9" defaultRowHeight="14"/>
  <cols>
    <col min="1" max="2" width="9" style="6"/>
    <col min="3" max="3" width="12.7727272727273" style="6" customWidth="1"/>
    <col min="4" max="4" width="9" style="7"/>
    <col min="5" max="12" width="9" style="6"/>
    <col min="13" max="13" width="12.7727272727273" style="6" customWidth="1"/>
    <col min="14" max="14" width="9" style="7"/>
    <col min="15" max="22" width="9" style="6"/>
    <col min="23" max="23" width="12.7727272727273" style="6" customWidth="1"/>
    <col min="24" max="24" width="9" style="7"/>
    <col min="25" max="32" width="9" style="6"/>
    <col min="33" max="33" width="12.7727272727273" style="6" customWidth="1"/>
    <col min="34" max="34" width="9" style="7"/>
    <col min="35" max="42" width="9" style="6"/>
    <col min="43" max="43" width="12.7727272727273" style="6" customWidth="1"/>
    <col min="44" max="52" width="9" style="6"/>
    <col min="53" max="53" width="12.7727272727273" style="6" customWidth="1"/>
    <col min="54" max="62" width="9" style="6"/>
    <col min="63" max="63" width="12.7727272727273" style="6" customWidth="1"/>
    <col min="64" max="64" width="9" style="7"/>
    <col min="65" max="72" width="9" style="6"/>
    <col min="73" max="73" width="12.7727272727273" style="6" customWidth="1"/>
    <col min="74" max="74" width="9" style="7"/>
    <col min="75" max="16384" width="9" style="6"/>
  </cols>
  <sheetData>
    <row r="1" spans="1:79">
      <c r="A1" s="8" t="s">
        <v>311</v>
      </c>
      <c r="B1" s="8">
        <f>IF(查询!N4="戏法",0,IF(查询!N4="1环",1,IF(查询!N4="2环",2,IF(查询!N4="3环",3,IF(查询!N4="4环",4,IF(查询!N4="5环",5,IF(查询!N4="6环",6,IF(查询!N4="7环",7,IF(查询!N4="8环",8,9)))))))))</f>
        <v>2</v>
      </c>
      <c r="C1" s="8" t="s">
        <v>1910</v>
      </c>
      <c r="D1" s="9">
        <v>1</v>
      </c>
      <c r="F1" s="8" t="s">
        <v>311</v>
      </c>
      <c r="G1" s="8">
        <v>1</v>
      </c>
      <c r="K1" s="8" t="s">
        <v>287</v>
      </c>
      <c r="L1" s="8"/>
      <c r="M1" s="8" t="s">
        <v>1910</v>
      </c>
      <c r="N1" s="9">
        <v>1</v>
      </c>
      <c r="P1" s="8" t="str">
        <f>K1</f>
        <v>术士</v>
      </c>
      <c r="Q1" s="8">
        <v>1</v>
      </c>
      <c r="U1" s="8" t="s">
        <v>331</v>
      </c>
      <c r="V1" s="8"/>
      <c r="W1" s="8" t="s">
        <v>1910</v>
      </c>
      <c r="X1" s="9">
        <v>1</v>
      </c>
      <c r="Z1" s="8" t="str">
        <f>U1</f>
        <v>邪术师</v>
      </c>
      <c r="AA1" s="8">
        <v>1</v>
      </c>
      <c r="AE1" s="8" t="s">
        <v>230</v>
      </c>
      <c r="AF1" s="8"/>
      <c r="AG1" s="8" t="s">
        <v>1910</v>
      </c>
      <c r="AH1" s="9">
        <v>1</v>
      </c>
      <c r="AJ1" s="8" t="str">
        <f>AE1</f>
        <v>牧师</v>
      </c>
      <c r="AK1" s="8">
        <v>1</v>
      </c>
      <c r="AO1" s="8" t="s">
        <v>245</v>
      </c>
      <c r="AP1" s="8"/>
      <c r="AQ1" s="8" t="s">
        <v>1910</v>
      </c>
      <c r="AR1" s="8">
        <v>1</v>
      </c>
      <c r="AT1" s="8" t="str">
        <f>AO1</f>
        <v>圣武士</v>
      </c>
      <c r="AU1" s="8">
        <v>1</v>
      </c>
      <c r="AY1" s="8" t="s">
        <v>318</v>
      </c>
      <c r="AZ1" s="8"/>
      <c r="BA1" s="8" t="s">
        <v>1910</v>
      </c>
      <c r="BB1" s="8">
        <v>1</v>
      </c>
      <c r="BD1" s="8" t="str">
        <f>AY1</f>
        <v>游侠</v>
      </c>
      <c r="BE1" s="8">
        <v>1</v>
      </c>
      <c r="BI1" s="8" t="s">
        <v>259</v>
      </c>
      <c r="BJ1" s="8"/>
      <c r="BK1" s="8" t="s">
        <v>1910</v>
      </c>
      <c r="BL1" s="9">
        <v>1</v>
      </c>
      <c r="BN1" s="8" t="str">
        <f>BI1</f>
        <v>德鲁伊</v>
      </c>
      <c r="BO1" s="8">
        <v>1</v>
      </c>
      <c r="BS1" s="8" t="s">
        <v>2155</v>
      </c>
      <c r="BT1" s="8"/>
      <c r="BU1" s="8" t="s">
        <v>1910</v>
      </c>
      <c r="BV1" s="9">
        <v>1</v>
      </c>
      <c r="BX1" s="8" t="str">
        <f>BS1</f>
        <v>诗人</v>
      </c>
      <c r="BY1" s="8">
        <v>1</v>
      </c>
    </row>
    <row r="2" spans="1:79">
      <c r="A2" s="8" t="s">
        <v>3655</v>
      </c>
      <c r="B2" s="8" t="s">
        <v>1399</v>
      </c>
      <c r="C2" s="8" t="s">
        <v>494</v>
      </c>
      <c r="D2" s="9">
        <v>0</v>
      </c>
      <c r="F2" s="8" t="str">
        <f t="shared" ref="F2:F65" si="0">IF(G2="","",A2)</f>
        <v/>
      </c>
      <c r="G2" s="8" t="str">
        <f>IF(AND(VLOOKUP(C2,查询!$C$8:$E$15,3,FALSE)="启用",$B$1=D2),B2,"")</f>
        <v/>
      </c>
      <c r="H2" s="6" t="str">
        <f t="array" ref="H2">INDEX(F:F,SMALL(IF($F$1:$F$500&lt;&gt;"",ROW($1:$500),1000),ROW(F2)))&amp;""</f>
        <v>Ray of Enfeeblement</v>
      </c>
      <c r="I2" s="6" t="str">
        <f t="array" ref="I2">INDEX(G:G,SMALL(IF($F$1:$F$500&lt;&gt;"",ROW($1:$500),1000),ROW(G2)))&amp;""</f>
        <v>衰弱射线</v>
      </c>
      <c r="K2" s="8" t="s">
        <v>3655</v>
      </c>
      <c r="L2" s="8" t="s">
        <v>1399</v>
      </c>
      <c r="M2" s="8" t="s">
        <v>494</v>
      </c>
      <c r="N2" s="9">
        <v>0</v>
      </c>
      <c r="P2" s="8" t="str">
        <f t="shared" ref="P2:P65" si="1">IF(Q2="","",K2)</f>
        <v/>
      </c>
      <c r="Q2" s="8" t="str">
        <f>IF(AND(VLOOKUP(M2,查询!$C$8:$E$15,3,FALSE)="启用",$B$1=N2),L2,"")</f>
        <v/>
      </c>
      <c r="R2" s="6" t="str">
        <f t="array" ref="R2">INDEX(P:P,SMALL(IF(P$1:P$500&lt;&gt;"",ROW($1:$500),1000),ROW(P2)))&amp;""</f>
        <v>Mind Spike</v>
      </c>
      <c r="S2" s="6" t="str">
        <f t="array" ref="S2">INDEX(Q:Q,SMALL(IF(Q$1:Q$500&lt;&gt;"",ROW($1:$500),1000),ROW(Q2)))&amp;""</f>
        <v>心灵尖刺</v>
      </c>
      <c r="U2" s="8" t="s">
        <v>3657</v>
      </c>
      <c r="V2" s="8" t="s">
        <v>1453</v>
      </c>
      <c r="W2" s="8" t="s">
        <v>494</v>
      </c>
      <c r="X2" s="9">
        <v>0</v>
      </c>
      <c r="Z2" s="8" t="str">
        <f t="shared" ref="Z2:Z65" si="2">IF(AA2="","",U2)</f>
        <v/>
      </c>
      <c r="AA2" s="8" t="str">
        <f>IF(AND(VLOOKUP(W2,查询!$C$8:$E$15,3,FALSE)="启用",$B$1=X2),V2,"")</f>
        <v/>
      </c>
      <c r="AB2" s="6" t="str">
        <f t="array" ref="AB2">INDEX(Z:Z,SMALL(IF(Z$1:Z$500&lt;&gt;"",ROW($1:$500),1000),ROW(Z2)))&amp;""</f>
        <v>Ray of Enfeeblement</v>
      </c>
      <c r="AC2" s="6" t="str">
        <f t="array" ref="AC2">INDEX(AA:AA,SMALL(IF(AA$1:AA$500&lt;&gt;"",ROW($1:$500),1000),ROW(AA2)))&amp;""</f>
        <v>衰弱射线</v>
      </c>
      <c r="AE2" s="8" t="s">
        <v>3644</v>
      </c>
      <c r="AF2" s="8" t="s">
        <v>1606</v>
      </c>
      <c r="AG2" s="8" t="s">
        <v>494</v>
      </c>
      <c r="AH2" s="9">
        <v>0</v>
      </c>
      <c r="AJ2" s="8" t="str">
        <f t="shared" ref="AJ2:AJ65" si="3">IF(AK2="","",AE2)</f>
        <v/>
      </c>
      <c r="AK2" s="8" t="str">
        <f>IF(AND(VLOOKUP(AG2,查询!$C$8:$E$15,3,FALSE)="启用",$B$1=AH2),AF2,"")</f>
        <v/>
      </c>
      <c r="AL2" s="6" t="str">
        <f t="array" ref="AL2">INDEX(AJ:AJ,SMALL(IF(AJ$1:AJ$500&lt;&gt;"",ROW($1:$500),1000),ROW(AJ2)))&amp;""</f>
        <v>Silence</v>
      </c>
      <c r="AM2" s="6" t="str">
        <f t="array" ref="AM2">INDEX(AK:AK,SMALL(IF(AK$1:AK$500&lt;&gt;"",ROW($1:$500),1000),ROW(AK2)))&amp;""</f>
        <v>沉默术</v>
      </c>
      <c r="AO2" s="8" t="s">
        <v>2105</v>
      </c>
      <c r="AP2" s="8" t="s">
        <v>1479</v>
      </c>
      <c r="AQ2" s="8" t="s">
        <v>494</v>
      </c>
      <c r="AR2" s="8">
        <v>1</v>
      </c>
      <c r="AT2" s="8" t="str">
        <f t="shared" ref="AT2:AT49" si="4">IF(AU2="","",AO2)</f>
        <v/>
      </c>
      <c r="AU2" s="8" t="str">
        <f>IF(AND(VLOOKUP(AQ2,查询!$C$8:$E$15,3,FALSE)="启用",$B$1=AR2),AP2,"")</f>
        <v/>
      </c>
      <c r="AV2" s="6" t="str">
        <f t="array" ref="AV2">INDEX(AT:AT,SMALL(IF(AT$1:AT$500&lt;&gt;"",ROW($1:$500),1000),ROW(AT2)))&amp;""</f>
        <v>Zone of Truth</v>
      </c>
      <c r="AW2" s="6" t="str">
        <f t="array" ref="AW2">INDEX(AU:AU,SMALL(IF(AU$1:AU$500&lt;&gt;"",ROW($1:$500),1000),ROW(AU2)))&amp;""</f>
        <v>诚实之域</v>
      </c>
      <c r="AY2" s="8" t="s">
        <v>1998</v>
      </c>
      <c r="AZ2" s="8" t="s">
        <v>1363</v>
      </c>
      <c r="BA2" s="8" t="s">
        <v>494</v>
      </c>
      <c r="BB2" s="8">
        <v>1</v>
      </c>
      <c r="BD2" s="8" t="str">
        <f t="shared" ref="BD2:BD59" si="5">IF(BE2="","",AY2)</f>
        <v/>
      </c>
      <c r="BE2" s="8" t="str">
        <f>IF(AND(VLOOKUP(BA2,查询!$C$8:$E$15,3,FALSE)="启用",$B$1=BB2),AZ2,"")</f>
        <v/>
      </c>
      <c r="BF2" s="6" t="str">
        <f t="array" ref="BF2">INDEX(BD:BD,SMALL(IF(BD$1:BD$500&lt;&gt;"",ROW($1:$500),1000),ROW(BD2)))&amp;""</f>
        <v>Cordon of Arrows</v>
      </c>
      <c r="BG2" s="6" t="str">
        <f t="array" ref="BG2">INDEX(BE:BE,SMALL(IF(BE$1:BE$500&lt;&gt;"",ROW($1:$500),1000),ROW(BE2)))&amp;""</f>
        <v>警戒之箭</v>
      </c>
      <c r="BI2" s="8" t="s">
        <v>3646</v>
      </c>
      <c r="BJ2" s="8" t="s">
        <v>1735</v>
      </c>
      <c r="BK2" s="8" t="s">
        <v>578</v>
      </c>
      <c r="BL2" s="9">
        <v>0</v>
      </c>
      <c r="BN2" s="8" t="str">
        <f t="shared" ref="BN2:BN65" si="6">IF(BO2="","",BI2)</f>
        <v/>
      </c>
      <c r="BO2" s="8" t="str">
        <f>IF(AND(VLOOKUP(BK2,查询!$C$8:$E$15,3,FALSE)="启用",$B$1=BL2),BJ2,"")</f>
        <v/>
      </c>
      <c r="BP2" s="6" t="str">
        <f t="array" ref="BP2">INDEX(BN:BN,SMALL(IF(BN$1:BN$500&lt;&gt;"",ROW($1:$500),1000),ROW(BN2)))&amp;""</f>
        <v>Warding Wind</v>
      </c>
      <c r="BQ2" s="6" t="str">
        <f t="array" ref="BQ2">INDEX(BO:BO,SMALL(IF(BO$1:BO$500&lt;&gt;"",ROW($1:$500),1000),ROW(BO2)))&amp;""</f>
        <v>守护之风</v>
      </c>
      <c r="BS2" s="8" t="s">
        <v>3657</v>
      </c>
      <c r="BT2" s="8" t="s">
        <v>1453</v>
      </c>
      <c r="BU2" s="8" t="s">
        <v>494</v>
      </c>
      <c r="BV2" s="9">
        <v>0</v>
      </c>
      <c r="BX2" s="8" t="str">
        <f t="shared" ref="BX2:BX65" si="7">IF(BY2="","",BS2)</f>
        <v/>
      </c>
      <c r="BY2" s="8" t="str">
        <f>IF(AND(VLOOKUP(BU2,查询!$C$8:$E$15,3,FALSE)="启用",$B$1=BV2),BT2,"")</f>
        <v/>
      </c>
      <c r="BZ2" s="6" t="str">
        <f t="array" ref="BZ2">INDEX(BX:BX,SMALL(IF(BX$1:BX$500&lt;&gt;"",ROW($1:$500),1000),ROW(BX2)))&amp;""</f>
        <v>Pyrotechnics</v>
      </c>
      <c r="CA2" s="6" t="str">
        <f t="array" ref="CA2">INDEX(BY:BY,SMALL(IF(BY$1:BY$500&lt;&gt;"",ROW($1:$500),1000),ROW(BY2)))&amp;""</f>
        <v>烟火E</v>
      </c>
    </row>
    <row r="3" spans="1:79">
      <c r="A3" s="8" t="s">
        <v>3657</v>
      </c>
      <c r="B3" s="8" t="s">
        <v>1453</v>
      </c>
      <c r="C3" s="8" t="s">
        <v>494</v>
      </c>
      <c r="D3" s="9">
        <v>0</v>
      </c>
      <c r="F3" s="8" t="str">
        <f t="shared" si="0"/>
        <v/>
      </c>
      <c r="G3" s="8" t="str">
        <f>IF(AND(VLOOKUP(C3,查询!$C$8:$E$15,3,FALSE)="启用",$B$1=D3),B3,"")</f>
        <v/>
      </c>
      <c r="H3" s="6" t="str">
        <f t="array" ref="H3">INDEX(F:F,SMALL(IF($F$1:$F$500&lt;&gt;"",ROW($1:$500),1000),ROW(F3)))&amp;""</f>
        <v>Mind Spike</v>
      </c>
      <c r="I3" s="6" t="str">
        <f t="array" ref="I3">INDEX(G:G,SMALL(IF($F$1:$F$500&lt;&gt;"",ROW($1:$500),1000),ROW(G3)))&amp;""</f>
        <v>心灵尖刺</v>
      </c>
      <c r="K3" s="8" t="s">
        <v>3657</v>
      </c>
      <c r="L3" s="8" t="s">
        <v>1453</v>
      </c>
      <c r="M3" s="8" t="s">
        <v>494</v>
      </c>
      <c r="N3" s="9">
        <v>0</v>
      </c>
      <c r="P3" s="8" t="str">
        <f t="shared" si="1"/>
        <v/>
      </c>
      <c r="Q3" s="8" t="str">
        <f>IF(AND(VLOOKUP(M3,查询!$C$8:$E$15,3,FALSE)="启用",$B$1=N3),L3,"")</f>
        <v/>
      </c>
      <c r="R3" s="6" t="str">
        <f t="array" ref="R3">INDEX(P:P,SMALL(IF(P$1:P$500&lt;&gt;"",ROW($1:$500),1000),ROW(P3)))&amp;""</f>
        <v>Shadow Blade</v>
      </c>
      <c r="S3" s="6" t="str">
        <f t="array" ref="S3">INDEX(Q:Q,SMALL(IF(Q$1:Q$500&lt;&gt;"",ROW($1:$500),1000),ROW(Q3)))&amp;""</f>
        <v>幽影刃</v>
      </c>
      <c r="U3" s="8" t="s">
        <v>3653</v>
      </c>
      <c r="V3" s="8" t="s">
        <v>1362</v>
      </c>
      <c r="W3" s="8" t="s">
        <v>1248</v>
      </c>
      <c r="X3" s="9">
        <v>0</v>
      </c>
      <c r="Z3" s="8" t="str">
        <f t="shared" si="2"/>
        <v/>
      </c>
      <c r="AA3" s="8" t="str">
        <f>IF(AND(VLOOKUP(W3,查询!$C$8:$E$15,3,FALSE)="启用",$B$1=X3),V3,"")</f>
        <v/>
      </c>
      <c r="AB3" s="6" t="str">
        <f t="array" ref="AB3">INDEX(Z:Z,SMALL(IF(Z$1:Z$500&lt;&gt;"",ROW($1:$500),1000),ROW(Z3)))&amp;""</f>
        <v>Mind Spike</v>
      </c>
      <c r="AC3" s="6" t="str">
        <f t="array" ref="AC3">INDEX(AA:AA,SMALL(IF(AA$1:AA$500&lt;&gt;"",ROW($1:$500),1000),ROW(AA3)))&amp;""</f>
        <v>心灵尖刺</v>
      </c>
      <c r="AE3" s="8" t="s">
        <v>3632</v>
      </c>
      <c r="AF3" s="8" t="s">
        <v>1486</v>
      </c>
      <c r="AG3" s="8" t="s">
        <v>494</v>
      </c>
      <c r="AH3" s="9">
        <v>0</v>
      </c>
      <c r="AJ3" s="8" t="str">
        <f t="shared" si="3"/>
        <v/>
      </c>
      <c r="AK3" s="8" t="str">
        <f>IF(AND(VLOOKUP(AG3,查询!$C$8:$E$15,3,FALSE)="启用",$B$1=AH3),AF3,"")</f>
        <v/>
      </c>
      <c r="AL3" s="6" t="str">
        <f t="array" ref="AL3">INDEX(AJ:AJ,SMALL(IF(AJ$1:AJ$500&lt;&gt;"",ROW($1:$500),1000),ROW(AJ3)))&amp;""</f>
        <v>Blindness/Deafness</v>
      </c>
      <c r="AM3" s="6" t="str">
        <f t="array" ref="AM3">INDEX(AK:AK,SMALL(IF(AK$1:AK$500&lt;&gt;"",ROW($1:$500),1000),ROW(AK3)))&amp;""</f>
        <v>目盲/耳聋术</v>
      </c>
      <c r="AO3" s="8" t="s">
        <v>2108</v>
      </c>
      <c r="AP3" s="8" t="s">
        <v>1499</v>
      </c>
      <c r="AQ3" s="8" t="s">
        <v>494</v>
      </c>
      <c r="AR3" s="8">
        <v>1</v>
      </c>
      <c r="AT3" s="8" t="str">
        <f t="shared" si="4"/>
        <v/>
      </c>
      <c r="AU3" s="8" t="str">
        <f>IF(AND(VLOOKUP(AQ3,查询!$C$8:$E$15,3,FALSE)="启用",$B$1=AR3),AP3,"")</f>
        <v/>
      </c>
      <c r="AV3" s="6" t="str">
        <f t="array" ref="AV3">INDEX(AT:AT,SMALL(IF(AT$1:AT$500&lt;&gt;"",ROW($1:$500),1000),ROW(AT3)))&amp;""</f>
        <v>Locate Object</v>
      </c>
      <c r="AW3" s="6" t="str">
        <f t="array" ref="AW3">INDEX(AU:AU,SMALL(IF(AU$1:AU$500&lt;&gt;"",ROW($1:$500),1000),ROW(AU3)))&amp;""</f>
        <v>物件定位术</v>
      </c>
      <c r="AY3" s="8" t="s">
        <v>2004</v>
      </c>
      <c r="AZ3" s="8" t="s">
        <v>1367</v>
      </c>
      <c r="BA3" s="8" t="s">
        <v>494</v>
      </c>
      <c r="BB3" s="8">
        <v>1</v>
      </c>
      <c r="BD3" s="8" t="str">
        <f t="shared" si="5"/>
        <v/>
      </c>
      <c r="BE3" s="8" t="str">
        <f>IF(AND(VLOOKUP(BA3,查询!$C$8:$E$15,3,FALSE)="启用",$B$1=BB3),AZ3,"")</f>
        <v/>
      </c>
      <c r="BF3" s="6" t="str">
        <f t="array" ref="BF3">INDEX(BD:BD,SMALL(IF(BD$1:BD$500&lt;&gt;"",ROW($1:$500),1000),ROW(BD3)))&amp;""</f>
        <v>Silence</v>
      </c>
      <c r="BG3" s="6" t="str">
        <f t="array" ref="BG3">INDEX(BE:BE,SMALL(IF(BE$1:BE$500&lt;&gt;"",ROW($1:$500),1000),ROW(BE3)))&amp;""</f>
        <v>沉默术</v>
      </c>
      <c r="BI3" s="8" t="s">
        <v>3646</v>
      </c>
      <c r="BJ3" s="8" t="s">
        <v>1332</v>
      </c>
      <c r="BK3" s="8" t="s">
        <v>1249</v>
      </c>
      <c r="BL3" s="9">
        <v>0</v>
      </c>
      <c r="BN3" s="8" t="str">
        <f t="shared" si="6"/>
        <v/>
      </c>
      <c r="BO3" s="8" t="str">
        <f>IF(AND(VLOOKUP(BK3,查询!$C$8:$E$15,3,FALSE)="启用",$B$1=BL3),BJ3,"")</f>
        <v/>
      </c>
      <c r="BP3" s="6" t="str">
        <f t="array" ref="BP3">INDEX(BN:BN,SMALL(IF(BN$1:BN$500&lt;&gt;"",ROW($1:$500),1000),ROW(BN3)))&amp;""</f>
        <v>Skywrite</v>
      </c>
      <c r="BQ3" s="6" t="str">
        <f t="array" ref="BQ3">INDEX(BO:BO,SMALL(IF(BO$1:BO$500&lt;&gt;"",ROW($1:$500),1000),ROW(BO3)))&amp;""</f>
        <v>空中写字E</v>
      </c>
      <c r="BS3" s="8" t="s">
        <v>3640</v>
      </c>
      <c r="BT3" s="8" t="s">
        <v>1462</v>
      </c>
      <c r="BU3" s="8" t="s">
        <v>494</v>
      </c>
      <c r="BV3" s="9">
        <v>0</v>
      </c>
      <c r="BX3" s="8" t="str">
        <f t="shared" si="7"/>
        <v/>
      </c>
      <c r="BY3" s="8" t="str">
        <f>IF(AND(VLOOKUP(BU3,查询!$C$8:$E$15,3,FALSE)="启用",$B$1=BV3),BT3,"")</f>
        <v/>
      </c>
      <c r="BZ3" s="6" t="str">
        <f t="array" ref="BZ3">INDEX(BX:BX,SMALL(IF(BX$1:BX$500&lt;&gt;"",ROW($1:$500),1000),ROW(BX3)))&amp;""</f>
        <v>Pyrotechnics</v>
      </c>
      <c r="CA3" s="6" t="str">
        <f t="array" ref="CA3">INDEX(BY:BY,SMALL(IF(BY$1:BY$500&lt;&gt;"",ROW($1:$500),1000),ROW(BY3)))&amp;""</f>
        <v>烟火</v>
      </c>
    </row>
    <row r="4" spans="1:79">
      <c r="A4" s="8" t="s">
        <v>3653</v>
      </c>
      <c r="B4" s="8" t="s">
        <v>1362</v>
      </c>
      <c r="C4" s="8" t="s">
        <v>1248</v>
      </c>
      <c r="D4" s="9">
        <v>0</v>
      </c>
      <c r="F4" s="8" t="str">
        <f t="shared" si="0"/>
        <v/>
      </c>
      <c r="G4" s="8" t="str">
        <f>IF(AND(VLOOKUP(C4,查询!$C$8:$E$15,3,FALSE)="启用",$B$1=D4),B4,"")</f>
        <v/>
      </c>
      <c r="H4" s="6" t="str">
        <f t="array" ref="H4">INDEX(F:F,SMALL(IF($F$1:$F$500&lt;&gt;"",ROW($1:$500),1000),ROW(F4)))&amp;""</f>
        <v>Shadow Blade</v>
      </c>
      <c r="I4" s="6" t="str">
        <f t="array" ref="I4">INDEX(G:G,SMALL(IF($F$1:$F$500&lt;&gt;"",ROW($1:$500),1000),ROW(G4)))&amp;""</f>
        <v>幽影刃</v>
      </c>
      <c r="K4" s="8" t="s">
        <v>3653</v>
      </c>
      <c r="L4" s="8" t="s">
        <v>1362</v>
      </c>
      <c r="M4" s="8" t="s">
        <v>1248</v>
      </c>
      <c r="N4" s="9">
        <v>0</v>
      </c>
      <c r="P4" s="8" t="str">
        <f t="shared" si="1"/>
        <v/>
      </c>
      <c r="Q4" s="8" t="str">
        <f>IF(AND(VLOOKUP(M4,查询!$C$8:$E$15,3,FALSE)="启用",$B$1=N4),L4,"")</f>
        <v/>
      </c>
      <c r="R4" s="6" t="str">
        <f t="array" ref="R4">INDEX(P:P,SMALL(IF(P$1:P$500&lt;&gt;"",ROW($1:$500),1000),ROW(P4)))&amp;""</f>
        <v>Dragon's Breath</v>
      </c>
      <c r="S4" s="6" t="str">
        <f t="array" ref="S4">INDEX(Q:Q,SMALL(IF(Q$1:Q$500&lt;&gt;"",ROW($1:$500),1000),ROW(Q4)))&amp;""</f>
        <v>龙息术</v>
      </c>
      <c r="U4" s="8" t="s">
        <v>3646</v>
      </c>
      <c r="V4" s="8" t="s">
        <v>1735</v>
      </c>
      <c r="W4" s="8" t="s">
        <v>578</v>
      </c>
      <c r="X4" s="9">
        <v>0</v>
      </c>
      <c r="Z4" s="8" t="str">
        <f t="shared" si="2"/>
        <v/>
      </c>
      <c r="AA4" s="8" t="str">
        <f>IF(AND(VLOOKUP(W4,查询!$C$8:$E$15,3,FALSE)="启用",$B$1=X4),V4,"")</f>
        <v/>
      </c>
      <c r="AB4" s="6" t="str">
        <f t="array" ref="AB4">INDEX(Z:Z,SMALL(IF(Z$1:Z$500&lt;&gt;"",ROW($1:$500),1000),ROW(Z4)))&amp;""</f>
        <v>Shadow Blade</v>
      </c>
      <c r="AC4" s="6" t="str">
        <f t="array" ref="AC4">INDEX(AA:AA,SMALL(IF(AA$1:AA$500&lt;&gt;"",ROW($1:$500),1000),ROW(AA4)))&amp;""</f>
        <v>幽影刃</v>
      </c>
      <c r="AE4" s="8" t="s">
        <v>3636</v>
      </c>
      <c r="AF4" s="8" t="s">
        <v>1631</v>
      </c>
      <c r="AG4" s="8" t="s">
        <v>494</v>
      </c>
      <c r="AH4" s="9">
        <v>0</v>
      </c>
      <c r="AJ4" s="8" t="str">
        <f t="shared" si="3"/>
        <v/>
      </c>
      <c r="AK4" s="8" t="str">
        <f>IF(AND(VLOOKUP(AG4,查询!$C$8:$E$15,3,FALSE)="启用",$B$1=AH4),AF4,"")</f>
        <v/>
      </c>
      <c r="AL4" s="6" t="str">
        <f t="array" ref="AL4">INDEX(AJ:AJ,SMALL(IF(AJ$1:AJ$500&lt;&gt;"",ROW($1:$500),1000),ROW(AJ4)))&amp;""</f>
        <v>Zone of Truth</v>
      </c>
      <c r="AM4" s="6" t="str">
        <f t="array" ref="AM4">INDEX(AK:AK,SMALL(IF(AK$1:AK$500&lt;&gt;"",ROW($1:$500),1000),ROW(AK4)))&amp;""</f>
        <v>诚实之域</v>
      </c>
      <c r="AO4" s="8" t="s">
        <v>2111</v>
      </c>
      <c r="AP4" s="8" t="s">
        <v>1502</v>
      </c>
      <c r="AQ4" s="8" t="s">
        <v>494</v>
      </c>
      <c r="AR4" s="8">
        <v>1</v>
      </c>
      <c r="AT4" s="8" t="str">
        <f t="shared" si="4"/>
        <v/>
      </c>
      <c r="AU4" s="8" t="str">
        <f>IF(AND(VLOOKUP(AQ4,查询!$C$8:$E$15,3,FALSE)="启用",$B$1=AR4),AP4,"")</f>
        <v/>
      </c>
      <c r="AV4" s="6" t="str">
        <f t="array" ref="AV4">INDEX(AT:AT,SMALL(IF(AT$1:AT$500&lt;&gt;"",ROW($1:$500),1000),ROW(AT4)))&amp;""</f>
        <v>Lesser Restoration</v>
      </c>
      <c r="AW4" s="6" t="str">
        <f t="array" ref="AW4">INDEX(AU:AU,SMALL(IF(AU$1:AU$500&lt;&gt;"",ROW($1:$500),1000),ROW(AU4)))&amp;""</f>
        <v>次级复原术</v>
      </c>
      <c r="AY4" s="8" t="s">
        <v>2006</v>
      </c>
      <c r="AZ4" s="8" t="s">
        <v>1368</v>
      </c>
      <c r="BA4" s="8" t="s">
        <v>494</v>
      </c>
      <c r="BB4" s="8">
        <v>1</v>
      </c>
      <c r="BD4" s="8" t="str">
        <f t="shared" si="5"/>
        <v/>
      </c>
      <c r="BE4" s="8" t="str">
        <f>IF(AND(VLOOKUP(BA4,查询!$C$8:$E$15,3,FALSE)="启用",$B$1=BB4),AZ4,"")</f>
        <v/>
      </c>
      <c r="BF4" s="6" t="str">
        <f t="array" ref="BF4">INDEX(BD:BD,SMALL(IF(BD$1:BD$500&lt;&gt;"",ROW($1:$500),1000),ROW(BD4)))&amp;""</f>
        <v>Locate Object</v>
      </c>
      <c r="BG4" s="6" t="str">
        <f t="array" ref="BG4">INDEX(BE:BE,SMALL(IF(BE$1:BE$500&lt;&gt;"",ROW($1:$500),1000),ROW(BE4)))&amp;""</f>
        <v>物件定位术</v>
      </c>
      <c r="BI4" s="8" t="s">
        <v>3649</v>
      </c>
      <c r="BJ4" s="8" t="s">
        <v>1334</v>
      </c>
      <c r="BK4" s="8" t="s">
        <v>1249</v>
      </c>
      <c r="BL4" s="9">
        <v>0</v>
      </c>
      <c r="BN4" s="8" t="str">
        <f t="shared" si="6"/>
        <v/>
      </c>
      <c r="BO4" s="8" t="str">
        <f>IF(AND(VLOOKUP(BK4,查询!$C$8:$E$15,3,FALSE)="启用",$B$1=BL4),BJ4,"")</f>
        <v/>
      </c>
      <c r="BP4" s="6" t="str">
        <f t="array" ref="BP4">INDEX(BN:BN,SMALL(IF(BN$1:BN$500&lt;&gt;"",ROW($1:$500),1000),ROW(BN4)))&amp;""</f>
        <v>Skywrite</v>
      </c>
      <c r="BQ4" s="6" t="str">
        <f t="array" ref="BQ4">INDEX(BO:BO,SMALL(IF(BO$1:BO$500&lt;&gt;"",ROW($1:$500),1000),ROW(BO4)))&amp;""</f>
        <v>空中写字</v>
      </c>
      <c r="BS4" s="8" t="s">
        <v>3599</v>
      </c>
      <c r="BT4" s="8" t="s">
        <v>1297</v>
      </c>
      <c r="BU4" s="8" t="s">
        <v>1249</v>
      </c>
      <c r="BV4" s="9">
        <v>0</v>
      </c>
      <c r="BX4" s="8" t="str">
        <f t="shared" si="7"/>
        <v/>
      </c>
      <c r="BY4" s="8" t="str">
        <f>IF(AND(VLOOKUP(BU4,查询!$C$8:$E$15,3,FALSE)="启用",$B$1=BV4),BT4,"")</f>
        <v/>
      </c>
      <c r="BZ4" s="6" t="str">
        <f t="array" ref="BZ4">INDEX(BX:BX,SMALL(IF(BX$1:BX$500&lt;&gt;"",ROW($1:$500),1000),ROW(BX4)))&amp;""</f>
        <v>Warding Wind</v>
      </c>
      <c r="CA4" s="6" t="str">
        <f t="array" ref="CA4">INDEX(BY:BY,SMALL(IF(BY$1:BY$500&lt;&gt;"",ROW($1:$500),1000),ROW(BY4)))&amp;""</f>
        <v>守护之风</v>
      </c>
    </row>
    <row r="5" spans="1:79">
      <c r="A5" s="8" t="s">
        <v>3646</v>
      </c>
      <c r="B5" s="8" t="s">
        <v>1735</v>
      </c>
      <c r="C5" s="8" t="s">
        <v>578</v>
      </c>
      <c r="D5" s="9">
        <v>0</v>
      </c>
      <c r="F5" s="8" t="str">
        <f t="shared" si="0"/>
        <v/>
      </c>
      <c r="G5" s="8" t="str">
        <f>IF(AND(VLOOKUP(C5,查询!$C$8:$E$15,3,FALSE)="启用",$B$1=D5),B5,"")</f>
        <v/>
      </c>
      <c r="H5" s="6" t="str">
        <f t="array" ref="H5">INDEX(F:F,SMALL(IF($F$1:$F$500&lt;&gt;"",ROW($1:$500),1000),ROW(F5)))&amp;""</f>
        <v>Dragon's Breath</v>
      </c>
      <c r="I5" s="6" t="str">
        <f t="array" ref="I5">INDEX(G:G,SMALL(IF($F$1:$F$500&lt;&gt;"",ROW($1:$500),1000),ROW(G5)))&amp;""</f>
        <v>龙息术</v>
      </c>
      <c r="K5" s="8" t="s">
        <v>3646</v>
      </c>
      <c r="L5" s="8" t="s">
        <v>1735</v>
      </c>
      <c r="M5" s="8" t="s">
        <v>578</v>
      </c>
      <c r="N5" s="9">
        <v>0</v>
      </c>
      <c r="P5" s="8" t="str">
        <f t="shared" si="1"/>
        <v/>
      </c>
      <c r="Q5" s="8" t="str">
        <f>IF(AND(VLOOKUP(M5,查询!$C$8:$E$15,3,FALSE)="启用",$B$1=N5),L5,"")</f>
        <v/>
      </c>
      <c r="R5" s="6" t="str">
        <f t="array" ref="R5">INDEX(P:P,SMALL(IF(P$1:P$500&lt;&gt;"",ROW($1:$500),1000),ROW(P5)))&amp;""</f>
        <v>Maximilian’s Earthen Grasp</v>
      </c>
      <c r="S5" s="6" t="str">
        <f t="array" ref="S5">INDEX(Q:Q,SMALL(IF(Q$1:Q$500&lt;&gt;"",ROW($1:$500),1000),ROW(Q5)))&amp;""</f>
        <v>麦克斯米利安的地之攫E</v>
      </c>
      <c r="U5" s="8" t="s">
        <v>3646</v>
      </c>
      <c r="V5" s="8" t="s">
        <v>1332</v>
      </c>
      <c r="W5" s="8" t="s">
        <v>1249</v>
      </c>
      <c r="X5" s="9">
        <v>0</v>
      </c>
      <c r="Z5" s="8" t="str">
        <f t="shared" si="2"/>
        <v/>
      </c>
      <c r="AA5" s="8" t="str">
        <f>IF(AND(VLOOKUP(W5,查询!$C$8:$E$15,3,FALSE)="启用",$B$1=X5),V5,"")</f>
        <v/>
      </c>
      <c r="AB5" s="6" t="str">
        <f t="array" ref="AB5">INDEX(Z:Z,SMALL(IF(Z$1:Z$500&lt;&gt;"",ROW($1:$500),1000),ROW(Z5)))&amp;""</f>
        <v>Darkness</v>
      </c>
      <c r="AC5" s="6" t="str">
        <f t="array" ref="AC5">INDEX(AA:AA,SMALL(IF(AA$1:AA$500&lt;&gt;"",ROW($1:$500),1000),ROW(AA5)))&amp;""</f>
        <v>黑暗术</v>
      </c>
      <c r="AE5" s="8" t="s">
        <v>3602</v>
      </c>
      <c r="AF5" s="8" t="s">
        <v>1308</v>
      </c>
      <c r="AG5" s="8" t="s">
        <v>1249</v>
      </c>
      <c r="AH5" s="9">
        <v>0</v>
      </c>
      <c r="AJ5" s="8" t="str">
        <f t="shared" si="3"/>
        <v/>
      </c>
      <c r="AK5" s="8" t="str">
        <f>IF(AND(VLOOKUP(AG5,查询!$C$8:$E$15,3,FALSE)="启用",$B$1=AH5),AF5,"")</f>
        <v/>
      </c>
      <c r="AL5" s="6" t="str">
        <f t="array" ref="AL5">INDEX(AJ:AJ,SMALL(IF(AJ$1:AJ$500&lt;&gt;"",ROW($1:$500),1000),ROW(AJ5)))&amp;""</f>
        <v>Hold Person</v>
      </c>
      <c r="AM5" s="6" t="str">
        <f t="array" ref="AM5">INDEX(AK:AK,SMALL(IF(AK$1:AK$500&lt;&gt;"",ROW($1:$500),1000),ROW(AK5)))&amp;""</f>
        <v>人类定身术</v>
      </c>
      <c r="AO5" s="8" t="s">
        <v>2157</v>
      </c>
      <c r="AP5" s="8" t="s">
        <v>1560</v>
      </c>
      <c r="AQ5" s="8" t="s">
        <v>494</v>
      </c>
      <c r="AR5" s="8">
        <v>1</v>
      </c>
      <c r="AT5" s="8" t="str">
        <f t="shared" si="4"/>
        <v/>
      </c>
      <c r="AU5" s="8" t="str">
        <f>IF(AND(VLOOKUP(AQ5,查询!$C$8:$E$15,3,FALSE)="启用",$B$1=AR5),AP5,"")</f>
        <v/>
      </c>
      <c r="AV5" s="6" t="str">
        <f t="array" ref="AV5">INDEX(AT:AT,SMALL(IF(AT$1:AT$500&lt;&gt;"",ROW($1:$500),1000),ROW(AT5)))&amp;""</f>
        <v>Magic Weapon</v>
      </c>
      <c r="AW5" s="6" t="str">
        <f t="array" ref="AW5">INDEX(AU:AU,SMALL(IF(AU$1:AU$500&lt;&gt;"",ROW($1:$500),1000),ROW(AU5)))&amp;""</f>
        <v>魔化武器</v>
      </c>
      <c r="AY5" s="8" t="s">
        <v>2008</v>
      </c>
      <c r="AZ5" s="8" t="s">
        <v>1369</v>
      </c>
      <c r="BA5" s="8" t="s">
        <v>494</v>
      </c>
      <c r="BB5" s="8">
        <v>1</v>
      </c>
      <c r="BD5" s="8" t="str">
        <f t="shared" si="5"/>
        <v/>
      </c>
      <c r="BE5" s="8" t="str">
        <f>IF(AND(VLOOKUP(BA5,查询!$C$8:$E$15,3,FALSE)="启用",$B$1=BB5),AZ5,"")</f>
        <v/>
      </c>
      <c r="BF5" s="6" t="str">
        <f t="array" ref="BF5">INDEX(BD:BD,SMALL(IF(BD$1:BD$500&lt;&gt;"",ROW($1:$500),1000),ROW(BD5)))&amp;""</f>
        <v>Lesser Restoration</v>
      </c>
      <c r="BG5" s="6" t="str">
        <f t="array" ref="BG5">INDEX(BE:BE,SMALL(IF(BE$1:BE$500&lt;&gt;"",ROW($1:$500),1000),ROW(BE5)))&amp;""</f>
        <v>次级复原术</v>
      </c>
      <c r="BI5" s="8" t="s">
        <v>3659</v>
      </c>
      <c r="BJ5" s="8" t="s">
        <v>1674</v>
      </c>
      <c r="BK5" s="8" t="s">
        <v>494</v>
      </c>
      <c r="BL5" s="9">
        <v>0</v>
      </c>
      <c r="BN5" s="8" t="str">
        <f t="shared" si="6"/>
        <v/>
      </c>
      <c r="BO5" s="8" t="str">
        <f>IF(AND(VLOOKUP(BK5,查询!$C$8:$E$15,3,FALSE)="启用",$B$1=BL5),BJ5,"")</f>
        <v/>
      </c>
      <c r="BP5" s="6" t="str">
        <f t="array" ref="BP5">INDEX(BN:BN,SMALL(IF(BN$1:BN$500&lt;&gt;"",ROW($1:$500),1000),ROW(BN5)))&amp;""</f>
        <v>Hold Person</v>
      </c>
      <c r="BQ5" s="6" t="str">
        <f t="array" ref="BQ5">INDEX(BO:BO,SMALL(IF(BO$1:BO$500&lt;&gt;"",ROW($1:$500),1000),ROW(BO5)))&amp;""</f>
        <v>人类定身术</v>
      </c>
      <c r="BS5" s="8" t="s">
        <v>3628</v>
      </c>
      <c r="BT5" s="8" t="s">
        <v>1464</v>
      </c>
      <c r="BU5" s="8" t="s">
        <v>494</v>
      </c>
      <c r="BV5" s="9">
        <v>0</v>
      </c>
      <c r="BX5" s="8" t="str">
        <f t="shared" si="7"/>
        <v/>
      </c>
      <c r="BY5" s="8" t="str">
        <f>IF(AND(VLOOKUP(BU5,查询!$C$8:$E$15,3,FALSE)="启用",$B$1=BV5),BT5,"")</f>
        <v/>
      </c>
      <c r="BZ5" s="6" t="str">
        <f t="array" ref="BZ5">INDEX(BX:BX,SMALL(IF(BX$1:BX$500&lt;&gt;"",ROW($1:$500),1000),ROW(BX5)))&amp;""</f>
        <v>Skywrite</v>
      </c>
      <c r="CA5" s="6" t="str">
        <f t="array" ref="CA5">INDEX(BY:BY,SMALL(IF(BY$1:BY$500&lt;&gt;"",ROW($1:$500),1000),ROW(BY5)))&amp;""</f>
        <v>空中写字E</v>
      </c>
    </row>
    <row r="6" spans="1:79">
      <c r="A6" s="8" t="s">
        <v>3646</v>
      </c>
      <c r="B6" s="8" t="s">
        <v>1332</v>
      </c>
      <c r="C6" s="8" t="s">
        <v>1249</v>
      </c>
      <c r="D6" s="9">
        <v>0</v>
      </c>
      <c r="F6" s="8" t="str">
        <f t="shared" si="0"/>
        <v/>
      </c>
      <c r="G6" s="8" t="str">
        <f>IF(AND(VLOOKUP(C6,查询!$C$8:$E$15,3,FALSE)="启用",$B$1=D6),B6,"")</f>
        <v/>
      </c>
      <c r="H6" s="6" t="str">
        <f t="array" ref="H6">INDEX(F:F,SMALL(IF($F$1:$F$500&lt;&gt;"",ROW($1:$500),1000),ROW(F6)))&amp;""</f>
        <v>Maximilian’s Earthen Grasp</v>
      </c>
      <c r="I6" s="6" t="str">
        <f t="array" ref="I6">INDEX(G:G,SMALL(IF($F$1:$F$500&lt;&gt;"",ROW($1:$500),1000),ROW(G6)))&amp;""</f>
        <v>麦克斯米利安的地之攫E</v>
      </c>
      <c r="K6" s="8" t="s">
        <v>3646</v>
      </c>
      <c r="L6" s="8" t="s">
        <v>1332</v>
      </c>
      <c r="M6" s="8" t="s">
        <v>1249</v>
      </c>
      <c r="N6" s="9">
        <v>0</v>
      </c>
      <c r="P6" s="8" t="str">
        <f t="shared" si="1"/>
        <v/>
      </c>
      <c r="Q6" s="8" t="str">
        <f>IF(AND(VLOOKUP(M6,查询!$C$8:$E$15,3,FALSE)="启用",$B$1=N6),L6,"")</f>
        <v/>
      </c>
      <c r="R6" s="6" t="str">
        <f t="array" ref="R6">INDEX(P:P,SMALL(IF(P$1:P$500&lt;&gt;"",ROW($1:$500),1000),ROW(P6)))&amp;""</f>
        <v>Maximilian’s Earthen Grasp</v>
      </c>
      <c r="S6" s="6" t="str">
        <f t="array" ref="S6">INDEX(Q:Q,SMALL(IF(Q$1:Q$500&lt;&gt;"",ROW($1:$500),1000),ROW(Q6)))&amp;""</f>
        <v>麦克斯米利安的地之攫</v>
      </c>
      <c r="U6" s="8" t="s">
        <v>3649</v>
      </c>
      <c r="V6" s="8" t="s">
        <v>1334</v>
      </c>
      <c r="W6" s="8" t="s">
        <v>1249</v>
      </c>
      <c r="X6" s="9">
        <v>0</v>
      </c>
      <c r="Z6" s="8" t="str">
        <f t="shared" si="2"/>
        <v/>
      </c>
      <c r="AA6" s="8" t="str">
        <f>IF(AND(VLOOKUP(W6,查询!$C$8:$E$15,3,FALSE)="启用",$B$1=X6),V6,"")</f>
        <v/>
      </c>
      <c r="AB6" s="6" t="str">
        <f t="array" ref="AB6">INDEX(Z:Z,SMALL(IF(Z$1:Z$500&lt;&gt;"",ROW($1:$500),1000),ROW(Z6)))&amp;""</f>
        <v>Mirror Image</v>
      </c>
      <c r="AC6" s="6" t="str">
        <f t="array" ref="AC6">INDEX(AA:AA,SMALL(IF(AA$1:AA$500&lt;&gt;"",ROW($1:$500),1000),ROW(AA6)))&amp;""</f>
        <v>镜影术</v>
      </c>
      <c r="AE6" s="8" t="s">
        <v>3591</v>
      </c>
      <c r="AF6" s="8" t="s">
        <v>1304</v>
      </c>
      <c r="AG6" s="8" t="s">
        <v>1249</v>
      </c>
      <c r="AH6" s="9">
        <v>0</v>
      </c>
      <c r="AJ6" s="8" t="str">
        <f t="shared" si="3"/>
        <v/>
      </c>
      <c r="AK6" s="8" t="str">
        <f>IF(AND(VLOOKUP(AG6,查询!$C$8:$E$15,3,FALSE)="启用",$B$1=AH6),AF6,"")</f>
        <v/>
      </c>
      <c r="AL6" s="6" t="str">
        <f t="array" ref="AL6">INDEX(AJ:AJ,SMALL(IF(AJ$1:AJ$500&lt;&gt;"",ROW($1:$500),1000),ROW(AJ6)))&amp;""</f>
        <v>Enhance Ability</v>
      </c>
      <c r="AM6" s="6" t="str">
        <f t="array" ref="AM6">INDEX(AK:AK,SMALL(IF(AK$1:AK$500&lt;&gt;"",ROW($1:$500),1000),ROW(AK6)))&amp;""</f>
        <v>强化属性</v>
      </c>
      <c r="AO6" s="8" t="s">
        <v>2159</v>
      </c>
      <c r="AP6" s="8" t="s">
        <v>1563</v>
      </c>
      <c r="AQ6" s="8" t="s">
        <v>494</v>
      </c>
      <c r="AR6" s="8">
        <v>1</v>
      </c>
      <c r="AT6" s="8" t="str">
        <f t="shared" si="4"/>
        <v/>
      </c>
      <c r="AU6" s="8" t="str">
        <f>IF(AND(VLOOKUP(AQ6,查询!$C$8:$E$15,3,FALSE)="启用",$B$1=AR6),AP6,"")</f>
        <v/>
      </c>
      <c r="AV6" s="6" t="str">
        <f t="array" ref="AV6">INDEX(AT:AT,SMALL(IF(AT$1:AT$500&lt;&gt;"",ROW($1:$500),1000),ROW(AT6)))&amp;""</f>
        <v>Branding Smite</v>
      </c>
      <c r="AW6" s="6" t="str">
        <f t="array" ref="AW6">INDEX(AU:AU,SMALL(IF(AU$1:AU$500&lt;&gt;"",ROW($1:$500),1000),ROW(AU6)))&amp;""</f>
        <v>印记斩</v>
      </c>
      <c r="AY6" s="8" t="s">
        <v>1917</v>
      </c>
      <c r="AZ6" s="8" t="s">
        <v>1265</v>
      </c>
      <c r="BA6" s="8" t="s">
        <v>1249</v>
      </c>
      <c r="BB6" s="8">
        <v>1</v>
      </c>
      <c r="BD6" s="8" t="str">
        <f t="shared" si="5"/>
        <v/>
      </c>
      <c r="BE6" s="8" t="str">
        <f>IF(AND(VLOOKUP(BA6,查询!$C$8:$E$15,3,FALSE)="启用",$B$1=BB6),AZ6,"")</f>
        <v/>
      </c>
      <c r="BF6" s="6" t="str">
        <f t="array" ref="BF6">INDEX(BD:BD,SMALL(IF(BD$1:BD$500&lt;&gt;"",ROW($1:$500),1000),ROW(BD6)))&amp;""</f>
        <v>Animal Messenger</v>
      </c>
      <c r="BG6" s="6" t="str">
        <f t="array" ref="BG6">INDEX(BE:BE,SMALL(IF(BE$1:BE$500&lt;&gt;"",ROW($1:$500),1000),ROW(BE6)))&amp;""</f>
        <v>动物信使</v>
      </c>
      <c r="BI6" s="8" t="s">
        <v>3661</v>
      </c>
      <c r="BJ6" s="8" t="s">
        <v>1692</v>
      </c>
      <c r="BK6" s="8" t="s">
        <v>494</v>
      </c>
      <c r="BL6" s="9">
        <v>0</v>
      </c>
      <c r="BN6" s="8" t="str">
        <f t="shared" si="6"/>
        <v/>
      </c>
      <c r="BO6" s="8" t="str">
        <f>IF(AND(VLOOKUP(BK6,查询!$C$8:$E$15,3,FALSE)="启用",$B$1=BL6),BJ6,"")</f>
        <v/>
      </c>
      <c r="BP6" s="6" t="str">
        <f t="array" ref="BP6">INDEX(BN:BN,SMALL(IF(BN$1:BN$500&lt;&gt;"",ROW($1:$500),1000),ROW(BN6)))&amp;""</f>
        <v>Enhance Ability</v>
      </c>
      <c r="BQ6" s="6" t="str">
        <f t="array" ref="BQ6">INDEX(BO:BO,SMALL(IF(BO$1:BO$500&lt;&gt;"",ROW($1:$500),1000),ROW(BO6)))&amp;""</f>
        <v>强化属性</v>
      </c>
      <c r="BS6" s="8" t="s">
        <v>3632</v>
      </c>
      <c r="BT6" s="8" t="s">
        <v>1486</v>
      </c>
      <c r="BU6" s="8" t="s">
        <v>494</v>
      </c>
      <c r="BV6" s="9">
        <v>0</v>
      </c>
      <c r="BX6" s="8" t="str">
        <f t="shared" si="7"/>
        <v/>
      </c>
      <c r="BY6" s="8" t="str">
        <f>IF(AND(VLOOKUP(BU6,查询!$C$8:$E$15,3,FALSE)="启用",$B$1=BV6),BT6,"")</f>
        <v/>
      </c>
      <c r="BZ6" s="6" t="str">
        <f t="array" ref="BZ6">INDEX(BX:BX,SMALL(IF(BX$1:BX$500&lt;&gt;"",ROW($1:$500),1000),ROW(BX6)))&amp;""</f>
        <v>Skywrite</v>
      </c>
      <c r="CA6" s="6" t="str">
        <f t="array" ref="CA6">INDEX(BY:BY,SMALL(IF(BY$1:BY$500&lt;&gt;"",ROW($1:$500),1000),ROW(BY6)))&amp;""</f>
        <v>空中写字</v>
      </c>
    </row>
    <row r="7" spans="1:79">
      <c r="A7" s="8" t="s">
        <v>3649</v>
      </c>
      <c r="B7" s="8" t="s">
        <v>1334</v>
      </c>
      <c r="C7" s="8" t="s">
        <v>1249</v>
      </c>
      <c r="D7" s="9">
        <v>0</v>
      </c>
      <c r="F7" s="8" t="str">
        <f t="shared" si="0"/>
        <v/>
      </c>
      <c r="G7" s="8" t="str">
        <f>IF(AND(VLOOKUP(C7,查询!$C$8:$E$15,3,FALSE)="启用",$B$1=D7),B7,"")</f>
        <v/>
      </c>
      <c r="H7" s="6" t="str">
        <f t="array" ref="H7">INDEX(F:F,SMALL(IF($F$1:$F$500&lt;&gt;"",ROW($1:$500),1000),ROW(F7)))&amp;""</f>
        <v>Maximilian’s Earthen Grasp</v>
      </c>
      <c r="I7" s="6" t="str">
        <f t="array" ref="I7">INDEX(G:G,SMALL(IF($F$1:$F$500&lt;&gt;"",ROW($1:$500),1000),ROW(G7)))&amp;""</f>
        <v>麦克斯米利安的地之攫</v>
      </c>
      <c r="K7" s="8" t="s">
        <v>3649</v>
      </c>
      <c r="L7" s="8" t="s">
        <v>1334</v>
      </c>
      <c r="M7" s="8" t="s">
        <v>1249</v>
      </c>
      <c r="N7" s="9">
        <v>0</v>
      </c>
      <c r="P7" s="8" t="str">
        <f t="shared" si="1"/>
        <v/>
      </c>
      <c r="Q7" s="8" t="str">
        <f>IF(AND(VLOOKUP(M7,查询!$C$8:$E$15,3,FALSE)="启用",$B$1=N7),L7,"")</f>
        <v/>
      </c>
      <c r="R7" s="6" t="str">
        <f t="array" ref="R7">INDEX(P:P,SMALL(IF(P$1:P$500&lt;&gt;"",ROW($1:$500),1000),ROW(P7)))&amp;""</f>
        <v>Scorching Ray</v>
      </c>
      <c r="S7" s="6" t="str">
        <f t="array" ref="S7">INDEX(Q:Q,SMALL(IF(Q$1:Q$500&lt;&gt;"",ROW($1:$500),1000),ROW(Q7)))&amp;""</f>
        <v>灼热射线</v>
      </c>
      <c r="U7" s="8" t="s">
        <v>3661</v>
      </c>
      <c r="V7" s="8" t="s">
        <v>1692</v>
      </c>
      <c r="W7" s="8" t="s">
        <v>494</v>
      </c>
      <c r="X7" s="9">
        <v>0</v>
      </c>
      <c r="Z7" s="8" t="str">
        <f t="shared" si="2"/>
        <v/>
      </c>
      <c r="AA7" s="8" t="str">
        <f>IF(AND(VLOOKUP(W7,查询!$C$8:$E$15,3,FALSE)="启用",$B$1=X7),V7,"")</f>
        <v/>
      </c>
      <c r="AB7" s="6" t="str">
        <f t="array" ref="AB7">INDEX(Z:Z,SMALL(IF(Z$1:Z$500&lt;&gt;"",ROW($1:$500),1000),ROW(Z7)))&amp;""</f>
        <v>Misty Step</v>
      </c>
      <c r="AC7" s="6" t="str">
        <f t="array" ref="AC7">INDEX(AA:AA,SMALL(IF(AA$1:AA$500&lt;&gt;"",ROW($1:$500),1000),ROW(AA7)))&amp;""</f>
        <v>迷踪步</v>
      </c>
      <c r="AE7" s="8" t="s">
        <v>3597</v>
      </c>
      <c r="AF7" s="8" t="s">
        <v>1633</v>
      </c>
      <c r="AG7" s="8" t="s">
        <v>494</v>
      </c>
      <c r="AH7" s="9">
        <v>0</v>
      </c>
      <c r="AJ7" s="8" t="str">
        <f t="shared" si="3"/>
        <v/>
      </c>
      <c r="AK7" s="8" t="str">
        <f>IF(AND(VLOOKUP(AG7,查询!$C$8:$E$15,3,FALSE)="启用",$B$1=AH7),AF7,"")</f>
        <v/>
      </c>
      <c r="AL7" s="6" t="str">
        <f t="array" ref="AL7">INDEX(AJ:AJ,SMALL(IF(AJ$1:AJ$500&lt;&gt;"",ROW($1:$500),1000),ROW(AJ7)))&amp;""</f>
        <v>Locate Object</v>
      </c>
      <c r="AM7" s="6" t="str">
        <f t="array" ref="AM7">INDEX(AK:AK,SMALL(IF(AK$1:AK$500&lt;&gt;"",ROW($1:$500),1000),ROW(AK7)))&amp;""</f>
        <v>物件定位术</v>
      </c>
      <c r="AO7" s="8" t="s">
        <v>2161</v>
      </c>
      <c r="AP7" s="8" t="s">
        <v>1566</v>
      </c>
      <c r="AQ7" s="8" t="s">
        <v>494</v>
      </c>
      <c r="AR7" s="8">
        <v>1</v>
      </c>
      <c r="AT7" s="8" t="str">
        <f t="shared" si="4"/>
        <v/>
      </c>
      <c r="AU7" s="8" t="str">
        <f>IF(AND(VLOOKUP(AQ7,查询!$C$8:$E$15,3,FALSE)="启用",$B$1=AR7),AP7,"")</f>
        <v/>
      </c>
      <c r="AV7" s="6" t="str">
        <f t="array" ref="AV7">INDEX(AT:AT,SMALL(IF(AT$1:AT$500&lt;&gt;"",ROW($1:$500),1000),ROW(AT7)))&amp;""</f>
        <v>Find Steed</v>
      </c>
      <c r="AW7" s="6" t="str">
        <f t="array" ref="AW7">INDEX(AU:AU,SMALL(IF(AU$1:AU$500&lt;&gt;"",ROW($1:$500),1000),ROW(AU7)))&amp;""</f>
        <v>召唤坐骑</v>
      </c>
      <c r="AY7" s="8" t="s">
        <v>2108</v>
      </c>
      <c r="AZ7" s="8" t="s">
        <v>1499</v>
      </c>
      <c r="BA7" s="8" t="s">
        <v>494</v>
      </c>
      <c r="BB7" s="8">
        <v>1</v>
      </c>
      <c r="BD7" s="8" t="str">
        <f t="shared" si="5"/>
        <v/>
      </c>
      <c r="BE7" s="8" t="str">
        <f>IF(AND(VLOOKUP(BA7,查询!$C$8:$E$15,3,FALSE)="启用",$B$1=BB7),AZ7,"")</f>
        <v/>
      </c>
      <c r="BF7" s="6" t="str">
        <f t="array" ref="BF7">INDEX(BD:BD,SMALL(IF(BD$1:BD$500&lt;&gt;"",ROW($1:$500),1000),ROW(BD7)))&amp;""</f>
        <v>Locate Animals or Plants</v>
      </c>
      <c r="BG7" s="6" t="str">
        <f t="array" ref="BG7">INDEX(BE:BE,SMALL(IF(BE$1:BE$500&lt;&gt;"",ROW($1:$500),1000),ROW(BE7)))&amp;""</f>
        <v>动植物定位术</v>
      </c>
      <c r="BI7" s="8" t="s">
        <v>3644</v>
      </c>
      <c r="BJ7" s="8" t="s">
        <v>1606</v>
      </c>
      <c r="BK7" s="8" t="s">
        <v>494</v>
      </c>
      <c r="BL7" s="9">
        <v>0</v>
      </c>
      <c r="BN7" s="8" t="str">
        <f t="shared" si="6"/>
        <v/>
      </c>
      <c r="BO7" s="8" t="str">
        <f>IF(AND(VLOOKUP(BK7,查询!$C$8:$E$15,3,FALSE)="启用",$B$1=BL7),BJ7,"")</f>
        <v/>
      </c>
      <c r="BP7" s="6" t="str">
        <f t="array" ref="BP7">INDEX(BN:BN,SMALL(IF(BN$1:BN$500&lt;&gt;"",ROW($1:$500),1000),ROW(BN7)))&amp;""</f>
        <v>Locate Object</v>
      </c>
      <c r="BQ7" s="6" t="str">
        <f t="array" ref="BQ7">INDEX(BO:BO,SMALL(IF(BO$1:BO$500&lt;&gt;"",ROW($1:$500),1000),ROW(BO7)))&amp;""</f>
        <v>物件定位术</v>
      </c>
      <c r="BS7" s="8" t="s">
        <v>3599</v>
      </c>
      <c r="BT7" s="8" t="s">
        <v>1760</v>
      </c>
      <c r="BU7" s="8" t="s">
        <v>578</v>
      </c>
      <c r="BV7" s="9">
        <v>0</v>
      </c>
      <c r="BX7" s="8" t="str">
        <f t="shared" si="7"/>
        <v/>
      </c>
      <c r="BY7" s="8" t="str">
        <f>IF(AND(VLOOKUP(BU7,查询!$C$8:$E$15,3,FALSE)="启用",$B$1=BV7),BT7,"")</f>
        <v/>
      </c>
      <c r="BZ7" s="6" t="str">
        <f t="array" ref="BZ7">INDEX(BX:BX,SMALL(IF(BX$1:BX$500&lt;&gt;"",ROW($1:$500),1000),ROW(BX7)))&amp;""</f>
        <v>Enthrall</v>
      </c>
      <c r="CA7" s="6" t="str">
        <f t="array" ref="CA7">INDEX(BY:BY,SMALL(IF(BY$1:BY$500&lt;&gt;"",ROW($1:$500),1000),ROW(BY7)))&amp;""</f>
        <v>注目术</v>
      </c>
    </row>
    <row r="8" spans="1:79">
      <c r="A8" s="8" t="s">
        <v>3661</v>
      </c>
      <c r="B8" s="8" t="s">
        <v>1692</v>
      </c>
      <c r="C8" s="8" t="s">
        <v>494</v>
      </c>
      <c r="D8" s="9">
        <v>0</v>
      </c>
      <c r="F8" s="8" t="str">
        <f t="shared" si="0"/>
        <v/>
      </c>
      <c r="G8" s="8" t="str">
        <f>IF(AND(VLOOKUP(C8,查询!$C$8:$E$15,3,FALSE)="启用",$B$1=D8),B8,"")</f>
        <v/>
      </c>
      <c r="H8" s="6" t="str">
        <f t="array" ref="H8">INDEX(F:F,SMALL(IF($F$1:$F$500&lt;&gt;"",ROW($1:$500),1000),ROW(F8)))&amp;""</f>
        <v>Scorching Ray</v>
      </c>
      <c r="I8" s="6" t="str">
        <f t="array" ref="I8">INDEX(G:G,SMALL(IF($F$1:$F$500&lt;&gt;"",ROW($1:$500),1000),ROW(G8)))&amp;""</f>
        <v>灼热射线</v>
      </c>
      <c r="K8" s="8" t="s">
        <v>3661</v>
      </c>
      <c r="L8" s="8" t="s">
        <v>1692</v>
      </c>
      <c r="M8" s="8" t="s">
        <v>494</v>
      </c>
      <c r="N8" s="9">
        <v>0</v>
      </c>
      <c r="P8" s="8" t="str">
        <f t="shared" si="1"/>
        <v/>
      </c>
      <c r="Q8" s="8" t="str">
        <f>IF(AND(VLOOKUP(M8,查询!$C$8:$E$15,3,FALSE)="启用",$B$1=N8),L8,"")</f>
        <v/>
      </c>
      <c r="R8" s="6" t="str">
        <f t="array" ref="R8">INDEX(P:P,SMALL(IF(P$1:P$500&lt;&gt;"",ROW($1:$500),1000),ROW(P8)))&amp;""</f>
        <v>Snilloc’s Snowball Swarm</v>
      </c>
      <c r="S8" s="6" t="str">
        <f t="array" ref="S8">INDEX(Q:Q,SMALL(IF(Q$1:Q$500&lt;&gt;"",ROW($1:$500),1000),ROW(Q8)))&amp;""</f>
        <v>史尼洛雪球群E</v>
      </c>
      <c r="U8" s="8" t="s">
        <v>3640</v>
      </c>
      <c r="V8" s="8" t="s">
        <v>1462</v>
      </c>
      <c r="W8" s="8" t="s">
        <v>494</v>
      </c>
      <c r="X8" s="9">
        <v>0</v>
      </c>
      <c r="Z8" s="8" t="str">
        <f t="shared" si="2"/>
        <v/>
      </c>
      <c r="AA8" s="8" t="str">
        <f>IF(AND(VLOOKUP(W8,查询!$C$8:$E$15,3,FALSE)="启用",$B$1=X8),V8,"")</f>
        <v/>
      </c>
      <c r="AB8" s="6" t="str">
        <f t="array" ref="AB8">INDEX(Z:Z,SMALL(IF(Z$1:Z$500&lt;&gt;"",ROW($1:$500),1000),ROW(Z8)))&amp;""</f>
        <v>Spider Climb</v>
      </c>
      <c r="AC8" s="6" t="str">
        <f t="array" ref="AC8">INDEX(AA:AA,SMALL(IF(AA$1:AA$500&lt;&gt;"",ROW($1:$500),1000),ROW(AA8)))&amp;""</f>
        <v>蛛行术</v>
      </c>
      <c r="AE8" s="8" t="s">
        <v>3576</v>
      </c>
      <c r="AF8" s="8" t="s">
        <v>1610</v>
      </c>
      <c r="AG8" s="8" t="s">
        <v>494</v>
      </c>
      <c r="AH8" s="9">
        <v>0</v>
      </c>
      <c r="AJ8" s="8" t="str">
        <f t="shared" si="3"/>
        <v/>
      </c>
      <c r="AK8" s="8" t="str">
        <f>IF(AND(VLOOKUP(AG8,查询!$C$8:$E$15,3,FALSE)="启用",$B$1=AH8),AF8,"")</f>
        <v/>
      </c>
      <c r="AL8" s="6" t="str">
        <f t="array" ref="AL8">INDEX(AJ:AJ,SMALL(IF(AJ$1:AJ$500&lt;&gt;"",ROW($1:$500),1000),ROW(AJ8)))&amp;""</f>
        <v>Lesser Restoration</v>
      </c>
      <c r="AM8" s="6" t="str">
        <f t="array" ref="AM8">INDEX(AK:AK,SMALL(IF(AK$1:AK$500&lt;&gt;"",ROW($1:$500),1000),ROW(AK8)))&amp;""</f>
        <v>次级复原术</v>
      </c>
      <c r="AO8" s="8" t="s">
        <v>2163</v>
      </c>
      <c r="AP8" s="8" t="s">
        <v>1568</v>
      </c>
      <c r="AQ8" s="8" t="s">
        <v>494</v>
      </c>
      <c r="AR8" s="8">
        <v>1</v>
      </c>
      <c r="AT8" s="8" t="str">
        <f t="shared" si="4"/>
        <v/>
      </c>
      <c r="AU8" s="8" t="str">
        <f>IF(AND(VLOOKUP(AQ8,查询!$C$8:$E$15,3,FALSE)="启用",$B$1=AR8),AP8,"")</f>
        <v/>
      </c>
      <c r="AV8" s="6" t="str">
        <f t="array" ref="AV8">INDEX(AT:AT,SMALL(IF(AT$1:AT$500&lt;&gt;"",ROW($1:$500),1000),ROW(AT8)))&amp;""</f>
        <v>Aid</v>
      </c>
      <c r="AW8" s="6" t="str">
        <f t="array" ref="AW8">INDEX(AU:AU,SMALL(IF(AU$1:AU$500&lt;&gt;"",ROW($1:$500),1000),ROW(AU8)))&amp;""</f>
        <v>援助术</v>
      </c>
      <c r="AY8" s="8" t="s">
        <v>2111</v>
      </c>
      <c r="AZ8" s="8" t="s">
        <v>1502</v>
      </c>
      <c r="BA8" s="8" t="s">
        <v>494</v>
      </c>
      <c r="BB8" s="8">
        <v>1</v>
      </c>
      <c r="BD8" s="8" t="str">
        <f t="shared" si="5"/>
        <v/>
      </c>
      <c r="BE8" s="8" t="str">
        <f>IF(AND(VLOOKUP(BA8,查询!$C$8:$E$15,3,FALSE)="启用",$B$1=BB8),AZ8,"")</f>
        <v/>
      </c>
      <c r="BF8" s="6" t="str">
        <f t="array" ref="BF8">INDEX(BD:BD,SMALL(IF(BD$1:BD$500&lt;&gt;"",ROW($1:$500),1000),ROW(BD8)))&amp;""</f>
        <v>Find Traps</v>
      </c>
      <c r="BG8" s="6" t="str">
        <f t="array" ref="BG8">INDEX(BE:BE,SMALL(IF(BE$1:BE$500&lt;&gt;"",ROW($1:$500),1000),ROW(BE8)))&amp;""</f>
        <v>寻找陷阱</v>
      </c>
      <c r="BI8" s="8" t="s">
        <v>3599</v>
      </c>
      <c r="BJ8" s="8" t="s">
        <v>1297</v>
      </c>
      <c r="BK8" s="8" t="s">
        <v>1249</v>
      </c>
      <c r="BL8" s="9">
        <v>0</v>
      </c>
      <c r="BN8" s="8" t="str">
        <f t="shared" si="6"/>
        <v/>
      </c>
      <c r="BO8" s="8" t="str">
        <f>IF(AND(VLOOKUP(BK8,查询!$C$8:$E$15,3,FALSE)="启用",$B$1=BL8),BJ8,"")</f>
        <v/>
      </c>
      <c r="BP8" s="6" t="str">
        <f t="array" ref="BP8">INDEX(BN:BN,SMALL(IF(BN$1:BN$500&lt;&gt;"",ROW($1:$500),1000),ROW(BN8)))&amp;""</f>
        <v>Lesser Restoration</v>
      </c>
      <c r="BQ8" s="6" t="str">
        <f t="array" ref="BQ8">INDEX(BO:BO,SMALL(IF(BO$1:BO$500&lt;&gt;"",ROW($1:$500),1000),ROW(BO8)))&amp;""</f>
        <v>次级复原术</v>
      </c>
      <c r="BS8" s="8" t="s">
        <v>3587</v>
      </c>
      <c r="BT8" s="8" t="s">
        <v>1456</v>
      </c>
      <c r="BU8" s="8" t="s">
        <v>494</v>
      </c>
      <c r="BV8" s="9">
        <v>0</v>
      </c>
      <c r="BX8" s="8" t="str">
        <f t="shared" si="7"/>
        <v/>
      </c>
      <c r="BY8" s="8" t="str">
        <f>IF(AND(VLOOKUP(BU8,查询!$C$8:$E$15,3,FALSE)="启用",$B$1=BV8),BT8,"")</f>
        <v/>
      </c>
      <c r="BZ8" s="6" t="str">
        <f t="array" ref="BZ8">INDEX(BX:BX,SMALL(IF(BX$1:BX$500&lt;&gt;"",ROW($1:$500),1000),ROW(BX8)))&amp;""</f>
        <v>Cloud of Daggers</v>
      </c>
      <c r="CA8" s="6" t="str">
        <f t="array" ref="CA8">INDEX(BY:BY,SMALL(IF(BY$1:BY$500&lt;&gt;"",ROW($1:$500),1000),ROW(BY8)))&amp;""</f>
        <v>匕首之云</v>
      </c>
    </row>
    <row r="9" spans="1:79">
      <c r="A9" s="8" t="s">
        <v>3640</v>
      </c>
      <c r="B9" s="8" t="s">
        <v>1462</v>
      </c>
      <c r="C9" s="8" t="s">
        <v>494</v>
      </c>
      <c r="D9" s="9">
        <v>0</v>
      </c>
      <c r="F9" s="8" t="str">
        <f t="shared" si="0"/>
        <v/>
      </c>
      <c r="G9" s="8" t="str">
        <f>IF(AND(VLOOKUP(C9,查询!$C$8:$E$15,3,FALSE)="启用",$B$1=D9),B9,"")</f>
        <v/>
      </c>
      <c r="H9" s="6" t="str">
        <f t="array" ref="H9">INDEX(F:F,SMALL(IF($F$1:$F$500&lt;&gt;"",ROW($1:$500),1000),ROW(F9)))&amp;""</f>
        <v>Snilloc’s Snowball Swarm</v>
      </c>
      <c r="I9" s="6" t="str">
        <f t="array" ref="I9">INDEX(G:G,SMALL(IF($F$1:$F$500&lt;&gt;"",ROW($1:$500),1000),ROW(G9)))&amp;""</f>
        <v>史尼洛雪球群E</v>
      </c>
      <c r="K9" s="8" t="s">
        <v>3640</v>
      </c>
      <c r="L9" s="8" t="s">
        <v>1462</v>
      </c>
      <c r="M9" s="8" t="s">
        <v>494</v>
      </c>
      <c r="N9" s="9">
        <v>0</v>
      </c>
      <c r="P9" s="8" t="str">
        <f t="shared" si="1"/>
        <v/>
      </c>
      <c r="Q9" s="8" t="str">
        <f>IF(AND(VLOOKUP(M9,查询!$C$8:$E$15,3,FALSE)="启用",$B$1=N9),L9,"")</f>
        <v/>
      </c>
      <c r="R9" s="6" t="str">
        <f t="array" ref="R9">INDEX(P:P,SMALL(IF(P$1:P$500&lt;&gt;"",ROW($1:$500),1000),ROW(P9)))&amp;""</f>
        <v>Snilloc’s Snowball Swarm</v>
      </c>
      <c r="S9" s="6" t="str">
        <f t="array" ref="S9">INDEX(Q:Q,SMALL(IF(Q$1:Q$500&lt;&gt;"",ROW($1:$500),1000),ROW(Q9)))&amp;""</f>
        <v>史尼洛雪球群</v>
      </c>
      <c r="U9" s="8" t="s">
        <v>3620</v>
      </c>
      <c r="V9" s="8" t="s">
        <v>1380</v>
      </c>
      <c r="W9" s="8" t="s">
        <v>494</v>
      </c>
      <c r="X9" s="9">
        <v>0</v>
      </c>
      <c r="Z9" s="8" t="str">
        <f t="shared" si="2"/>
        <v/>
      </c>
      <c r="AA9" s="8" t="str">
        <f>IF(AND(VLOOKUP(W9,查询!$C$8:$E$15,3,FALSE)="启用",$B$1=X9),V9,"")</f>
        <v/>
      </c>
      <c r="AB9" s="6" t="str">
        <f t="array" ref="AB9">INDEX(Z:Z,SMALL(IF(Z$1:Z$500&lt;&gt;"",ROW($1:$500),1000),ROW(Z9)))&amp;""</f>
        <v>Enthrall</v>
      </c>
      <c r="AC9" s="6" t="str">
        <f t="array" ref="AC9">INDEX(AA:AA,SMALL(IF(AA$1:AA$500&lt;&gt;"",ROW($1:$500),1000),ROW(AA9)))&amp;""</f>
        <v>注目术</v>
      </c>
      <c r="AE9" s="8" t="s">
        <v>3544</v>
      </c>
      <c r="AF9" s="8" t="s">
        <v>1497</v>
      </c>
      <c r="AG9" s="8" t="s">
        <v>494</v>
      </c>
      <c r="AH9" s="9">
        <v>0</v>
      </c>
      <c r="AJ9" s="8" t="str">
        <f t="shared" si="3"/>
        <v/>
      </c>
      <c r="AK9" s="8" t="str">
        <f>IF(AND(VLOOKUP(AG9,查询!$C$8:$E$15,3,FALSE)="启用",$B$1=AH9),AF9,"")</f>
        <v/>
      </c>
      <c r="AL9" s="6" t="str">
        <f t="array" ref="AL9">INDEX(AJ:AJ,SMALL(IF(AJ$1:AJ$500&lt;&gt;"",ROW($1:$500),1000),ROW(AJ9)))&amp;""</f>
        <v>Calm Emotions</v>
      </c>
      <c r="AM9" s="6" t="str">
        <f t="array" ref="AM9">INDEX(AK:AK,SMALL(IF(AK$1:AK$500&lt;&gt;"",ROW($1:$500),1000),ROW(AK9)))&amp;""</f>
        <v>安定心神</v>
      </c>
      <c r="AO9" s="8" t="s">
        <v>2165</v>
      </c>
      <c r="AP9" s="8" t="s">
        <v>1569</v>
      </c>
      <c r="AQ9" s="8" t="s">
        <v>494</v>
      </c>
      <c r="AR9" s="8">
        <v>1</v>
      </c>
      <c r="AT9" s="8" t="str">
        <f t="shared" si="4"/>
        <v/>
      </c>
      <c r="AU9" s="8" t="str">
        <f>IF(AND(VLOOKUP(AQ9,查询!$C$8:$E$15,3,FALSE)="启用",$B$1=AR9),AP9,"")</f>
        <v/>
      </c>
      <c r="AV9" s="6" t="str">
        <f t="array" ref="AV9">INDEX(AT:AT,SMALL(IF(AT$1:AT$500&lt;&gt;"",ROW($1:$500),1000),ROW(AT9)))&amp;""</f>
        <v>Protection from Poison</v>
      </c>
      <c r="AW9" s="6" t="str">
        <f t="array" ref="AW9">INDEX(AU:AU,SMALL(IF(AU$1:AU$500&lt;&gt;"",ROW($1:$500),1000),ROW(AU9)))&amp;""</f>
        <v>防护毒素</v>
      </c>
      <c r="AY9" s="8" t="s">
        <v>2131</v>
      </c>
      <c r="AZ9" s="8" t="s">
        <v>1530</v>
      </c>
      <c r="BA9" s="8" t="s">
        <v>494</v>
      </c>
      <c r="BB9" s="8">
        <v>1</v>
      </c>
      <c r="BD9" s="8" t="str">
        <f t="shared" si="5"/>
        <v/>
      </c>
      <c r="BE9" s="8" t="str">
        <f>IF(AND(VLOOKUP(BA9,查询!$C$8:$E$15,3,FALSE)="启用",$B$1=BB9),AZ9,"")</f>
        <v/>
      </c>
      <c r="BF9" s="6" t="str">
        <f t="array" ref="BF9">INDEX(BD:BD,SMALL(IF(BD$1:BD$500&lt;&gt;"",ROW($1:$500),1000),ROW(BD9)))&amp;""</f>
        <v>Protection from Poison</v>
      </c>
      <c r="BG9" s="6" t="str">
        <f t="array" ref="BG9">INDEX(BE:BE,SMALL(IF(BE$1:BE$500&lt;&gt;"",ROW($1:$500),1000),ROW(BE9)))&amp;""</f>
        <v>防护毒素</v>
      </c>
      <c r="BI9" s="8" t="s">
        <v>3606</v>
      </c>
      <c r="BJ9" s="8" t="s">
        <v>1753</v>
      </c>
      <c r="BK9" s="8" t="s">
        <v>578</v>
      </c>
      <c r="BL9" s="9">
        <v>0</v>
      </c>
      <c r="BN9" s="8" t="str">
        <f t="shared" si="6"/>
        <v/>
      </c>
      <c r="BO9" s="8" t="str">
        <f>IF(AND(VLOOKUP(BK9,查询!$C$8:$E$15,3,FALSE)="启用",$B$1=BL9),BJ9,"")</f>
        <v/>
      </c>
      <c r="BP9" s="6" t="str">
        <f t="array" ref="BP9">INDEX(BN:BN,SMALL(IF(BN$1:BN$500&lt;&gt;"",ROW($1:$500),1000),ROW(BN9)))&amp;""</f>
        <v>Animal Messenger</v>
      </c>
      <c r="BQ9" s="6" t="str">
        <f t="array" ref="BQ9">INDEX(BO:BO,SMALL(IF(BO$1:BO$500&lt;&gt;"",ROW($1:$500),1000),ROW(BO9)))&amp;""</f>
        <v>动物信使</v>
      </c>
      <c r="BS9" s="8" t="s">
        <v>3580</v>
      </c>
      <c r="BT9" s="8" t="s">
        <v>1449</v>
      </c>
      <c r="BU9" s="8" t="s">
        <v>494</v>
      </c>
      <c r="BV9" s="9">
        <v>0</v>
      </c>
      <c r="BX9" s="8" t="str">
        <f t="shared" si="7"/>
        <v/>
      </c>
      <c r="BY9" s="8" t="str">
        <f>IF(AND(VLOOKUP(BU9,查询!$C$8:$E$15,3,FALSE)="启用",$B$1=BV9),BT9,"")</f>
        <v/>
      </c>
      <c r="BZ9" s="6" t="str">
        <f t="array" ref="BZ9">INDEX(BX:BX,SMALL(IF(BX$1:BX$500&lt;&gt;"",ROW($1:$500),1000),ROW(BX9)))&amp;""</f>
        <v>Crown of Madness</v>
      </c>
      <c r="CA9" s="6" t="str">
        <f t="array" ref="CA9">INDEX(BY:BY,SMALL(IF(BY$1:BY$500&lt;&gt;"",ROW($1:$500),1000),ROW(BY9)))&amp;""</f>
        <v>疯狂冠冕</v>
      </c>
    </row>
    <row r="10" spans="1:79">
      <c r="A10" s="8" t="s">
        <v>3622</v>
      </c>
      <c r="B10" s="8" t="s">
        <v>1413</v>
      </c>
      <c r="C10" s="8" t="s">
        <v>494</v>
      </c>
      <c r="D10" s="9">
        <v>0</v>
      </c>
      <c r="F10" s="8" t="str">
        <f t="shared" si="0"/>
        <v/>
      </c>
      <c r="G10" s="8" t="str">
        <f>IF(AND(VLOOKUP(C10,查询!$C$8:$E$15,3,FALSE)="启用",$B$1=D10),B10,"")</f>
        <v/>
      </c>
      <c r="H10" s="6" t="str">
        <f t="array" ref="H10">INDEX(F:F,SMALL(IF($F$1:$F$500&lt;&gt;"",ROW($1:$500),1000),ROW(F10)))&amp;""</f>
        <v>Snilloc’s Snowball Swarm</v>
      </c>
      <c r="I10" s="6" t="str">
        <f t="array" ref="I10">INDEX(G:G,SMALL(IF($F$1:$F$500&lt;&gt;"",ROW($1:$500),1000),ROW(G10)))&amp;""</f>
        <v>史尼洛雪球群</v>
      </c>
      <c r="K10" s="8" t="s">
        <v>3622</v>
      </c>
      <c r="L10" s="8" t="s">
        <v>1413</v>
      </c>
      <c r="M10" s="8" t="s">
        <v>494</v>
      </c>
      <c r="N10" s="9">
        <v>0</v>
      </c>
      <c r="P10" s="8" t="str">
        <f t="shared" si="1"/>
        <v/>
      </c>
      <c r="Q10" s="8" t="str">
        <f>IF(AND(VLOOKUP(M10,查询!$C$8:$E$15,3,FALSE)="启用",$B$1=N10),L10,"")</f>
        <v/>
      </c>
      <c r="R10" s="6" t="str">
        <f t="array" ref="R10">INDEX(P:P,SMALL(IF(P$1:P$500&lt;&gt;"",ROW($1:$500),1000),ROW(P10)))&amp;""</f>
        <v>Darkness</v>
      </c>
      <c r="S10" s="6" t="str">
        <f t="array" ref="S10">INDEX(Q:Q,SMALL(IF(Q$1:Q$500&lt;&gt;"",ROW($1:$500),1000),ROW(Q10)))&amp;""</f>
        <v>黑暗术</v>
      </c>
      <c r="U10" s="8" t="s">
        <v>3599</v>
      </c>
      <c r="V10" s="8" t="s">
        <v>1297</v>
      </c>
      <c r="W10" s="8" t="s">
        <v>1249</v>
      </c>
      <c r="X10" s="9">
        <v>0</v>
      </c>
      <c r="Z10" s="8" t="str">
        <f t="shared" si="2"/>
        <v/>
      </c>
      <c r="AA10" s="8" t="str">
        <f>IF(AND(VLOOKUP(W10,查询!$C$8:$E$15,3,FALSE)="启用",$B$1=X10),V10,"")</f>
        <v/>
      </c>
      <c r="AB10" s="6" t="str">
        <f t="array" ref="AB10">INDEX(Z:Z,SMALL(IF(Z$1:Z$500&lt;&gt;"",ROW($1:$500),1000),ROW(Z10)))&amp;""</f>
        <v>Cloud of Daggers</v>
      </c>
      <c r="AC10" s="6" t="str">
        <f t="array" ref="AC10">INDEX(AA:AA,SMALL(IF(AA$1:AA$500&lt;&gt;"",ROW($1:$500),1000),ROW(AA10)))&amp;""</f>
        <v>匕首之云</v>
      </c>
      <c r="AE10" s="8" t="s">
        <v>3549</v>
      </c>
      <c r="AF10" s="8" t="s">
        <v>1636</v>
      </c>
      <c r="AG10" s="8" t="s">
        <v>494</v>
      </c>
      <c r="AH10" s="9">
        <v>0</v>
      </c>
      <c r="AJ10" s="8" t="str">
        <f t="shared" si="3"/>
        <v/>
      </c>
      <c r="AK10" s="8" t="str">
        <f>IF(AND(VLOOKUP(AG10,查询!$C$8:$E$15,3,FALSE)="启用",$B$1=AH10),AF10,"")</f>
        <v/>
      </c>
      <c r="AL10" s="6" t="str">
        <f t="array" ref="AL10">INDEX(AJ:AJ,SMALL(IF(AJ$1:AJ$500&lt;&gt;"",ROW($1:$500),1000),ROW(AJ10)))&amp;""</f>
        <v>Aid</v>
      </c>
      <c r="AM10" s="6" t="str">
        <f t="array" ref="AM10">INDEX(AK:AK,SMALL(IF(AK$1:AK$500&lt;&gt;"",ROW($1:$500),1000),ROW(AK10)))&amp;""</f>
        <v>援助术</v>
      </c>
      <c r="AO10" s="8" t="s">
        <v>1954</v>
      </c>
      <c r="AP10" s="8" t="s">
        <v>1302</v>
      </c>
      <c r="AQ10" s="8" t="s">
        <v>1249</v>
      </c>
      <c r="AR10" s="8">
        <v>1</v>
      </c>
      <c r="AT10" s="8" t="str">
        <f t="shared" si="4"/>
        <v/>
      </c>
      <c r="AU10" s="8" t="str">
        <f>IF(AND(VLOOKUP(AQ10,查询!$C$8:$E$15,3,FALSE)="启用",$B$1=AR10),AP10,"")</f>
        <v/>
      </c>
      <c r="AV10" s="6" t="str">
        <f t="array" ref="AV10">INDEX(AT:AT,SMALL(IF(AT$1:AT$500&lt;&gt;"",ROW($1:$500),1000),ROW(AT10)))&amp;""</f>
        <v/>
      </c>
      <c r="AW10" s="6" t="str">
        <f t="array" ref="AW10">INDEX(AU:AU,SMALL(IF(AU$1:AU$500&lt;&gt;"",ROW($1:$500),1000),ROW(AU10)))&amp;""</f>
        <v/>
      </c>
      <c r="AY10" s="8" t="s">
        <v>2136</v>
      </c>
      <c r="AZ10" s="8" t="s">
        <v>1531</v>
      </c>
      <c r="BA10" s="8" t="s">
        <v>494</v>
      </c>
      <c r="BB10" s="8">
        <v>1</v>
      </c>
      <c r="BD10" s="8" t="str">
        <f t="shared" si="5"/>
        <v/>
      </c>
      <c r="BE10" s="8" t="str">
        <f>IF(AND(VLOOKUP(BA10,查询!$C$8:$E$15,3,FALSE)="启用",$B$1=BB10),AZ10,"")</f>
        <v/>
      </c>
      <c r="BF10" s="6" t="str">
        <f t="array" ref="BF10">INDEX(BD:BD,SMALL(IF(BD$1:BD$500&lt;&gt;"",ROW($1:$500),1000),ROW(BD10)))&amp;""</f>
        <v>Healing Spirit</v>
      </c>
      <c r="BG10" s="6" t="str">
        <f t="array" ref="BG10">INDEX(BE:BE,SMALL(IF(BE$1:BE$500&lt;&gt;"",ROW($1:$500),1000),ROW(BE10)))&amp;""</f>
        <v>治愈之魂</v>
      </c>
      <c r="BI10" s="8" t="s">
        <v>3606</v>
      </c>
      <c r="BJ10" s="8" t="s">
        <v>1352</v>
      </c>
      <c r="BK10" s="8" t="s">
        <v>1249</v>
      </c>
      <c r="BL10" s="9">
        <v>0</v>
      </c>
      <c r="BN10" s="8" t="str">
        <f t="shared" si="6"/>
        <v/>
      </c>
      <c r="BO10" s="8" t="str">
        <f>IF(AND(VLOOKUP(BK10,查询!$C$8:$E$15,3,FALSE)="启用",$B$1=BL10),BJ10,"")</f>
        <v/>
      </c>
      <c r="BP10" s="6" t="str">
        <f t="array" ref="BP10">INDEX(BN:BN,SMALL(IF(BN$1:BN$500&lt;&gt;"",ROW($1:$500),1000),ROW(BN10)))&amp;""</f>
        <v>Locate Animals or Plants</v>
      </c>
      <c r="BQ10" s="6" t="str">
        <f t="array" ref="BQ10">INDEX(BO:BO,SMALL(IF(BO$1:BO$500&lt;&gt;"",ROW($1:$500),1000),ROW(BO10)))&amp;""</f>
        <v>动植物定位术</v>
      </c>
      <c r="BS10" s="8" t="s">
        <v>3585</v>
      </c>
      <c r="BT10" s="8" t="s">
        <v>1551</v>
      </c>
      <c r="BU10" s="8" t="s">
        <v>494</v>
      </c>
      <c r="BV10" s="9">
        <v>0</v>
      </c>
      <c r="BX10" s="8" t="str">
        <f t="shared" si="7"/>
        <v/>
      </c>
      <c r="BY10" s="8" t="str">
        <f>IF(AND(VLOOKUP(BU10,查询!$C$8:$E$15,3,FALSE)="启用",$B$1=BV10),BT10,"")</f>
        <v/>
      </c>
      <c r="BZ10" s="6" t="str">
        <f t="array" ref="BZ10">INDEX(BX:BX,SMALL(IF(BX$1:BX$500&lt;&gt;"",ROW($1:$500),1000),ROW(BX10)))&amp;""</f>
        <v>Invisibility</v>
      </c>
      <c r="CA10" s="6" t="str">
        <f t="array" ref="CA10">INDEX(BY:BY,SMALL(IF(BY$1:BY$500&lt;&gt;"",ROW($1:$500),1000),ROW(BY10)))&amp;""</f>
        <v>隐形术</v>
      </c>
    </row>
    <row r="11" spans="1:79">
      <c r="A11" s="8" t="s">
        <v>3624</v>
      </c>
      <c r="B11" s="8" t="s">
        <v>1424</v>
      </c>
      <c r="C11" s="8" t="s">
        <v>494</v>
      </c>
      <c r="D11" s="9">
        <v>0</v>
      </c>
      <c r="F11" s="8" t="str">
        <f t="shared" si="0"/>
        <v/>
      </c>
      <c r="G11" s="8" t="str">
        <f>IF(AND(VLOOKUP(C11,查询!$C$8:$E$15,3,FALSE)="启用",$B$1=D11),B11,"")</f>
        <v/>
      </c>
      <c r="H11" s="6" t="str">
        <f t="array" ref="H11">INDEX(F:F,SMALL(IF($F$1:$F$500&lt;&gt;"",ROW($1:$500),1000),ROW(F11)))&amp;""</f>
        <v>Darkness</v>
      </c>
      <c r="I11" s="6" t="str">
        <f t="array" ref="I11">INDEX(G:G,SMALL(IF($F$1:$F$500&lt;&gt;"",ROW($1:$500),1000),ROW(G11)))&amp;""</f>
        <v>黑暗术</v>
      </c>
      <c r="K11" s="8" t="s">
        <v>3624</v>
      </c>
      <c r="L11" s="8" t="s">
        <v>1424</v>
      </c>
      <c r="M11" s="8" t="s">
        <v>494</v>
      </c>
      <c r="N11" s="9">
        <v>0</v>
      </c>
      <c r="P11" s="8" t="str">
        <f t="shared" si="1"/>
        <v/>
      </c>
      <c r="Q11" s="8" t="str">
        <f>IF(AND(VLOOKUP(M11,查询!$C$8:$E$15,3,FALSE)="启用",$B$1=N11),L11,"")</f>
        <v/>
      </c>
      <c r="R11" s="6" t="str">
        <f t="array" ref="R11">INDEX(P:P,SMALL(IF(P$1:P$500&lt;&gt;"",ROW($1:$500),1000),ROW(P11)))&amp;""</f>
        <v>Mirror Image</v>
      </c>
      <c r="S11" s="6" t="str">
        <f t="array" ref="S11">INDEX(Q:Q,SMALL(IF(Q$1:Q$500&lt;&gt;"",ROW($1:$500),1000),ROW(Q11)))&amp;""</f>
        <v>镜影术</v>
      </c>
      <c r="U11" s="8" t="s">
        <v>3609</v>
      </c>
      <c r="V11" s="8" t="s">
        <v>1359</v>
      </c>
      <c r="W11" s="8" t="s">
        <v>1248</v>
      </c>
      <c r="X11" s="9">
        <v>0</v>
      </c>
      <c r="Z11" s="8" t="str">
        <f t="shared" si="2"/>
        <v/>
      </c>
      <c r="AA11" s="8" t="str">
        <f>IF(AND(VLOOKUP(W11,查询!$C$8:$E$15,3,FALSE)="启用",$B$1=X11),V11,"")</f>
        <v/>
      </c>
      <c r="AB11" s="6" t="str">
        <f t="array" ref="AB11">INDEX(Z:Z,SMALL(IF(Z$1:Z$500&lt;&gt;"",ROW($1:$500),1000),ROW(Z11)))&amp;""</f>
        <v>Crown of Madness</v>
      </c>
      <c r="AC11" s="6" t="str">
        <f t="array" ref="AC11">INDEX(AA:AA,SMALL(IF(AA$1:AA$500&lt;&gt;"",ROW($1:$500),1000),ROW(AA11)))&amp;""</f>
        <v>疯狂冠冕</v>
      </c>
      <c r="AE11" s="8" t="s">
        <v>2108</v>
      </c>
      <c r="AF11" s="8" t="s">
        <v>1499</v>
      </c>
      <c r="AG11" s="8" t="s">
        <v>494</v>
      </c>
      <c r="AH11" s="9">
        <v>1</v>
      </c>
      <c r="AJ11" s="8" t="str">
        <f t="shared" si="3"/>
        <v/>
      </c>
      <c r="AK11" s="8" t="str">
        <f>IF(AND(VLOOKUP(AG11,查询!$C$8:$E$15,3,FALSE)="启用",$B$1=AH11),AF11,"")</f>
        <v/>
      </c>
      <c r="AL11" s="6" t="str">
        <f t="array" ref="AL11">INDEX(AJ:AJ,SMALL(IF(AJ$1:AJ$500&lt;&gt;"",ROW($1:$500),1000),ROW(AJ11)))&amp;""</f>
        <v>Continual Flame</v>
      </c>
      <c r="AM11" s="6" t="str">
        <f t="array" ref="AM11">INDEX(AK:AK,SMALL(IF(AK$1:AK$500&lt;&gt;"",ROW($1:$500),1000),ROW(AK11)))&amp;""</f>
        <v>不灭明焰</v>
      </c>
      <c r="AO11" s="8" t="s">
        <v>2167</v>
      </c>
      <c r="AP11" s="8" t="s">
        <v>1574</v>
      </c>
      <c r="AQ11" s="8" t="s">
        <v>494</v>
      </c>
      <c r="AR11" s="8">
        <v>1</v>
      </c>
      <c r="AT11" s="8" t="str">
        <f t="shared" si="4"/>
        <v/>
      </c>
      <c r="AU11" s="8" t="str">
        <f>IF(AND(VLOOKUP(AQ11,查询!$C$8:$E$15,3,FALSE)="启用",$B$1=AR11),AP11,"")</f>
        <v/>
      </c>
      <c r="AV11" s="6" t="str">
        <f t="array" ref="AV11">INDEX(AT:AT,SMALL(IF(AT$1:AT$500&lt;&gt;"",ROW($1:$500),1000),ROW(AT11)))&amp;""</f>
        <v/>
      </c>
      <c r="AW11" s="6" t="str">
        <f t="array" ref="AW11">INDEX(AU:AU,SMALL(IF(AU$1:AU$500&lt;&gt;"",ROW($1:$500),1000),ROW(AU11)))&amp;""</f>
        <v/>
      </c>
      <c r="AY11" s="8" t="s">
        <v>2142</v>
      </c>
      <c r="AZ11" s="8" t="s">
        <v>1535</v>
      </c>
      <c r="BA11" s="8" t="s">
        <v>494</v>
      </c>
      <c r="BB11" s="8">
        <v>1</v>
      </c>
      <c r="BD11" s="8" t="str">
        <f t="shared" si="5"/>
        <v/>
      </c>
      <c r="BE11" s="8" t="str">
        <f>IF(AND(VLOOKUP(BA11,查询!$C$8:$E$15,3,FALSE)="启用",$B$1=BB11),AZ11,"")</f>
        <v/>
      </c>
      <c r="BF11" s="6" t="str">
        <f t="array" ref="BF11">INDEX(BD:BD,SMALL(IF(BD$1:BD$500&lt;&gt;"",ROW($1:$500),1000),ROW(BD11)))&amp;""</f>
        <v>Darkvision</v>
      </c>
      <c r="BG11" s="6" t="str">
        <f t="array" ref="BG11">INDEX(BE:BE,SMALL(IF(BE$1:BE$500&lt;&gt;"",ROW($1:$500),1000),ROW(BE11)))&amp;""</f>
        <v>黑暗视觉</v>
      </c>
      <c r="BI11" s="8" t="s">
        <v>3599</v>
      </c>
      <c r="BJ11" s="8" t="s">
        <v>1760</v>
      </c>
      <c r="BK11" s="8" t="s">
        <v>578</v>
      </c>
      <c r="BL11" s="9">
        <v>0</v>
      </c>
      <c r="BN11" s="8" t="str">
        <f t="shared" si="6"/>
        <v/>
      </c>
      <c r="BO11" s="8" t="str">
        <f>IF(AND(VLOOKUP(BK11,查询!$C$8:$E$15,3,FALSE)="启用",$B$1=BL11),BJ11,"")</f>
        <v/>
      </c>
      <c r="BP11" s="6" t="str">
        <f t="array" ref="BP11">INDEX(BN:BN,SMALL(IF(BN$1:BN$500&lt;&gt;"",ROW($1:$500),1000),ROW(BN11)))&amp;""</f>
        <v>Warding Wind</v>
      </c>
      <c r="BQ11" s="6" t="str">
        <f t="array" ref="BQ11">INDEX(BO:BO,SMALL(IF(BO$1:BO$500&lt;&gt;"",ROW($1:$500),1000),ROW(BO11)))&amp;""</f>
        <v>守护之风E</v>
      </c>
      <c r="BS11" s="8" t="s">
        <v>3573</v>
      </c>
      <c r="BT11" s="8" t="s">
        <v>1441</v>
      </c>
      <c r="BU11" s="8" t="s">
        <v>494</v>
      </c>
      <c r="BV11" s="9">
        <v>0</v>
      </c>
      <c r="BX11" s="8" t="str">
        <f t="shared" si="7"/>
        <v/>
      </c>
      <c r="BY11" s="8" t="str">
        <f>IF(AND(VLOOKUP(BU11,查询!$C$8:$E$15,3,FALSE)="启用",$B$1=BV11),BT11,"")</f>
        <v/>
      </c>
      <c r="BZ11" s="6" t="str">
        <f t="array" ref="BZ11">INDEX(BX:BX,SMALL(IF(BX$1:BX$500&lt;&gt;"",ROW($1:$500),1000),ROW(BX11)))&amp;""</f>
        <v>Shatter</v>
      </c>
      <c r="CA11" s="6" t="str">
        <f t="array" ref="CA11">INDEX(BY:BY,SMALL(IF(BY$1:BY$500&lt;&gt;"",ROW($1:$500),1000),ROW(BY11)))&amp;""</f>
        <v>粉碎音波</v>
      </c>
    </row>
    <row r="12" spans="1:79">
      <c r="A12" s="8" t="s">
        <v>3626</v>
      </c>
      <c r="B12" s="8" t="s">
        <v>1427</v>
      </c>
      <c r="C12" s="8" t="s">
        <v>494</v>
      </c>
      <c r="D12" s="9">
        <v>0</v>
      </c>
      <c r="F12" s="8" t="str">
        <f t="shared" si="0"/>
        <v/>
      </c>
      <c r="G12" s="8" t="str">
        <f>IF(AND(VLOOKUP(C12,查询!$C$8:$E$15,3,FALSE)="启用",$B$1=D12),B12,"")</f>
        <v/>
      </c>
      <c r="H12" s="6" t="str">
        <f t="array" ref="H12">INDEX(F:F,SMALL(IF($F$1:$F$500&lt;&gt;"",ROW($1:$500),1000),ROW(F12)))&amp;""</f>
        <v>Mirror Image</v>
      </c>
      <c r="I12" s="6" t="str">
        <f t="array" ref="I12">INDEX(G:G,SMALL(IF($F$1:$F$500&lt;&gt;"",ROW($1:$500),1000),ROW(G12)))&amp;""</f>
        <v>镜影术</v>
      </c>
      <c r="K12" s="8" t="s">
        <v>3626</v>
      </c>
      <c r="L12" s="8" t="s">
        <v>1427</v>
      </c>
      <c r="M12" s="8" t="s">
        <v>494</v>
      </c>
      <c r="N12" s="9">
        <v>0</v>
      </c>
      <c r="P12" s="8" t="str">
        <f t="shared" si="1"/>
        <v/>
      </c>
      <c r="Q12" s="8" t="str">
        <f>IF(AND(VLOOKUP(M12,查询!$C$8:$E$15,3,FALSE)="启用",$B$1=N12),L12,"")</f>
        <v/>
      </c>
      <c r="R12" s="6" t="str">
        <f t="array" ref="R12">INDEX(P:P,SMALL(IF(P$1:P$500&lt;&gt;"",ROW($1:$500),1000),ROW(P12)))&amp;""</f>
        <v>Misty Step</v>
      </c>
      <c r="S12" s="6" t="str">
        <f t="array" ref="S12">INDEX(Q:Q,SMALL(IF(Q$1:Q$500&lt;&gt;"",ROW($1:$500),1000),ROW(Q12)))&amp;""</f>
        <v>迷踪步</v>
      </c>
      <c r="U12" s="8" t="s">
        <v>3615</v>
      </c>
      <c r="V12" s="8" t="s">
        <v>1360</v>
      </c>
      <c r="W12" s="8" t="s">
        <v>1248</v>
      </c>
      <c r="X12" s="9">
        <v>0</v>
      </c>
      <c r="Z12" s="8" t="str">
        <f t="shared" si="2"/>
        <v/>
      </c>
      <c r="AA12" s="8" t="str">
        <f>IF(AND(VLOOKUP(W12,查询!$C$8:$E$15,3,FALSE)="启用",$B$1=X12),V12,"")</f>
        <v/>
      </c>
      <c r="AB12" s="6" t="str">
        <f t="array" ref="AB12">INDEX(Z:Z,SMALL(IF(Z$1:Z$500&lt;&gt;"",ROW($1:$500),1000),ROW(Z12)))&amp;""</f>
        <v>Invisibility</v>
      </c>
      <c r="AC12" s="6" t="str">
        <f t="array" ref="AC12">INDEX(AA:AA,SMALL(IF(AA$1:AA$500&lt;&gt;"",ROW($1:$500),1000),ROW(AA12)))&amp;""</f>
        <v>隐形术</v>
      </c>
      <c r="AE12" s="8" t="s">
        <v>2111</v>
      </c>
      <c r="AF12" s="8" t="s">
        <v>1502</v>
      </c>
      <c r="AG12" s="8" t="s">
        <v>494</v>
      </c>
      <c r="AH12" s="9">
        <v>1</v>
      </c>
      <c r="AJ12" s="8" t="str">
        <f t="shared" si="3"/>
        <v/>
      </c>
      <c r="AK12" s="8" t="str">
        <f>IF(AND(VLOOKUP(AG12,查询!$C$8:$E$15,3,FALSE)="启用",$B$1=AH12),AF12,"")</f>
        <v/>
      </c>
      <c r="AL12" s="6" t="str">
        <f t="array" ref="AL12">INDEX(AJ:AJ,SMALL(IF(AJ$1:AJ$500&lt;&gt;"",ROW($1:$500),1000),ROW(AJ12)))&amp;""</f>
        <v>Gentle Repose</v>
      </c>
      <c r="AM12" s="6" t="str">
        <f t="array" ref="AM12">INDEX(AK:AK,SMALL(IF(AK$1:AK$500&lt;&gt;"",ROW($1:$500),1000),ROW(AK12)))&amp;""</f>
        <v>遗体防腐</v>
      </c>
      <c r="AO12" s="8" t="s">
        <v>2172</v>
      </c>
      <c r="AP12" s="8" t="s">
        <v>1578</v>
      </c>
      <c r="AQ12" s="8" t="s">
        <v>494</v>
      </c>
      <c r="AR12" s="8">
        <v>1</v>
      </c>
      <c r="AT12" s="8" t="str">
        <f t="shared" si="4"/>
        <v/>
      </c>
      <c r="AU12" s="8" t="str">
        <f>IF(AND(VLOOKUP(AQ12,查询!$C$8:$E$15,3,FALSE)="启用",$B$1=AR12),AP12,"")</f>
        <v/>
      </c>
      <c r="AV12" s="6" t="str">
        <f t="array" ref="AV12">INDEX(AT:AT,SMALL(IF(AT$1:AT$500&lt;&gt;"",ROW($1:$500),1000),ROW(AT12)))&amp;""</f>
        <v/>
      </c>
      <c r="AW12" s="6" t="str">
        <f t="array" ref="AW12">INDEX(AU:AU,SMALL(IF(AU$1:AU$500&lt;&gt;"",ROW($1:$500),1000),ROW(AU12)))&amp;""</f>
        <v/>
      </c>
      <c r="AY12" s="8" t="s">
        <v>2184</v>
      </c>
      <c r="AZ12" s="8" t="s">
        <v>1598</v>
      </c>
      <c r="BA12" s="8" t="s">
        <v>494</v>
      </c>
      <c r="BB12" s="8">
        <v>1</v>
      </c>
      <c r="BD12" s="8" t="str">
        <f t="shared" si="5"/>
        <v/>
      </c>
      <c r="BE12" s="8" t="str">
        <f>IF(AND(VLOOKUP(BA12,查询!$C$8:$E$15,3,FALSE)="启用",$B$1=BB12),AZ12,"")</f>
        <v/>
      </c>
      <c r="BF12" s="6" t="str">
        <f t="array" ref="BF12">INDEX(BD:BD,SMALL(IF(BD$1:BD$500&lt;&gt;"",ROW($1:$500),1000),ROW(BD12)))&amp;""</f>
        <v>Barkskin</v>
      </c>
      <c r="BG12" s="6" t="str">
        <f t="array" ref="BG12">INDEX(BE:BE,SMALL(IF(BE$1:BE$500&lt;&gt;"",ROW($1:$500),1000),ROW(BE12)))&amp;""</f>
        <v>树肤术</v>
      </c>
      <c r="BI12" s="8" t="s">
        <v>3576</v>
      </c>
      <c r="BJ12" s="8" t="s">
        <v>1610</v>
      </c>
      <c r="BK12" s="8" t="s">
        <v>494</v>
      </c>
      <c r="BL12" s="9">
        <v>0</v>
      </c>
      <c r="BN12" s="8" t="str">
        <f t="shared" si="6"/>
        <v/>
      </c>
      <c r="BO12" s="8" t="str">
        <f>IF(AND(VLOOKUP(BK12,查询!$C$8:$E$15,3,FALSE)="启用",$B$1=BL12),BJ12,"")</f>
        <v/>
      </c>
      <c r="BP12" s="6" t="str">
        <f t="array" ref="BP12">INDEX(BN:BN,SMALL(IF(BN$1:BN$500&lt;&gt;"",ROW($1:$500),1000),ROW(BN12)))&amp;""</f>
        <v>Heat Metal</v>
      </c>
      <c r="BQ12" s="6" t="str">
        <f t="array" ref="BQ12">INDEX(BO:BO,SMALL(IF(BO$1:BO$500&lt;&gt;"",ROW($1:$500),1000),ROW(BO12)))&amp;""</f>
        <v>灼热金属</v>
      </c>
      <c r="BS12" s="8" t="s">
        <v>3537</v>
      </c>
      <c r="BT12" s="8" t="s">
        <v>1459</v>
      </c>
      <c r="BU12" s="8" t="s">
        <v>494</v>
      </c>
      <c r="BV12" s="9">
        <v>0</v>
      </c>
      <c r="BX12" s="8" t="str">
        <f t="shared" si="7"/>
        <v/>
      </c>
      <c r="BY12" s="8" t="str">
        <f>IF(AND(VLOOKUP(BU12,查询!$C$8:$E$15,3,FALSE)="启用",$B$1=BV12),BT12,"")</f>
        <v/>
      </c>
      <c r="BZ12" s="6" t="str">
        <f t="array" ref="BZ12">INDEX(BX:BX,SMALL(IF(BX$1:BX$500&lt;&gt;"",ROW($1:$500),1000),ROW(BX12)))&amp;""</f>
        <v>Suggestion</v>
      </c>
      <c r="CA12" s="6" t="str">
        <f t="array" ref="CA12">INDEX(BY:BY,SMALL(IF(BY$1:BY$500&lt;&gt;"",ROW($1:$500),1000),ROW(BY12)))&amp;""</f>
        <v>暗示术</v>
      </c>
    </row>
    <row r="13" spans="1:79">
      <c r="A13" s="8" t="s">
        <v>3599</v>
      </c>
      <c r="B13" s="8" t="s">
        <v>1297</v>
      </c>
      <c r="C13" s="8" t="s">
        <v>1249</v>
      </c>
      <c r="D13" s="9">
        <v>0</v>
      </c>
      <c r="F13" s="8" t="str">
        <f t="shared" si="0"/>
        <v/>
      </c>
      <c r="G13" s="8" t="str">
        <f>IF(AND(VLOOKUP(C13,查询!$C$8:$E$15,3,FALSE)="启用",$B$1=D13),B13,"")</f>
        <v/>
      </c>
      <c r="H13" s="6" t="str">
        <f t="array" ref="H13">INDEX(F:F,SMALL(IF($F$1:$F$500&lt;&gt;"",ROW($1:$500),1000),ROW(F13)))&amp;""</f>
        <v>Misty Step</v>
      </c>
      <c r="I13" s="6" t="str">
        <f t="array" ref="I13">INDEX(G:G,SMALL(IF($F$1:$F$500&lt;&gt;"",ROW($1:$500),1000),ROW(G13)))&amp;""</f>
        <v>迷踪步</v>
      </c>
      <c r="K13" s="8" t="s">
        <v>3599</v>
      </c>
      <c r="L13" s="8" t="s">
        <v>1297</v>
      </c>
      <c r="M13" s="8" t="s">
        <v>1249</v>
      </c>
      <c r="N13" s="9">
        <v>0</v>
      </c>
      <c r="P13" s="8" t="str">
        <f t="shared" si="1"/>
        <v/>
      </c>
      <c r="Q13" s="8" t="str">
        <f>IF(AND(VLOOKUP(M13,查询!$C$8:$E$15,3,FALSE)="启用",$B$1=N13),L13,"")</f>
        <v/>
      </c>
      <c r="R13" s="6" t="str">
        <f t="array" ref="R13">INDEX(P:P,SMALL(IF(P$1:P$500&lt;&gt;"",ROW($1:$500),1000),ROW(P13)))&amp;""</f>
        <v>Spider Climb</v>
      </c>
      <c r="S13" s="6" t="str">
        <f t="array" ref="S13">INDEX(Q:Q,SMALL(IF(Q$1:Q$500&lt;&gt;"",ROW($1:$500),1000),ROW(Q13)))&amp;""</f>
        <v>蛛行术</v>
      </c>
      <c r="U13" s="8" t="s">
        <v>3617</v>
      </c>
      <c r="V13" s="8" t="s">
        <v>1361</v>
      </c>
      <c r="W13" s="8" t="s">
        <v>1248</v>
      </c>
      <c r="X13" s="9">
        <v>0</v>
      </c>
      <c r="Z13" s="8" t="str">
        <f t="shared" si="2"/>
        <v/>
      </c>
      <c r="AA13" s="8" t="str">
        <f>IF(AND(VLOOKUP(W13,查询!$C$8:$E$15,3,FALSE)="启用",$B$1=X13),V13,"")</f>
        <v/>
      </c>
      <c r="AB13" s="6" t="str">
        <f t="array" ref="AB13">INDEX(Z:Z,SMALL(IF(Z$1:Z$500&lt;&gt;"",ROW($1:$500),1000),ROW(Z13)))&amp;""</f>
        <v>Shatter</v>
      </c>
      <c r="AC13" s="6" t="str">
        <f t="array" ref="AC13">INDEX(AA:AA,SMALL(IF(AA$1:AA$500&lt;&gt;"",ROW($1:$500),1000),ROW(AA13)))&amp;""</f>
        <v>粉碎音波</v>
      </c>
      <c r="AE13" s="8" t="s">
        <v>2114</v>
      </c>
      <c r="AF13" s="8" t="s">
        <v>1510</v>
      </c>
      <c r="AG13" s="8" t="s">
        <v>494</v>
      </c>
      <c r="AH13" s="9">
        <v>1</v>
      </c>
      <c r="AJ13" s="8" t="str">
        <f t="shared" si="3"/>
        <v/>
      </c>
      <c r="AK13" s="8" t="str">
        <f>IF(AND(VLOOKUP(AG13,查询!$C$8:$E$15,3,FALSE)="启用",$B$1=AH13),AF13,"")</f>
        <v/>
      </c>
      <c r="AL13" s="6" t="str">
        <f t="array" ref="AL13">INDEX(AJ:AJ,SMALL(IF(AJ$1:AJ$500&lt;&gt;"",ROW($1:$500),1000),ROW(AJ13)))&amp;""</f>
        <v>Find Traps</v>
      </c>
      <c r="AM13" s="6" t="str">
        <f t="array" ref="AM13">INDEX(AK:AK,SMALL(IF(AK$1:AK$500&lt;&gt;"",ROW($1:$500),1000),ROW(AK13)))&amp;""</f>
        <v>寻找陷阱</v>
      </c>
      <c r="AO13" s="8" t="s">
        <v>2176</v>
      </c>
      <c r="AP13" s="8" t="s">
        <v>1579</v>
      </c>
      <c r="AQ13" s="8" t="s">
        <v>494</v>
      </c>
      <c r="AR13" s="8">
        <v>1</v>
      </c>
      <c r="AT13" s="8" t="str">
        <f t="shared" si="4"/>
        <v/>
      </c>
      <c r="AU13" s="8" t="str">
        <f>IF(AND(VLOOKUP(AQ13,查询!$C$8:$E$15,3,FALSE)="启用",$B$1=AR13),AP13,"")</f>
        <v/>
      </c>
      <c r="AV13" s="6" t="str">
        <f t="array" ref="AV13">INDEX(AT:AT,SMALL(IF(AT$1:AT$500&lt;&gt;"",ROW($1:$500),1000),ROW(AT13)))&amp;""</f>
        <v/>
      </c>
      <c r="AW13" s="6" t="str">
        <f t="array" ref="AW13">INDEX(AU:AU,SMALL(IF(AU$1:AU$500&lt;&gt;"",ROW($1:$500),1000),ROW(AU13)))&amp;""</f>
        <v/>
      </c>
      <c r="AY13" s="8" t="s">
        <v>1963</v>
      </c>
      <c r="AZ13" s="8" t="s">
        <v>1309</v>
      </c>
      <c r="BA13" s="8" t="s">
        <v>1249</v>
      </c>
      <c r="BB13" s="8">
        <v>1</v>
      </c>
      <c r="BD13" s="8" t="str">
        <f t="shared" si="5"/>
        <v/>
      </c>
      <c r="BE13" s="8" t="str">
        <f>IF(AND(VLOOKUP(BA13,查询!$C$8:$E$15,3,FALSE)="启用",$B$1=BB13),AZ13,"")</f>
        <v/>
      </c>
      <c r="BF13" s="6" t="str">
        <f t="array" ref="BF13">INDEX(BD:BD,SMALL(IF(BD$1:BD$500&lt;&gt;"",ROW($1:$500),1000),ROW(BD13)))&amp;""</f>
        <v>Beast Sense</v>
      </c>
      <c r="BG13" s="6" t="str">
        <f t="array" ref="BG13">INDEX(BE:BE,SMALL(IF(BE$1:BE$500&lt;&gt;"",ROW($1:$500),1000),ROW(BE13)))&amp;""</f>
        <v>野兽知觉</v>
      </c>
      <c r="BI13" s="8" t="s">
        <v>3544</v>
      </c>
      <c r="BJ13" s="8" t="s">
        <v>1497</v>
      </c>
      <c r="BK13" s="8" t="s">
        <v>494</v>
      </c>
      <c r="BL13" s="9">
        <v>0</v>
      </c>
      <c r="BN13" s="8" t="str">
        <f t="shared" si="6"/>
        <v/>
      </c>
      <c r="BO13" s="8" t="str">
        <f>IF(AND(VLOOKUP(BK13,查询!$C$8:$E$15,3,FALSE)="启用",$B$1=BL13),BJ13,"")</f>
        <v/>
      </c>
      <c r="BP13" s="6" t="str">
        <f t="array" ref="BP13">INDEX(BN:BN,SMALL(IF(BN$1:BN$500&lt;&gt;"",ROW($1:$500),1000),ROW(BN13)))&amp;""</f>
        <v>Find Traps</v>
      </c>
      <c r="BQ13" s="6" t="str">
        <f t="array" ref="BQ13">INDEX(BO:BO,SMALL(IF(BO$1:BO$500&lt;&gt;"",ROW($1:$500),1000),ROW(BO13)))&amp;""</f>
        <v>寻找陷阱</v>
      </c>
      <c r="BS13" s="8" t="s">
        <v>3540</v>
      </c>
      <c r="BT13" s="8" t="s">
        <v>1470</v>
      </c>
      <c r="BU13" s="8" t="s">
        <v>494</v>
      </c>
      <c r="BV13" s="9">
        <v>0</v>
      </c>
      <c r="BX13" s="8" t="str">
        <f t="shared" si="7"/>
        <v/>
      </c>
      <c r="BY13" s="8" t="str">
        <f>IF(AND(VLOOKUP(BU13,查询!$C$8:$E$15,3,FALSE)="启用",$B$1=BV13),BT13,"")</f>
        <v/>
      </c>
      <c r="BZ13" s="6" t="str">
        <f t="array" ref="BZ13">INDEX(BX:BX,SMALL(IF(BX$1:BX$500&lt;&gt;"",ROW($1:$500),1000),ROW(BX13)))&amp;""</f>
        <v>Detect Thoughts</v>
      </c>
      <c r="CA13" s="6" t="str">
        <f t="array" ref="CA13">INDEX(BY:BY,SMALL(IF(BY$1:BY$500&lt;&gt;"",ROW($1:$500),1000),ROW(BY13)))&amp;""</f>
        <v>侦测思想</v>
      </c>
    </row>
    <row r="14" spans="1:79">
      <c r="A14" s="8" t="s">
        <v>3628</v>
      </c>
      <c r="B14" s="8" t="s">
        <v>1464</v>
      </c>
      <c r="C14" s="8" t="s">
        <v>494</v>
      </c>
      <c r="D14" s="9">
        <v>0</v>
      </c>
      <c r="F14" s="8" t="str">
        <f t="shared" si="0"/>
        <v/>
      </c>
      <c r="G14" s="8" t="str">
        <f>IF(AND(VLOOKUP(C14,查询!$C$8:$E$15,3,FALSE)="启用",$B$1=D14),B14,"")</f>
        <v/>
      </c>
      <c r="H14" s="6" t="str">
        <f t="array" ref="H14">INDEX(F:F,SMALL(IF($F$1:$F$500&lt;&gt;"",ROW($1:$500),1000),ROW(F14)))&amp;""</f>
        <v>Spider Climb</v>
      </c>
      <c r="I14" s="6" t="str">
        <f t="array" ref="I14">INDEX(G:G,SMALL(IF($F$1:$F$500&lt;&gt;"",ROW($1:$500),1000),ROW(G14)))&amp;""</f>
        <v>蛛行术</v>
      </c>
      <c r="K14" s="8" t="s">
        <v>3628</v>
      </c>
      <c r="L14" s="8" t="s">
        <v>1464</v>
      </c>
      <c r="M14" s="8" t="s">
        <v>494</v>
      </c>
      <c r="N14" s="9">
        <v>0</v>
      </c>
      <c r="P14" s="8" t="str">
        <f t="shared" si="1"/>
        <v/>
      </c>
      <c r="Q14" s="8" t="str">
        <f>IF(AND(VLOOKUP(M14,查询!$C$8:$E$15,3,FALSE)="启用",$B$1=N14),L14,"")</f>
        <v/>
      </c>
      <c r="R14" s="6" t="str">
        <f t="array" ref="R14">INDEX(P:P,SMALL(IF(P$1:P$500&lt;&gt;"",ROW($1:$500),1000),ROW(P14)))&amp;""</f>
        <v>Alter Self</v>
      </c>
      <c r="S14" s="6" t="str">
        <f t="array" ref="S14">INDEX(Q:Q,SMALL(IF(Q$1:Q$500&lt;&gt;"",ROW($1:$500),1000),ROW(Q14)))&amp;""</f>
        <v>变身术</v>
      </c>
      <c r="U14" s="8" t="s">
        <v>3606</v>
      </c>
      <c r="V14" s="8" t="s">
        <v>1753</v>
      </c>
      <c r="W14" s="8" t="s">
        <v>578</v>
      </c>
      <c r="X14" s="9">
        <v>0</v>
      </c>
      <c r="Z14" s="8" t="str">
        <f t="shared" si="2"/>
        <v/>
      </c>
      <c r="AA14" s="8" t="str">
        <f>IF(AND(VLOOKUP(W14,查询!$C$8:$E$15,3,FALSE)="启用",$B$1=X14),V14,"")</f>
        <v/>
      </c>
      <c r="AB14" s="6" t="str">
        <f t="array" ref="AB14">INDEX(Z:Z,SMALL(IF(Z$1:Z$500&lt;&gt;"",ROW($1:$500),1000),ROW(Z14)))&amp;""</f>
        <v>Suggestion</v>
      </c>
      <c r="AC14" s="6" t="str">
        <f t="array" ref="AC14">INDEX(AA:AA,SMALL(IF(AA$1:AA$500&lt;&gt;"",ROW($1:$500),1000),ROW(AA14)))&amp;""</f>
        <v>暗示术</v>
      </c>
      <c r="AE14" s="8" t="s">
        <v>2117</v>
      </c>
      <c r="AF14" s="8" t="s">
        <v>1513</v>
      </c>
      <c r="AG14" s="8" t="s">
        <v>494</v>
      </c>
      <c r="AH14" s="9">
        <v>1</v>
      </c>
      <c r="AJ14" s="8" t="str">
        <f t="shared" si="3"/>
        <v/>
      </c>
      <c r="AK14" s="8" t="str">
        <f>IF(AND(VLOOKUP(AG14,查询!$C$8:$E$15,3,FALSE)="启用",$B$1=AH14),AF14,"")</f>
        <v/>
      </c>
      <c r="AL14" s="6" t="str">
        <f t="array" ref="AL14">INDEX(AJ:AJ,SMALL(IF(AJ$1:AJ$500&lt;&gt;"",ROW($1:$500),1000),ROW(AJ14)))&amp;""</f>
        <v>Protection from Poison</v>
      </c>
      <c r="AM14" s="6" t="str">
        <f t="array" ref="AM14">INDEX(AK:AK,SMALL(IF(AK$1:AK$500&lt;&gt;"",ROW($1:$500),1000),ROW(AK14)))&amp;""</f>
        <v>防护毒素</v>
      </c>
      <c r="AO14" s="8" t="s">
        <v>2178</v>
      </c>
      <c r="AP14" s="8" t="s">
        <v>1582</v>
      </c>
      <c r="AQ14" s="8" t="s">
        <v>494</v>
      </c>
      <c r="AR14" s="8">
        <v>1</v>
      </c>
      <c r="AT14" s="8" t="str">
        <f t="shared" si="4"/>
        <v/>
      </c>
      <c r="AU14" s="8" t="str">
        <f>IF(AND(VLOOKUP(AQ14,查询!$C$8:$E$15,3,FALSE)="启用",$B$1=AR14),AP14,"")</f>
        <v/>
      </c>
      <c r="AV14" s="6" t="str">
        <f t="array" ref="AV14">INDEX(AT:AT,SMALL(IF(AT$1:AT$500&lt;&gt;"",ROW($1:$500),1000),ROW(AT14)))&amp;""</f>
        <v/>
      </c>
      <c r="AW14" s="6" t="str">
        <f t="array" ref="AW14">INDEX(AU:AU,SMALL(IF(AU$1:AU$500&lt;&gt;"",ROW($1:$500),1000),ROW(AU14)))&amp;""</f>
        <v/>
      </c>
      <c r="AY14" s="8" t="s">
        <v>1975</v>
      </c>
      <c r="AZ14" s="8" t="s">
        <v>1326</v>
      </c>
      <c r="BA14" s="8" t="s">
        <v>1249</v>
      </c>
      <c r="BB14" s="8">
        <v>1</v>
      </c>
      <c r="BD14" s="8" t="str">
        <f t="shared" si="5"/>
        <v/>
      </c>
      <c r="BE14" s="8" t="str">
        <f>IF(AND(VLOOKUP(BA14,查询!$C$8:$E$15,3,FALSE)="启用",$B$1=BB14),AZ14,"")</f>
        <v/>
      </c>
      <c r="BF14" s="6" t="str">
        <f t="array" ref="BF14">INDEX(BD:BD,SMALL(IF(BD$1:BD$500&lt;&gt;"",ROW($1:$500),1000),ROW(BD14)))&amp;""</f>
        <v>Pass without Trace</v>
      </c>
      <c r="BG14" s="6" t="str">
        <f t="array" ref="BG14">INDEX(BE:BE,SMALL(IF(BE$1:BE$500&lt;&gt;"",ROW($1:$500),1000),ROW(BE14)))&amp;""</f>
        <v>行动无踪</v>
      </c>
      <c r="BI14" s="8" t="s">
        <v>3523</v>
      </c>
      <c r="BJ14" s="8" t="s">
        <v>1734</v>
      </c>
      <c r="BK14" s="8" t="s">
        <v>578</v>
      </c>
      <c r="BL14" s="9">
        <v>0</v>
      </c>
      <c r="BN14" s="8" t="str">
        <f t="shared" si="6"/>
        <v/>
      </c>
      <c r="BO14" s="8" t="str">
        <f>IF(AND(VLOOKUP(BK14,查询!$C$8:$E$15,3,FALSE)="启用",$B$1=BL14),BJ14,"")</f>
        <v/>
      </c>
      <c r="BP14" s="6" t="str">
        <f t="array" ref="BP14">INDEX(BN:BN,SMALL(IF(BN$1:BN$500&lt;&gt;"",ROW($1:$500),1000),ROW(BN14)))&amp;""</f>
        <v>Protection from Poison</v>
      </c>
      <c r="BQ14" s="6" t="str">
        <f t="array" ref="BQ14">INDEX(BO:BO,SMALL(IF(BO$1:BO$500&lt;&gt;"",ROW($1:$500),1000),ROW(BO14)))&amp;""</f>
        <v>防护毒素</v>
      </c>
      <c r="BS14" s="8" t="s">
        <v>3544</v>
      </c>
      <c r="BT14" s="8" t="s">
        <v>1497</v>
      </c>
      <c r="BU14" s="8" t="s">
        <v>494</v>
      </c>
      <c r="BV14" s="9">
        <v>0</v>
      </c>
      <c r="BX14" s="8" t="str">
        <f t="shared" si="7"/>
        <v/>
      </c>
      <c r="BY14" s="8" t="str">
        <f>IF(AND(VLOOKUP(BU14,查询!$C$8:$E$15,3,FALSE)="启用",$B$1=BV14),BT14,"")</f>
        <v/>
      </c>
      <c r="BZ14" s="6" t="str">
        <f t="array" ref="BZ14">INDEX(BX:BX,SMALL(IF(BX$1:BX$500&lt;&gt;"",ROW($1:$500),1000),ROW(BX14)))&amp;""</f>
        <v>Knock</v>
      </c>
      <c r="CA14" s="6" t="str">
        <f t="array" ref="CA14">INDEX(BY:BY,SMALL(IF(BY$1:BY$500&lt;&gt;"",ROW($1:$500),1000),ROW(BY14)))&amp;""</f>
        <v>敲击术</v>
      </c>
    </row>
    <row r="15" spans="1:79">
      <c r="A15" s="8" t="s">
        <v>3632</v>
      </c>
      <c r="B15" s="8" t="s">
        <v>1486</v>
      </c>
      <c r="C15" s="8" t="s">
        <v>494</v>
      </c>
      <c r="D15" s="9">
        <v>0</v>
      </c>
      <c r="F15" s="8" t="str">
        <f t="shared" si="0"/>
        <v/>
      </c>
      <c r="G15" s="8" t="str">
        <f>IF(AND(VLOOKUP(C15,查询!$C$8:$E$15,3,FALSE)="启用",$B$1=D15),B15,"")</f>
        <v/>
      </c>
      <c r="H15" s="6" t="str">
        <f t="array" ref="H15">INDEX(F:F,SMALL(IF($F$1:$F$500&lt;&gt;"",ROW($1:$500),1000),ROW(F15)))&amp;""</f>
        <v>Alter Self</v>
      </c>
      <c r="I15" s="6" t="str">
        <f t="array" ref="I15">INDEX(G:G,SMALL(IF($F$1:$F$500&lt;&gt;"",ROW($1:$500),1000),ROW(G15)))&amp;""</f>
        <v>变身术</v>
      </c>
      <c r="K15" s="8" t="s">
        <v>3632</v>
      </c>
      <c r="L15" s="8" t="s">
        <v>1486</v>
      </c>
      <c r="M15" s="8" t="s">
        <v>494</v>
      </c>
      <c r="N15" s="9">
        <v>0</v>
      </c>
      <c r="P15" s="8" t="str">
        <f t="shared" si="1"/>
        <v/>
      </c>
      <c r="Q15" s="8" t="str">
        <f>IF(AND(VLOOKUP(M15,查询!$C$8:$E$15,3,FALSE)="启用",$B$1=N15),L15,"")</f>
        <v/>
      </c>
      <c r="R15" s="6" t="str">
        <f t="array" ref="R15">INDEX(P:P,SMALL(IF(P$1:P$500&lt;&gt;"",ROW($1:$500),1000),ROW(P15)))&amp;""</f>
        <v>Blur</v>
      </c>
      <c r="S15" s="6" t="str">
        <f t="array" ref="S15">INDEX(Q:Q,SMALL(IF(Q$1:Q$500&lt;&gt;"",ROW($1:$500),1000),ROW(Q15)))&amp;""</f>
        <v>朦胧术</v>
      </c>
      <c r="U15" s="8" t="s">
        <v>3606</v>
      </c>
      <c r="V15" s="8" t="s">
        <v>1352</v>
      </c>
      <c r="W15" s="8" t="s">
        <v>1249</v>
      </c>
      <c r="X15" s="9">
        <v>0</v>
      </c>
      <c r="Z15" s="8" t="str">
        <f t="shared" si="2"/>
        <v/>
      </c>
      <c r="AA15" s="8" t="str">
        <f>IF(AND(VLOOKUP(W15,查询!$C$8:$E$15,3,FALSE)="启用",$B$1=X15),V15,"")</f>
        <v/>
      </c>
      <c r="AB15" s="6" t="str">
        <f t="array" ref="AB15">INDEX(Z:Z,SMALL(IF(Z$1:Z$500&lt;&gt;"",ROW($1:$500),1000),ROW(Z15)))&amp;""</f>
        <v>Hold Person</v>
      </c>
      <c r="AC15" s="6" t="str">
        <f t="array" ref="AC15">INDEX(AA:AA,SMALL(IF(AA$1:AA$500&lt;&gt;"",ROW($1:$500),1000),ROW(AA15)))&amp;""</f>
        <v>人类定身术</v>
      </c>
      <c r="AE15" s="8" t="s">
        <v>1954</v>
      </c>
      <c r="AF15" s="8" t="s">
        <v>1302</v>
      </c>
      <c r="AG15" s="8" t="s">
        <v>1249</v>
      </c>
      <c r="AH15" s="9">
        <v>1</v>
      </c>
      <c r="AJ15" s="8" t="str">
        <f t="shared" si="3"/>
        <v/>
      </c>
      <c r="AK15" s="8" t="str">
        <f>IF(AND(VLOOKUP(AG15,查询!$C$8:$E$15,3,FALSE)="启用",$B$1=AH15),AF15,"")</f>
        <v/>
      </c>
      <c r="AL15" s="6" t="str">
        <f t="array" ref="AL15">INDEX(AJ:AJ,SMALL(IF(AJ$1:AJ$500&lt;&gt;"",ROW($1:$500),1000),ROW(AJ15)))&amp;""</f>
        <v>Augury</v>
      </c>
      <c r="AM15" s="6" t="str">
        <f t="array" ref="AM15">INDEX(AK:AK,SMALL(IF(AK$1:AK$500&lt;&gt;"",ROW($1:$500),1000),ROW(AK15)))&amp;""</f>
        <v>卜筮术</v>
      </c>
      <c r="AO15" s="8" t="s">
        <v>2180</v>
      </c>
      <c r="AP15" s="8" t="s">
        <v>1585</v>
      </c>
      <c r="AQ15" s="8" t="s">
        <v>494</v>
      </c>
      <c r="AR15" s="8">
        <v>1</v>
      </c>
      <c r="AT15" s="8" t="str">
        <f t="shared" si="4"/>
        <v/>
      </c>
      <c r="AU15" s="8" t="str">
        <f>IF(AND(VLOOKUP(AQ15,查询!$C$8:$E$15,3,FALSE)="启用",$B$1=AR15),AP15,"")</f>
        <v/>
      </c>
      <c r="AV15" s="6" t="str">
        <f t="array" ref="AV15">INDEX(AT:AT,SMALL(IF(AT$1:AT$500&lt;&gt;"",ROW($1:$500),1000),ROW(AT15)))&amp;""</f>
        <v/>
      </c>
      <c r="AW15" s="6" t="str">
        <f t="array" ref="AW15">INDEX(AU:AU,SMALL(IF(AU$1:AU$500&lt;&gt;"",ROW($1:$500),1000),ROW(AU15)))&amp;""</f>
        <v/>
      </c>
      <c r="AY15" s="8" t="s">
        <v>1983</v>
      </c>
      <c r="AZ15" s="8" t="s">
        <v>1327</v>
      </c>
      <c r="BA15" s="8" t="s">
        <v>1249</v>
      </c>
      <c r="BB15" s="8">
        <v>1</v>
      </c>
      <c r="BD15" s="8" t="str">
        <f t="shared" si="5"/>
        <v/>
      </c>
      <c r="BE15" s="8" t="str">
        <f>IF(AND(VLOOKUP(BA15,查询!$C$8:$E$15,3,FALSE)="启用",$B$1=BB15),AZ15,"")</f>
        <v/>
      </c>
      <c r="BF15" s="6" t="str">
        <f t="array" ref="BF15">INDEX(BD:BD,SMALL(IF(BD$1:BD$500&lt;&gt;"",ROW($1:$500),1000),ROW(BD15)))&amp;""</f>
        <v>Spike Growth</v>
      </c>
      <c r="BG15" s="6" t="str">
        <f t="array" ref="BG15">INDEX(BE:BE,SMALL(IF(BE$1:BE$500&lt;&gt;"",ROW($1:$500),1000),ROW(BE15)))&amp;""</f>
        <v>荆棘丛生</v>
      </c>
      <c r="BI15" s="8" t="s">
        <v>3523</v>
      </c>
      <c r="BJ15" s="8" t="s">
        <v>1331</v>
      </c>
      <c r="BK15" s="8" t="s">
        <v>1249</v>
      </c>
      <c r="BL15" s="9">
        <v>0</v>
      </c>
      <c r="BN15" s="8" t="str">
        <f t="shared" si="6"/>
        <v/>
      </c>
      <c r="BO15" s="8" t="str">
        <f>IF(AND(VLOOKUP(BK15,查询!$C$8:$E$15,3,FALSE)="启用",$B$1=BL15),BJ15,"")</f>
        <v/>
      </c>
      <c r="BP15" s="6" t="str">
        <f t="array" ref="BP15">INDEX(BN:BN,SMALL(IF(BN$1:BN$500&lt;&gt;"",ROW($1:$500),1000),ROW(BN15)))&amp;""</f>
        <v>Healing Spirit</v>
      </c>
      <c r="BQ15" s="6" t="str">
        <f t="array" ref="BQ15">INDEX(BO:BO,SMALL(IF(BO$1:BO$500&lt;&gt;"",ROW($1:$500),1000),ROW(BO15)))&amp;""</f>
        <v>治愈之魂</v>
      </c>
      <c r="BS15" s="8" t="s">
        <v>1950</v>
      </c>
      <c r="BT15" s="8" t="s">
        <v>1731</v>
      </c>
      <c r="BU15" s="8" t="s">
        <v>578</v>
      </c>
      <c r="BV15" s="9">
        <v>1</v>
      </c>
      <c r="BX15" s="8" t="str">
        <f t="shared" si="7"/>
        <v/>
      </c>
      <c r="BY15" s="8" t="str">
        <f>IF(AND(VLOOKUP(BU15,查询!$C$8:$E$15,3,FALSE)="启用",$B$1=BV15),BT15,"")</f>
        <v/>
      </c>
      <c r="BZ15" s="6" t="str">
        <f t="array" ref="BZ15">INDEX(BX:BX,SMALL(IF(BX$1:BX$500&lt;&gt;"",ROW($1:$500),1000),ROW(BX15)))&amp;""</f>
        <v>Phantasmal Force</v>
      </c>
      <c r="CA15" s="6" t="str">
        <f t="array" ref="CA15">INDEX(BY:BY,SMALL(IF(BY$1:BY$500&lt;&gt;"",ROW($1:$500),1000),ROW(BY15)))&amp;""</f>
        <v>魅影之力</v>
      </c>
    </row>
    <row r="16" spans="1:79">
      <c r="A16" s="8" t="s">
        <v>3609</v>
      </c>
      <c r="B16" s="8" t="s">
        <v>1359</v>
      </c>
      <c r="C16" s="8" t="s">
        <v>1248</v>
      </c>
      <c r="D16" s="9">
        <v>0</v>
      </c>
      <c r="F16" s="8" t="str">
        <f t="shared" si="0"/>
        <v/>
      </c>
      <c r="G16" s="8" t="str">
        <f>IF(AND(VLOOKUP(C16,查询!$C$8:$E$15,3,FALSE)="启用",$B$1=D16),B16,"")</f>
        <v/>
      </c>
      <c r="H16" s="6" t="str">
        <f t="array" ref="H16">INDEX(F:F,SMALL(IF($F$1:$F$500&lt;&gt;"",ROW($1:$500),1000),ROW(F16)))&amp;""</f>
        <v>Blur</v>
      </c>
      <c r="I16" s="6" t="str">
        <f t="array" ref="I16">INDEX(G:G,SMALL(IF($F$1:$F$500&lt;&gt;"",ROW($1:$500),1000),ROW(G16)))&amp;""</f>
        <v>朦胧术</v>
      </c>
      <c r="K16" s="8" t="s">
        <v>3609</v>
      </c>
      <c r="L16" s="8" t="s">
        <v>1359</v>
      </c>
      <c r="M16" s="8" t="s">
        <v>1248</v>
      </c>
      <c r="N16" s="9">
        <v>0</v>
      </c>
      <c r="P16" s="8" t="str">
        <f t="shared" si="1"/>
        <v/>
      </c>
      <c r="Q16" s="8" t="str">
        <f>IF(AND(VLOOKUP(M16,查询!$C$8:$E$15,3,FALSE)="启用",$B$1=N16),L16,"")</f>
        <v/>
      </c>
      <c r="R16" s="6" t="str">
        <f t="array" ref="R16">INDEX(P:P,SMALL(IF(P$1:P$500&lt;&gt;"",ROW($1:$500),1000),ROW(P16)))&amp;""</f>
        <v>Enlarge/Reduce</v>
      </c>
      <c r="S16" s="6" t="str">
        <f t="array" ref="S16">INDEX(Q:Q,SMALL(IF(Q$1:Q$500&lt;&gt;"",ROW($1:$500),1000),ROW(Q16)))&amp;""</f>
        <v>变巨/缩小术</v>
      </c>
      <c r="U16" s="8" t="s">
        <v>3599</v>
      </c>
      <c r="V16" s="8" t="s">
        <v>1760</v>
      </c>
      <c r="W16" s="8" t="s">
        <v>578</v>
      </c>
      <c r="X16" s="9">
        <v>0</v>
      </c>
      <c r="Z16" s="8" t="str">
        <f t="shared" si="2"/>
        <v/>
      </c>
      <c r="AA16" s="8" t="str">
        <f>IF(AND(VLOOKUP(W16,查询!$C$8:$E$15,3,FALSE)="启用",$B$1=X16),V16,"")</f>
        <v/>
      </c>
      <c r="AB16" s="6" t="str">
        <f t="array" ref="AB16">INDEX(Z:Z,SMALL(IF(Z$1:Z$500&lt;&gt;"",ROW($1:$500),1000),ROW(Z16)))&amp;""</f>
        <v>Earthbind</v>
      </c>
      <c r="AC16" s="6" t="str">
        <f t="array" ref="AC16">INDEX(AA:AA,SMALL(IF(AA$1:AA$500&lt;&gt;"",ROW($1:$500),1000),ROW(AA16)))&amp;""</f>
        <v>地缚</v>
      </c>
      <c r="AE16" s="8" t="s">
        <v>2167</v>
      </c>
      <c r="AF16" s="8" t="s">
        <v>1574</v>
      </c>
      <c r="AG16" s="8" t="s">
        <v>494</v>
      </c>
      <c r="AH16" s="9">
        <v>1</v>
      </c>
      <c r="AJ16" s="8" t="str">
        <f t="shared" si="3"/>
        <v/>
      </c>
      <c r="AK16" s="8" t="str">
        <f>IF(AND(VLOOKUP(AG16,查询!$C$8:$E$15,3,FALSE)="启用",$B$1=AH16),AF16,"")</f>
        <v/>
      </c>
      <c r="AL16" s="6" t="str">
        <f t="array" ref="AL16">INDEX(AJ:AJ,SMALL(IF(AJ$1:AJ$500&lt;&gt;"",ROW($1:$500),1000),ROW(AJ16)))&amp;""</f>
        <v>Prayer of Healing</v>
      </c>
      <c r="AM16" s="6" t="str">
        <f t="array" ref="AM16">INDEX(AK:AK,SMALL(IF(AK$1:AK$500&lt;&gt;"",ROW($1:$500),1000),ROW(AK16)))&amp;""</f>
        <v>治疗祷言</v>
      </c>
      <c r="AO16" s="8" t="s">
        <v>2184</v>
      </c>
      <c r="AP16" s="8" t="s">
        <v>1598</v>
      </c>
      <c r="AQ16" s="8" t="s">
        <v>494</v>
      </c>
      <c r="AR16" s="8">
        <v>1</v>
      </c>
      <c r="AT16" s="8" t="str">
        <f t="shared" si="4"/>
        <v/>
      </c>
      <c r="AU16" s="8" t="str">
        <f>IF(AND(VLOOKUP(AQ16,查询!$C$8:$E$15,3,FALSE)="启用",$B$1=AR16),AP16,"")</f>
        <v/>
      </c>
      <c r="AV16" s="6" t="str">
        <f t="array" ref="AV16">INDEX(AT:AT,SMALL(IF(AT$1:AT$500&lt;&gt;"",ROW($1:$500),1000),ROW(AT16)))&amp;""</f>
        <v/>
      </c>
      <c r="AW16" s="6" t="str">
        <f t="array" ref="AW16">INDEX(AU:AU,SMALL(IF(AU$1:AU$500&lt;&gt;"",ROW($1:$500),1000),ROW(AU16)))&amp;""</f>
        <v/>
      </c>
      <c r="AY16" s="8" t="s">
        <v>2219</v>
      </c>
      <c r="AZ16" s="8" t="s">
        <v>1675</v>
      </c>
      <c r="BA16" s="8" t="s">
        <v>494</v>
      </c>
      <c r="BB16" s="8">
        <v>1</v>
      </c>
      <c r="BD16" s="8" t="str">
        <f t="shared" si="5"/>
        <v/>
      </c>
      <c r="BE16" s="8" t="str">
        <f>IF(AND(VLOOKUP(BA16,查询!$C$8:$E$15,3,FALSE)="启用",$B$1=BB16),AZ16,"")</f>
        <v/>
      </c>
      <c r="BF16" s="6" t="str">
        <f t="array" ref="BF16">INDEX(BD:BD,SMALL(IF(BD$1:BD$500&lt;&gt;"",ROW($1:$500),1000),ROW(BD16)))&amp;""</f>
        <v/>
      </c>
      <c r="BG16" s="6" t="str">
        <f t="array" ref="BG16">INDEX(BE:BE,SMALL(IF(BE$1:BE$500&lt;&gt;"",ROW($1:$500),1000),ROW(BE16)))&amp;""</f>
        <v/>
      </c>
      <c r="BI16" s="8" t="s">
        <v>3526</v>
      </c>
      <c r="BJ16" s="8" t="s">
        <v>1743</v>
      </c>
      <c r="BK16" s="8" t="s">
        <v>578</v>
      </c>
      <c r="BL16" s="9">
        <v>0</v>
      </c>
      <c r="BN16" s="8" t="str">
        <f t="shared" si="6"/>
        <v/>
      </c>
      <c r="BO16" s="8" t="str">
        <f>IF(AND(VLOOKUP(BK16,查询!$C$8:$E$15,3,FALSE)="启用",$B$1=BL16),BJ16,"")</f>
        <v/>
      </c>
      <c r="BP16" s="6" t="str">
        <f t="array" ref="BP16">INDEX(BN:BN,SMALL(IF(BN$1:BN$500&lt;&gt;"",ROW($1:$500),1000),ROW(BN16)))&amp;""</f>
        <v>Earthbind</v>
      </c>
      <c r="BQ16" s="6" t="str">
        <f t="array" ref="BQ16">INDEX(BO:BO,SMALL(IF(BO$1:BO$500&lt;&gt;"",ROW($1:$500),1000),ROW(BO16)))&amp;""</f>
        <v>地缚</v>
      </c>
      <c r="BS16" s="8" t="s">
        <v>1950</v>
      </c>
      <c r="BT16" s="8" t="s">
        <v>1298</v>
      </c>
      <c r="BU16" s="8" t="s">
        <v>1249</v>
      </c>
      <c r="BV16" s="9">
        <v>1</v>
      </c>
      <c r="BX16" s="8" t="str">
        <f t="shared" si="7"/>
        <v/>
      </c>
      <c r="BY16" s="8" t="str">
        <f>IF(AND(VLOOKUP(BU16,查询!$C$8:$E$15,3,FALSE)="启用",$B$1=BV16),BT16,"")</f>
        <v/>
      </c>
      <c r="BZ16" s="6" t="str">
        <f t="array" ref="BZ16">INDEX(BX:BX,SMALL(IF(BX$1:BX$500&lt;&gt;"",ROW($1:$500),1000),ROW(BX16)))&amp;""</f>
        <v>See Invisibility</v>
      </c>
      <c r="CA16" s="6" t="str">
        <f t="array" ref="CA16">INDEX(BY:BY,SMALL(IF(BY$1:BY$500&lt;&gt;"",ROW($1:$500),1000),ROW(BY16)))&amp;""</f>
        <v>识破隐形</v>
      </c>
    </row>
    <row r="17" spans="1:79">
      <c r="A17" s="8" t="s">
        <v>3615</v>
      </c>
      <c r="B17" s="8" t="s">
        <v>1360</v>
      </c>
      <c r="C17" s="8" t="s">
        <v>1248</v>
      </c>
      <c r="D17" s="9">
        <v>0</v>
      </c>
      <c r="F17" s="8" t="str">
        <f t="shared" si="0"/>
        <v/>
      </c>
      <c r="G17" s="8" t="str">
        <f>IF(AND(VLOOKUP(C17,查询!$C$8:$E$15,3,FALSE)="启用",$B$1=D17),B17,"")</f>
        <v/>
      </c>
      <c r="H17" s="6" t="str">
        <f t="array" ref="H17">INDEX(F:F,SMALL(IF($F$1:$F$500&lt;&gt;"",ROW($1:$500),1000),ROW(F17)))&amp;""</f>
        <v>Enlarge/Reduce</v>
      </c>
      <c r="I17" s="6" t="str">
        <f t="array" ref="I17">INDEX(G:G,SMALL(IF($F$1:$F$500&lt;&gt;"",ROW($1:$500),1000),ROW(G17)))&amp;""</f>
        <v>变巨/缩小术</v>
      </c>
      <c r="K17" s="8" t="s">
        <v>3615</v>
      </c>
      <c r="L17" s="8" t="s">
        <v>1360</v>
      </c>
      <c r="M17" s="8" t="s">
        <v>1248</v>
      </c>
      <c r="N17" s="9">
        <v>0</v>
      </c>
      <c r="P17" s="8" t="str">
        <f t="shared" si="1"/>
        <v/>
      </c>
      <c r="Q17" s="8" t="str">
        <f>IF(AND(VLOOKUP(M17,查询!$C$8:$E$15,3,FALSE)="启用",$B$1=N17),L17,"")</f>
        <v/>
      </c>
      <c r="R17" s="6" t="str">
        <f t="array" ref="R17">INDEX(P:P,SMALL(IF(P$1:P$500&lt;&gt;"",ROW($1:$500),1000),ROW(P17)))&amp;""</f>
        <v>Levitate</v>
      </c>
      <c r="S17" s="6" t="str">
        <f t="array" ref="S17">INDEX(Q:Q,SMALL(IF(Q$1:Q$500&lt;&gt;"",ROW($1:$500),1000),ROW(Q17)))&amp;""</f>
        <v>浮空术</v>
      </c>
      <c r="U17" s="8" t="s">
        <v>3595</v>
      </c>
      <c r="V17" s="8" t="s">
        <v>1387</v>
      </c>
      <c r="W17" s="8" t="s">
        <v>494</v>
      </c>
      <c r="X17" s="9">
        <v>0</v>
      </c>
      <c r="Z17" s="8" t="str">
        <f t="shared" si="2"/>
        <v/>
      </c>
      <c r="AA17" s="8" t="str">
        <f>IF(AND(VLOOKUP(W17,查询!$C$8:$E$15,3,FALSE)="启用",$B$1=X17),V17,"")</f>
        <v/>
      </c>
      <c r="AB17" s="6" t="str">
        <f t="array" ref="AB17">INDEX(Z:Z,SMALL(IF(Z$1:Z$500&lt;&gt;"",ROW($1:$500),1000),ROW(Z17)))&amp;""</f>
        <v>Earthbind</v>
      </c>
      <c r="AC17" s="6" t="str">
        <f t="array" ref="AC17">INDEX(AA:AA,SMALL(IF(AA$1:AA$500&lt;&gt;"",ROW($1:$500),1000),ROW(AA17)))&amp;""</f>
        <v>地缚</v>
      </c>
      <c r="AE17" s="8" t="s">
        <v>2172</v>
      </c>
      <c r="AF17" s="8" t="s">
        <v>1578</v>
      </c>
      <c r="AG17" s="8" t="s">
        <v>494</v>
      </c>
      <c r="AH17" s="9">
        <v>1</v>
      </c>
      <c r="AJ17" s="8" t="str">
        <f t="shared" si="3"/>
        <v/>
      </c>
      <c r="AK17" s="8" t="str">
        <f>IF(AND(VLOOKUP(AG17,查询!$C$8:$E$15,3,FALSE)="启用",$B$1=AH17),AF17,"")</f>
        <v/>
      </c>
      <c r="AL17" s="6" t="str">
        <f t="array" ref="AL17">INDEX(AJ:AJ,SMALL(IF(AJ$1:AJ$500&lt;&gt;"",ROW($1:$500),1000),ROW(AJ17)))&amp;""</f>
        <v>Spiritual Weapon</v>
      </c>
      <c r="AM17" s="6" t="str">
        <f t="array" ref="AM17">INDEX(AK:AK,SMALL(IF(AK$1:AK$500&lt;&gt;"",ROW($1:$500),1000),ROW(AK17)))&amp;""</f>
        <v>灵体武器</v>
      </c>
      <c r="AO17" s="8" t="s">
        <v>2189</v>
      </c>
      <c r="AP17" s="8" t="s">
        <v>1600</v>
      </c>
      <c r="AQ17" s="8" t="s">
        <v>494</v>
      </c>
      <c r="AR17" s="8">
        <v>1</v>
      </c>
      <c r="AT17" s="8" t="str">
        <f t="shared" si="4"/>
        <v/>
      </c>
      <c r="AU17" s="8" t="str">
        <f>IF(AND(VLOOKUP(AQ17,查询!$C$8:$E$15,3,FALSE)="启用",$B$1=AR17),AP17,"")</f>
        <v/>
      </c>
      <c r="AV17" s="6" t="str">
        <f t="array" ref="AV17">INDEX(AT:AT,SMALL(IF(AT$1:AT$500&lt;&gt;"",ROW($1:$500),1000),ROW(AT17)))&amp;""</f>
        <v/>
      </c>
      <c r="AW17" s="6" t="str">
        <f t="array" ref="AW17">INDEX(AU:AU,SMALL(IF(AU$1:AU$500&lt;&gt;"",ROW($1:$500),1000),ROW(AU17)))&amp;""</f>
        <v/>
      </c>
      <c r="AY17" s="8" t="s">
        <v>2222</v>
      </c>
      <c r="AZ17" s="8" t="s">
        <v>1676</v>
      </c>
      <c r="BA17" s="8" t="s">
        <v>494</v>
      </c>
      <c r="BB17" s="8">
        <v>1</v>
      </c>
      <c r="BD17" s="8" t="str">
        <f t="shared" si="5"/>
        <v/>
      </c>
      <c r="BE17" s="8" t="str">
        <f>IF(AND(VLOOKUP(BA17,查询!$C$8:$E$15,3,FALSE)="启用",$B$1=BB17),AZ17,"")</f>
        <v/>
      </c>
      <c r="BF17" s="6" t="str">
        <f t="array" ref="BF17">INDEX(BD:BD,SMALL(IF(BD$1:BD$500&lt;&gt;"",ROW($1:$500),1000),ROW(BD17)))&amp;""</f>
        <v/>
      </c>
      <c r="BG17" s="6" t="str">
        <f t="array" ref="BG17">INDEX(BE:BE,SMALL(IF(BE$1:BE$500&lt;&gt;"",ROW($1:$500),1000),ROW(BE17)))&amp;""</f>
        <v/>
      </c>
      <c r="BI17" s="8" t="s">
        <v>3526</v>
      </c>
      <c r="BJ17" s="8" t="s">
        <v>1342</v>
      </c>
      <c r="BK17" s="8" t="s">
        <v>1249</v>
      </c>
      <c r="BL17" s="9">
        <v>0</v>
      </c>
      <c r="BN17" s="8" t="str">
        <f t="shared" si="6"/>
        <v/>
      </c>
      <c r="BO17" s="8" t="str">
        <f>IF(AND(VLOOKUP(BK17,查询!$C$8:$E$15,3,FALSE)="启用",$B$1=BL17),BJ17,"")</f>
        <v/>
      </c>
      <c r="BP17" s="6" t="str">
        <f t="array" ref="BP17">INDEX(BN:BN,SMALL(IF(BN$1:BN$500&lt;&gt;"",ROW($1:$500),1000),ROW(BN17)))&amp;""</f>
        <v>Earthbind</v>
      </c>
      <c r="BQ17" s="6" t="str">
        <f t="array" ref="BQ17">INDEX(BO:BO,SMALL(IF(BO$1:BO$500&lt;&gt;"",ROW($1:$500),1000),ROW(BO17)))&amp;""</f>
        <v>地缚</v>
      </c>
      <c r="BS17" s="8" t="s">
        <v>2067</v>
      </c>
      <c r="BT17" s="8" t="s">
        <v>1436</v>
      </c>
      <c r="BU17" s="8" t="s">
        <v>494</v>
      </c>
      <c r="BV17" s="9">
        <v>1</v>
      </c>
      <c r="BX17" s="8" t="str">
        <f t="shared" si="7"/>
        <v/>
      </c>
      <c r="BY17" s="8" t="str">
        <f>IF(AND(VLOOKUP(BU17,查询!$C$8:$E$15,3,FALSE)="启用",$B$1=BV17),BT17,"")</f>
        <v/>
      </c>
      <c r="BZ17" s="6" t="str">
        <f t="array" ref="BZ17">INDEX(BX:BX,SMALL(IF(BX$1:BX$500&lt;&gt;"",ROW($1:$500),1000),ROW(BX17)))&amp;""</f>
        <v>Silence</v>
      </c>
      <c r="CA17" s="6" t="str">
        <f t="array" ref="CA17">INDEX(BY:BY,SMALL(IF(BY$1:BY$500&lt;&gt;"",ROW($1:$500),1000),ROW(BY17)))&amp;""</f>
        <v>沉默术</v>
      </c>
    </row>
    <row r="18" spans="1:79">
      <c r="A18" s="8" t="s">
        <v>3617</v>
      </c>
      <c r="B18" s="8" t="s">
        <v>1361</v>
      </c>
      <c r="C18" s="8" t="s">
        <v>1248</v>
      </c>
      <c r="D18" s="9">
        <v>0</v>
      </c>
      <c r="F18" s="8" t="str">
        <f t="shared" si="0"/>
        <v/>
      </c>
      <c r="G18" s="8" t="str">
        <f>IF(AND(VLOOKUP(C18,查询!$C$8:$E$15,3,FALSE)="启用",$B$1=D18),B18,"")</f>
        <v/>
      </c>
      <c r="H18" s="6" t="str">
        <f t="array" ref="H18">INDEX(F:F,SMALL(IF($F$1:$F$500&lt;&gt;"",ROW($1:$500),1000),ROW(F18)))&amp;""</f>
        <v>Levitate</v>
      </c>
      <c r="I18" s="6" t="str">
        <f t="array" ref="I18">INDEX(G:G,SMALL(IF($F$1:$F$500&lt;&gt;"",ROW($1:$500),1000),ROW(G18)))&amp;""</f>
        <v>浮空术</v>
      </c>
      <c r="K18" s="8" t="s">
        <v>3617</v>
      </c>
      <c r="L18" s="8" t="s">
        <v>1361</v>
      </c>
      <c r="M18" s="8" t="s">
        <v>1248</v>
      </c>
      <c r="N18" s="9">
        <v>0</v>
      </c>
      <c r="P18" s="8" t="str">
        <f t="shared" si="1"/>
        <v/>
      </c>
      <c r="Q18" s="8" t="str">
        <f>IF(AND(VLOOKUP(M18,查询!$C$8:$E$15,3,FALSE)="启用",$B$1=N18),L18,"")</f>
        <v/>
      </c>
      <c r="R18" s="6" t="str">
        <f t="array" ref="R18">INDEX(P:P,SMALL(IF(P$1:P$500&lt;&gt;"",ROW($1:$500),1000),ROW(P18)))&amp;""</f>
        <v>Web</v>
      </c>
      <c r="S18" s="6" t="str">
        <f t="array" ref="S18">INDEX(Q:Q,SMALL(IF(Q$1:Q$500&lt;&gt;"",ROW($1:$500),1000),ROW(Q18)))&amp;""</f>
        <v>蛛网术</v>
      </c>
      <c r="U18" s="8" t="s">
        <v>3591</v>
      </c>
      <c r="V18" s="8" t="s">
        <v>1304</v>
      </c>
      <c r="W18" s="8" t="s">
        <v>1249</v>
      </c>
      <c r="X18" s="9">
        <v>0</v>
      </c>
      <c r="Z18" s="8" t="str">
        <f t="shared" si="2"/>
        <v/>
      </c>
      <c r="AA18" s="8" t="str">
        <f>IF(AND(VLOOKUP(W18,查询!$C$8:$E$15,3,FALSE)="启用",$B$1=X18),V18,"")</f>
        <v/>
      </c>
      <c r="AB18" s="6" t="str">
        <f t="array" ref="AB18">INDEX(Z:Z,SMALL(IF(Z$1:Z$500&lt;&gt;"",ROW($1:$500),1000),ROW(Z18)))&amp;""</f>
        <v/>
      </c>
      <c r="AC18" s="6" t="str">
        <f t="array" ref="AC18">INDEX(AA:AA,SMALL(IF(AA$1:AA$500&lt;&gt;"",ROW($1:$500),1000),ROW(AA18)))&amp;""</f>
        <v/>
      </c>
      <c r="AE18" s="8" t="s">
        <v>2176</v>
      </c>
      <c r="AF18" s="8" t="s">
        <v>1579</v>
      </c>
      <c r="AG18" s="8" t="s">
        <v>494</v>
      </c>
      <c r="AH18" s="9">
        <v>1</v>
      </c>
      <c r="AJ18" s="8" t="str">
        <f t="shared" si="3"/>
        <v/>
      </c>
      <c r="AK18" s="8" t="str">
        <f>IF(AND(VLOOKUP(AG18,查询!$C$8:$E$15,3,FALSE)="启用",$B$1=AH18),AF18,"")</f>
        <v/>
      </c>
      <c r="AL18" s="6" t="str">
        <f t="array" ref="AL18">INDEX(AJ:AJ,SMALL(IF(AJ$1:AJ$500&lt;&gt;"",ROW($1:$500),1000),ROW(AJ18)))&amp;""</f>
        <v>Warding Bond</v>
      </c>
      <c r="AM18" s="6" t="str">
        <f t="array" ref="AM18">INDEX(AK:AK,SMALL(IF(AK$1:AK$500&lt;&gt;"",ROW($1:$500),1000),ROW(AK18)))&amp;""</f>
        <v>守护之链</v>
      </c>
      <c r="AO18" s="8" t="s">
        <v>2369</v>
      </c>
      <c r="AP18" s="8" t="s">
        <v>1488</v>
      </c>
      <c r="AQ18" s="8" t="s">
        <v>494</v>
      </c>
      <c r="AR18" s="8">
        <v>2</v>
      </c>
      <c r="AT18" s="8" t="str">
        <f t="shared" si="4"/>
        <v>Zone of Truth</v>
      </c>
      <c r="AU18" s="8" t="str">
        <f>IF(AND(VLOOKUP(AQ18,查询!$C$8:$E$15,3,FALSE)="启用",$B$1=AR18),AP18,"")</f>
        <v>诚实之域</v>
      </c>
      <c r="AV18" s="6" t="str">
        <f t="array" ref="AV18">INDEX(AT:AT,SMALL(IF(AT$1:AT$500&lt;&gt;"",ROW($1:$500),1000),ROW(AT18)))&amp;""</f>
        <v/>
      </c>
      <c r="AW18" s="6" t="str">
        <f t="array" ref="AW18">INDEX(AU:AU,SMALL(IF(AU$1:AU$500&lt;&gt;"",ROW($1:$500),1000),ROW(AU18)))&amp;""</f>
        <v/>
      </c>
      <c r="AY18" s="8" t="s">
        <v>1963</v>
      </c>
      <c r="AZ18" s="8" t="s">
        <v>1309</v>
      </c>
      <c r="BA18" s="8" t="s">
        <v>578</v>
      </c>
      <c r="BB18" s="8">
        <v>1</v>
      </c>
      <c r="BD18" s="8" t="str">
        <f t="shared" si="5"/>
        <v/>
      </c>
      <c r="BE18" s="8" t="str">
        <f>IF(AND(VLOOKUP(BA18,查询!$C$8:$E$15,3,FALSE)="启用",$B$1=BB18),AZ18,"")</f>
        <v/>
      </c>
      <c r="BF18" s="6" t="str">
        <f t="array" ref="BF18">INDEX(BD:BD,SMALL(IF(BD$1:BD$500&lt;&gt;"",ROW($1:$500),1000),ROW(BD18)))&amp;""</f>
        <v/>
      </c>
      <c r="BG18" s="6" t="str">
        <f t="array" ref="BG18">INDEX(BE:BE,SMALL(IF(BE$1:BE$500&lt;&gt;"",ROW($1:$500),1000),ROW(BE18)))&amp;""</f>
        <v/>
      </c>
      <c r="BI18" s="8" t="s">
        <v>3528</v>
      </c>
      <c r="BJ18" s="8" t="s">
        <v>1745</v>
      </c>
      <c r="BK18" s="8" t="s">
        <v>578</v>
      </c>
      <c r="BL18" s="9">
        <v>0</v>
      </c>
      <c r="BN18" s="8" t="str">
        <f t="shared" si="6"/>
        <v/>
      </c>
      <c r="BO18" s="8" t="str">
        <f>IF(AND(VLOOKUP(BK18,查询!$C$8:$E$15,3,FALSE)="启用",$B$1=BL18),BJ18,"")</f>
        <v/>
      </c>
      <c r="BP18" s="6" t="str">
        <f t="array" ref="BP18">INDEX(BN:BN,SMALL(IF(BN$1:BN$500&lt;&gt;"",ROW($1:$500),1000),ROW(BN18)))&amp;""</f>
        <v>Dust Devil</v>
      </c>
      <c r="BQ18" s="6" t="str">
        <f t="array" ref="BQ18">INDEX(BO:BO,SMALL(IF(BO$1:BO$500&lt;&gt;"",ROW($1:$500),1000),ROW(BO18)))&amp;""</f>
        <v>尘土恶魔E</v>
      </c>
      <c r="BS18" s="8" t="s">
        <v>2075</v>
      </c>
      <c r="BT18" s="8" t="s">
        <v>1438</v>
      </c>
      <c r="BU18" s="8" t="s">
        <v>494</v>
      </c>
      <c r="BV18" s="9">
        <v>1</v>
      </c>
      <c r="BX18" s="8" t="str">
        <f t="shared" si="7"/>
        <v/>
      </c>
      <c r="BY18" s="8" t="str">
        <f>IF(AND(VLOOKUP(BU18,查询!$C$8:$E$15,3,FALSE)="启用",$B$1=BV18),BT18,"")</f>
        <v/>
      </c>
      <c r="BZ18" s="6" t="str">
        <f t="array" ref="BZ18">INDEX(BX:BX,SMALL(IF(BX$1:BX$500&lt;&gt;"",ROW($1:$500),1000),ROW(BX18)))&amp;""</f>
        <v>Blindness/Deafness</v>
      </c>
      <c r="CA18" s="6" t="str">
        <f t="array" ref="CA18">INDEX(BY:BY,SMALL(IF(BY$1:BY$500&lt;&gt;"",ROW($1:$500),1000),ROW(BY18)))&amp;""</f>
        <v>目盲/耳聋术</v>
      </c>
    </row>
    <row r="19" spans="1:79">
      <c r="A19" s="8" t="s">
        <v>3606</v>
      </c>
      <c r="B19" s="8" t="s">
        <v>1753</v>
      </c>
      <c r="C19" s="8" t="s">
        <v>578</v>
      </c>
      <c r="D19" s="9">
        <v>0</v>
      </c>
      <c r="F19" s="8" t="str">
        <f t="shared" si="0"/>
        <v/>
      </c>
      <c r="G19" s="8" t="str">
        <f>IF(AND(VLOOKUP(C19,查询!$C$8:$E$15,3,FALSE)="启用",$B$1=D19),B19,"")</f>
        <v/>
      </c>
      <c r="H19" s="6" t="str">
        <f t="array" ref="H19">INDEX(F:F,SMALL(IF($F$1:$F$500&lt;&gt;"",ROW($1:$500),1000),ROW(F19)))&amp;""</f>
        <v>Web</v>
      </c>
      <c r="I19" s="6" t="str">
        <f t="array" ref="I19">INDEX(G:G,SMALL(IF($F$1:$F$500&lt;&gt;"",ROW($1:$500),1000),ROW(G19)))&amp;""</f>
        <v>蛛网术</v>
      </c>
      <c r="K19" s="8" t="s">
        <v>3606</v>
      </c>
      <c r="L19" s="8" t="s">
        <v>1753</v>
      </c>
      <c r="M19" s="8" t="s">
        <v>578</v>
      </c>
      <c r="N19" s="9">
        <v>0</v>
      </c>
      <c r="P19" s="8" t="str">
        <f t="shared" si="1"/>
        <v/>
      </c>
      <c r="Q19" s="8" t="str">
        <f>IF(AND(VLOOKUP(M19,查询!$C$8:$E$15,3,FALSE)="启用",$B$1=N19),L19,"")</f>
        <v/>
      </c>
      <c r="R19" s="6" t="str">
        <f t="array" ref="R19">INDEX(P:P,SMALL(IF(P$1:P$500&lt;&gt;"",ROW($1:$500),1000),ROW(P19)))&amp;""</f>
        <v>Pyrotechnics</v>
      </c>
      <c r="S19" s="6" t="str">
        <f t="array" ref="S19">INDEX(Q:Q,SMALL(IF(Q$1:Q$500&lt;&gt;"",ROW($1:$500),1000),ROW(Q19)))&amp;""</f>
        <v>烟火E</v>
      </c>
      <c r="U19" s="8" t="s">
        <v>3587</v>
      </c>
      <c r="V19" s="8" t="s">
        <v>1456</v>
      </c>
      <c r="W19" s="8" t="s">
        <v>494</v>
      </c>
      <c r="X19" s="9">
        <v>0</v>
      </c>
      <c r="Z19" s="8" t="str">
        <f t="shared" si="2"/>
        <v/>
      </c>
      <c r="AA19" s="8" t="str">
        <f>IF(AND(VLOOKUP(W19,查询!$C$8:$E$15,3,FALSE)="启用",$B$1=X19),V19,"")</f>
        <v/>
      </c>
      <c r="AB19" s="6" t="str">
        <f t="array" ref="AB19">INDEX(Z:Z,SMALL(IF(Z$1:Z$500&lt;&gt;"",ROW($1:$500),1000),ROW(Z19)))&amp;""</f>
        <v/>
      </c>
      <c r="AC19" s="6" t="str">
        <f t="array" ref="AC19">INDEX(AA:AA,SMALL(IF(AA$1:AA$500&lt;&gt;"",ROW($1:$500),1000),ROW(AA19)))&amp;""</f>
        <v/>
      </c>
      <c r="AE19" s="8" t="s">
        <v>2178</v>
      </c>
      <c r="AF19" s="8" t="s">
        <v>1582</v>
      </c>
      <c r="AG19" s="8" t="s">
        <v>494</v>
      </c>
      <c r="AH19" s="9">
        <v>1</v>
      </c>
      <c r="AJ19" s="8" t="str">
        <f t="shared" si="3"/>
        <v/>
      </c>
      <c r="AK19" s="8" t="str">
        <f>IF(AND(VLOOKUP(AG19,查询!$C$8:$E$15,3,FALSE)="启用",$B$1=AH19),AF19,"")</f>
        <v/>
      </c>
      <c r="AL19" s="6" t="str">
        <f t="array" ref="AL19">INDEX(AJ:AJ,SMALL(IF(AJ$1:AJ$500&lt;&gt;"",ROW($1:$500),1000),ROW(AJ19)))&amp;""</f>
        <v/>
      </c>
      <c r="AM19" s="6" t="str">
        <f t="array" ref="AM19">INDEX(AK:AK,SMALL(IF(AK$1:AK$500&lt;&gt;"",ROW($1:$500),1000),ROW(AK19)))&amp;""</f>
        <v/>
      </c>
      <c r="AO19" s="8" t="s">
        <v>2382</v>
      </c>
      <c r="AP19" s="8" t="s">
        <v>1501</v>
      </c>
      <c r="AQ19" s="8" t="s">
        <v>494</v>
      </c>
      <c r="AR19" s="8">
        <v>2</v>
      </c>
      <c r="AT19" s="8" t="str">
        <f t="shared" si="4"/>
        <v>Locate Object</v>
      </c>
      <c r="AU19" s="8" t="str">
        <f>IF(AND(VLOOKUP(AQ19,查询!$C$8:$E$15,3,FALSE)="启用",$B$1=AR19),AP19,"")</f>
        <v>物件定位术</v>
      </c>
      <c r="AV19" s="6" t="str">
        <f t="array" ref="AV19">INDEX(AT:AT,SMALL(IF(AT$1:AT$500&lt;&gt;"",ROW($1:$500),1000),ROW(AT19)))&amp;""</f>
        <v/>
      </c>
      <c r="AW19" s="6" t="str">
        <f t="array" ref="AW19">INDEX(AU:AU,SMALL(IF(AU$1:AU$500&lt;&gt;"",ROW($1:$500),1000),ROW(AU19)))&amp;""</f>
        <v/>
      </c>
      <c r="AY19" s="8" t="s">
        <v>1983</v>
      </c>
      <c r="AZ19" s="8" t="s">
        <v>1757</v>
      </c>
      <c r="BA19" s="8" t="s">
        <v>578</v>
      </c>
      <c r="BB19" s="8">
        <v>1</v>
      </c>
      <c r="BD19" s="8" t="str">
        <f t="shared" si="5"/>
        <v/>
      </c>
      <c r="BE19" s="8" t="str">
        <f>IF(AND(VLOOKUP(BA19,查询!$C$8:$E$15,3,FALSE)="启用",$B$1=BB19),AZ19,"")</f>
        <v/>
      </c>
      <c r="BF19" s="6" t="str">
        <f t="array" ref="BF19">INDEX(BD:BD,SMALL(IF(BD$1:BD$500&lt;&gt;"",ROW($1:$500),1000),ROW(BD19)))&amp;""</f>
        <v/>
      </c>
      <c r="BG19" s="6" t="str">
        <f t="array" ref="BG19">INDEX(BE:BE,SMALL(IF(BE$1:BE$500&lt;&gt;"",ROW($1:$500),1000),ROW(BE19)))&amp;""</f>
        <v/>
      </c>
      <c r="BI19" s="8" t="s">
        <v>3528</v>
      </c>
      <c r="BJ19" s="8" t="s">
        <v>1344</v>
      </c>
      <c r="BK19" s="8" t="s">
        <v>1249</v>
      </c>
      <c r="BL19" s="9">
        <v>0</v>
      </c>
      <c r="BN19" s="8" t="str">
        <f t="shared" si="6"/>
        <v/>
      </c>
      <c r="BO19" s="8" t="str">
        <f>IF(AND(VLOOKUP(BK19,查询!$C$8:$E$15,3,FALSE)="启用",$B$1=BL19),BJ19,"")</f>
        <v/>
      </c>
      <c r="BP19" s="6" t="str">
        <f t="array" ref="BP19">INDEX(BN:BN,SMALL(IF(BN$1:BN$500&lt;&gt;"",ROW($1:$500),1000),ROW(BN19)))&amp;""</f>
        <v>Dust Devil</v>
      </c>
      <c r="BQ19" s="6" t="str">
        <f t="array" ref="BQ19">INDEX(BO:BO,SMALL(IF(BO$1:BO$500&lt;&gt;"",ROW($1:$500),1000),ROW(BO19)))&amp;""</f>
        <v>尘土恶魔</v>
      </c>
      <c r="BS19" s="8" t="s">
        <v>2081</v>
      </c>
      <c r="BT19" s="8" t="s">
        <v>1443</v>
      </c>
      <c r="BU19" s="8" t="s">
        <v>494</v>
      </c>
      <c r="BV19" s="9">
        <v>1</v>
      </c>
      <c r="BX19" s="8" t="str">
        <f t="shared" si="7"/>
        <v/>
      </c>
      <c r="BY19" s="8" t="str">
        <f>IF(AND(VLOOKUP(BU19,查询!$C$8:$E$15,3,FALSE)="启用",$B$1=BV19),BT19,"")</f>
        <v/>
      </c>
      <c r="BZ19" s="6" t="str">
        <f t="array" ref="BZ19">INDEX(BX:BX,SMALL(IF(BX$1:BX$500&lt;&gt;"",ROW($1:$500),1000),ROW(BX19)))&amp;""</f>
        <v>Zone of Truth</v>
      </c>
      <c r="CA19" s="6" t="str">
        <f t="array" ref="CA19">INDEX(BY:BY,SMALL(IF(BY$1:BY$500&lt;&gt;"",ROW($1:$500),1000),ROW(BY19)))&amp;""</f>
        <v>诚实之域</v>
      </c>
    </row>
    <row r="20" spans="1:79">
      <c r="A20" s="8" t="s">
        <v>3606</v>
      </c>
      <c r="B20" s="8" t="s">
        <v>1352</v>
      </c>
      <c r="C20" s="8" t="s">
        <v>1249</v>
      </c>
      <c r="D20" s="9">
        <v>0</v>
      </c>
      <c r="F20" s="8" t="str">
        <f t="shared" si="0"/>
        <v/>
      </c>
      <c r="G20" s="8" t="str">
        <f>IF(AND(VLOOKUP(C20,查询!$C$8:$E$15,3,FALSE)="启用",$B$1=D20),B20,"")</f>
        <v/>
      </c>
      <c r="H20" s="6" t="str">
        <f t="array" ref="H20">INDEX(F:F,SMALL(IF($F$1:$F$500&lt;&gt;"",ROW($1:$500),1000),ROW(F20)))&amp;""</f>
        <v>Pyrotechnics</v>
      </c>
      <c r="I20" s="6" t="str">
        <f t="array" ref="I20">INDEX(G:G,SMALL(IF($F$1:$F$500&lt;&gt;"",ROW($1:$500),1000),ROW(G20)))&amp;""</f>
        <v>烟火E</v>
      </c>
      <c r="K20" s="8" t="s">
        <v>3606</v>
      </c>
      <c r="L20" s="8" t="s">
        <v>1352</v>
      </c>
      <c r="M20" s="8" t="s">
        <v>1249</v>
      </c>
      <c r="N20" s="9">
        <v>0</v>
      </c>
      <c r="P20" s="8" t="str">
        <f t="shared" si="1"/>
        <v/>
      </c>
      <c r="Q20" s="8" t="str">
        <f>IF(AND(VLOOKUP(M20,查询!$C$8:$E$15,3,FALSE)="启用",$B$1=N20),L20,"")</f>
        <v/>
      </c>
      <c r="R20" s="6" t="str">
        <f t="array" ref="R20">INDEX(P:P,SMALL(IF(P$1:P$500&lt;&gt;"",ROW($1:$500),1000),ROW(P20)))&amp;""</f>
        <v>Pyrotechnics</v>
      </c>
      <c r="S20" s="6" t="str">
        <f t="array" ref="S20">INDEX(Q:Q,SMALL(IF(Q$1:Q$500&lt;&gt;"",ROW($1:$500),1000),ROW(Q20)))&amp;""</f>
        <v>烟火</v>
      </c>
      <c r="U20" s="8" t="s">
        <v>3580</v>
      </c>
      <c r="V20" s="8" t="s">
        <v>1449</v>
      </c>
      <c r="W20" s="8" t="s">
        <v>494</v>
      </c>
      <c r="X20" s="9">
        <v>0</v>
      </c>
      <c r="Z20" s="8" t="str">
        <f t="shared" si="2"/>
        <v/>
      </c>
      <c r="AA20" s="8" t="str">
        <f>IF(AND(VLOOKUP(W20,查询!$C$8:$E$15,3,FALSE)="启用",$B$1=X20),V20,"")</f>
        <v/>
      </c>
      <c r="AB20" s="6" t="str">
        <f t="array" ref="AB20">INDEX(Z:Z,SMALL(IF(Z$1:Z$500&lt;&gt;"",ROW($1:$500),1000),ROW(Z20)))&amp;""</f>
        <v/>
      </c>
      <c r="AC20" s="6" t="str">
        <f t="array" ref="AC20">INDEX(AA:AA,SMALL(IF(AA$1:AA$500&lt;&gt;"",ROW($1:$500),1000),ROW(AA20)))&amp;""</f>
        <v/>
      </c>
      <c r="AE20" s="8" t="s">
        <v>2180</v>
      </c>
      <c r="AF20" s="8" t="s">
        <v>1585</v>
      </c>
      <c r="AG20" s="8" t="s">
        <v>494</v>
      </c>
      <c r="AH20" s="9">
        <v>1</v>
      </c>
      <c r="AJ20" s="8" t="str">
        <f t="shared" si="3"/>
        <v/>
      </c>
      <c r="AK20" s="8" t="str">
        <f>IF(AND(VLOOKUP(AG20,查询!$C$8:$E$15,3,FALSE)="启用",$B$1=AH20),AF20,"")</f>
        <v/>
      </c>
      <c r="AL20" s="6" t="str">
        <f t="array" ref="AL20">INDEX(AJ:AJ,SMALL(IF(AJ$1:AJ$500&lt;&gt;"",ROW($1:$500),1000),ROW(AJ20)))&amp;""</f>
        <v/>
      </c>
      <c r="AM20" s="6" t="str">
        <f t="array" ref="AM20">INDEX(AK:AK,SMALL(IF(AK$1:AK$500&lt;&gt;"",ROW($1:$500),1000),ROW(AK20)))&amp;""</f>
        <v/>
      </c>
      <c r="AO20" s="8" t="s">
        <v>2387</v>
      </c>
      <c r="AP20" s="8" t="s">
        <v>1503</v>
      </c>
      <c r="AQ20" s="8" t="s">
        <v>494</v>
      </c>
      <c r="AR20" s="8">
        <v>2</v>
      </c>
      <c r="AT20" s="8" t="str">
        <f t="shared" si="4"/>
        <v>Lesser Restoration</v>
      </c>
      <c r="AU20" s="8" t="str">
        <f>IF(AND(VLOOKUP(AQ20,查询!$C$8:$E$15,3,FALSE)="启用",$B$1=AR20),AP20,"")</f>
        <v>次级复原术</v>
      </c>
      <c r="AV20" s="6" t="str">
        <f t="array" ref="AV20">INDEX(AT:AT,SMALL(IF(AT$1:AT$500&lt;&gt;"",ROW($1:$500),1000),ROW(AT20)))&amp;""</f>
        <v/>
      </c>
      <c r="AW20" s="6" t="str">
        <f t="array" ref="AW20">INDEX(AU:AU,SMALL(IF(AU$1:AU$500&lt;&gt;"",ROW($1:$500),1000),ROW(AU20)))&amp;""</f>
        <v/>
      </c>
      <c r="AY20" s="8" t="s">
        <v>2226</v>
      </c>
      <c r="AZ20" s="8" t="s">
        <v>1684</v>
      </c>
      <c r="BA20" s="8" t="s">
        <v>494</v>
      </c>
      <c r="BB20" s="8">
        <v>1</v>
      </c>
      <c r="BD20" s="8" t="str">
        <f t="shared" si="5"/>
        <v/>
      </c>
      <c r="BE20" s="8" t="str">
        <f>IF(AND(VLOOKUP(BA20,查询!$C$8:$E$15,3,FALSE)="启用",$B$1=BB20),AZ20,"")</f>
        <v/>
      </c>
      <c r="BF20" s="6" t="str">
        <f t="array" ref="BF20">INDEX(BD:BD,SMALL(IF(BD$1:BD$500&lt;&gt;"",ROW($1:$500),1000),ROW(BD20)))&amp;""</f>
        <v/>
      </c>
      <c r="BG20" s="6" t="str">
        <f t="array" ref="BG20">INDEX(BE:BE,SMALL(IF(BE$1:BE$500&lt;&gt;"",ROW($1:$500),1000),ROW(BE20)))&amp;""</f>
        <v/>
      </c>
      <c r="BI20" s="8" t="s">
        <v>3531</v>
      </c>
      <c r="BJ20" s="8" t="s">
        <v>1746</v>
      </c>
      <c r="BK20" s="8" t="s">
        <v>578</v>
      </c>
      <c r="BL20" s="9">
        <v>0</v>
      </c>
      <c r="BN20" s="8" t="str">
        <f t="shared" si="6"/>
        <v/>
      </c>
      <c r="BO20" s="8" t="str">
        <f>IF(AND(VLOOKUP(BK20,查询!$C$8:$E$15,3,FALSE)="启用",$B$1=BL20),BJ20,"")</f>
        <v/>
      </c>
      <c r="BP20" s="6" t="str">
        <f t="array" ref="BP20">INDEX(BN:BN,SMALL(IF(BN$1:BN$500&lt;&gt;"",ROW($1:$500),1000),ROW(BN20)))&amp;""</f>
        <v>Darkvision</v>
      </c>
      <c r="BQ20" s="6" t="str">
        <f t="array" ref="BQ20">INDEX(BO:BO,SMALL(IF(BO$1:BO$500&lt;&gt;"",ROW($1:$500),1000),ROW(BO20)))&amp;""</f>
        <v>黑暗视觉</v>
      </c>
      <c r="BS20" s="8" t="s">
        <v>2088</v>
      </c>
      <c r="BT20" s="8" t="s">
        <v>1465</v>
      </c>
      <c r="BU20" s="8" t="s">
        <v>494</v>
      </c>
      <c r="BV20" s="9">
        <v>1</v>
      </c>
      <c r="BX20" s="8" t="str">
        <f t="shared" si="7"/>
        <v/>
      </c>
      <c r="BY20" s="8" t="str">
        <f>IF(AND(VLOOKUP(BU20,查询!$C$8:$E$15,3,FALSE)="启用",$B$1=BV20),BT20,"")</f>
        <v/>
      </c>
      <c r="BZ20" s="6" t="str">
        <f t="array" ref="BZ20">INDEX(BX:BX,SMALL(IF(BX$1:BX$500&lt;&gt;"",ROW($1:$500),1000),ROW(BX20)))&amp;""</f>
        <v>Hold Person</v>
      </c>
      <c r="CA20" s="6" t="str">
        <f t="array" ref="CA20">INDEX(BY:BY,SMALL(IF(BY$1:BY$500&lt;&gt;"",ROW($1:$500),1000),ROW(BY20)))&amp;""</f>
        <v>人类定身术</v>
      </c>
    </row>
    <row r="21" spans="1:79">
      <c r="A21" s="8" t="s">
        <v>3599</v>
      </c>
      <c r="B21" s="8" t="s">
        <v>1760</v>
      </c>
      <c r="C21" s="8" t="s">
        <v>578</v>
      </c>
      <c r="D21" s="9">
        <v>0</v>
      </c>
      <c r="F21" s="8" t="str">
        <f t="shared" si="0"/>
        <v/>
      </c>
      <c r="G21" s="8" t="str">
        <f>IF(AND(VLOOKUP(C21,查询!$C$8:$E$15,3,FALSE)="启用",$B$1=D21),B21,"")</f>
        <v/>
      </c>
      <c r="H21" s="6" t="str">
        <f t="array" ref="H21">INDEX(F:F,SMALL(IF($F$1:$F$500&lt;&gt;"",ROW($1:$500),1000),ROW(F21)))&amp;""</f>
        <v>Pyrotechnics</v>
      </c>
      <c r="I21" s="6" t="str">
        <f t="array" ref="I21">INDEX(G:G,SMALL(IF($F$1:$F$500&lt;&gt;"",ROW($1:$500),1000),ROW(G21)))&amp;""</f>
        <v>烟火</v>
      </c>
      <c r="K21" s="8" t="s">
        <v>3599</v>
      </c>
      <c r="L21" s="8" t="s">
        <v>1760</v>
      </c>
      <c r="M21" s="8" t="s">
        <v>578</v>
      </c>
      <c r="N21" s="9">
        <v>0</v>
      </c>
      <c r="P21" s="8" t="str">
        <f t="shared" si="1"/>
        <v/>
      </c>
      <c r="Q21" s="8" t="str">
        <f>IF(AND(VLOOKUP(M21,查询!$C$8:$E$15,3,FALSE)="启用",$B$1=N21),L21,"")</f>
        <v/>
      </c>
      <c r="R21" s="6" t="str">
        <f t="array" ref="R21">INDEX(P:P,SMALL(IF(P$1:P$500&lt;&gt;"",ROW($1:$500),1000),ROW(P21)))&amp;""</f>
        <v>Warding Wind</v>
      </c>
      <c r="S21" s="6" t="str">
        <f t="array" ref="S21">INDEX(Q:Q,SMALL(IF(Q$1:Q$500&lt;&gt;"",ROW($1:$500),1000),ROW(Q21)))&amp;""</f>
        <v>守护之风</v>
      </c>
      <c r="U21" s="8" t="s">
        <v>3573</v>
      </c>
      <c r="V21" s="8" t="s">
        <v>1441</v>
      </c>
      <c r="W21" s="8" t="s">
        <v>494</v>
      </c>
      <c r="X21" s="9">
        <v>0</v>
      </c>
      <c r="Z21" s="8" t="str">
        <f t="shared" si="2"/>
        <v/>
      </c>
      <c r="AA21" s="8" t="str">
        <f>IF(AND(VLOOKUP(W21,查询!$C$8:$E$15,3,FALSE)="启用",$B$1=X21),V21,"")</f>
        <v/>
      </c>
      <c r="AB21" s="6" t="str">
        <f t="array" ref="AB21">INDEX(Z:Z,SMALL(IF(Z$1:Z$500&lt;&gt;"",ROW($1:$500),1000),ROW(Z21)))&amp;""</f>
        <v/>
      </c>
      <c r="AC21" s="6" t="str">
        <f t="array" ref="AC21">INDEX(AA:AA,SMALL(IF(AA$1:AA$500&lt;&gt;"",ROW($1:$500),1000),ROW(AA21)))&amp;""</f>
        <v/>
      </c>
      <c r="AE21" s="8" t="s">
        <v>2184</v>
      </c>
      <c r="AF21" s="8" t="s">
        <v>1598</v>
      </c>
      <c r="AG21" s="8" t="s">
        <v>494</v>
      </c>
      <c r="AH21" s="9">
        <v>1</v>
      </c>
      <c r="AJ21" s="8" t="str">
        <f t="shared" si="3"/>
        <v/>
      </c>
      <c r="AK21" s="8" t="str">
        <f>IF(AND(VLOOKUP(AG21,查询!$C$8:$E$15,3,FALSE)="启用",$B$1=AH21),AF21,"")</f>
        <v/>
      </c>
      <c r="AL21" s="6" t="str">
        <f t="array" ref="AL21">INDEX(AJ:AJ,SMALL(IF(AJ$1:AJ$500&lt;&gt;"",ROW($1:$500),1000),ROW(AJ21)))&amp;""</f>
        <v/>
      </c>
      <c r="AM21" s="6" t="str">
        <f t="array" ref="AM21">INDEX(AK:AK,SMALL(IF(AK$1:AK$500&lt;&gt;"",ROW($1:$500),1000),ROW(AK21)))&amp;""</f>
        <v/>
      </c>
      <c r="AO21" s="8" t="s">
        <v>2410</v>
      </c>
      <c r="AP21" s="8" t="s">
        <v>1552</v>
      </c>
      <c r="AQ21" s="8" t="s">
        <v>494</v>
      </c>
      <c r="AR21" s="8">
        <v>2</v>
      </c>
      <c r="AT21" s="8" t="str">
        <f t="shared" si="4"/>
        <v>Magic Weapon</v>
      </c>
      <c r="AU21" s="8" t="str">
        <f>IF(AND(VLOOKUP(AQ21,查询!$C$8:$E$15,3,FALSE)="启用",$B$1=AR21),AP21,"")</f>
        <v>魔化武器</v>
      </c>
      <c r="AV21" s="6" t="str">
        <f t="array" ref="AV21">INDEX(AT:AT,SMALL(IF(AT$1:AT$500&lt;&gt;"",ROW($1:$500),1000),ROW(AT21)))&amp;""</f>
        <v/>
      </c>
      <c r="AW21" s="6" t="str">
        <f t="array" ref="AW21">INDEX(AU:AU,SMALL(IF(AU$1:AU$500&lt;&gt;"",ROW($1:$500),1000),ROW(AU21)))&amp;""</f>
        <v/>
      </c>
      <c r="AY21" s="8" t="s">
        <v>2285</v>
      </c>
      <c r="AZ21" s="8" t="s">
        <v>1366</v>
      </c>
      <c r="BA21" s="8" t="s">
        <v>494</v>
      </c>
      <c r="BB21" s="8">
        <v>2</v>
      </c>
      <c r="BD21" s="8" t="str">
        <f t="shared" si="5"/>
        <v>Cordon of Arrows</v>
      </c>
      <c r="BE21" s="8" t="str">
        <f>IF(AND(VLOOKUP(BA21,查询!$C$8:$E$15,3,FALSE)="启用",$B$1=BB21),AZ21,"")</f>
        <v>警戒之箭</v>
      </c>
      <c r="BF21" s="6" t="str">
        <f t="array" ref="BF21">INDEX(BD:BD,SMALL(IF(BD$1:BD$500&lt;&gt;"",ROW($1:$500),1000),ROW(BD21)))&amp;""</f>
        <v/>
      </c>
      <c r="BG21" s="6" t="str">
        <f t="array" ref="BG21">INDEX(BE:BE,SMALL(IF(BE$1:BE$500&lt;&gt;"",ROW($1:$500),1000),ROW(BE21)))&amp;""</f>
        <v/>
      </c>
      <c r="BI21" s="8" t="s">
        <v>3531</v>
      </c>
      <c r="BJ21" s="8" t="s">
        <v>1345</v>
      </c>
      <c r="BK21" s="8" t="s">
        <v>1249</v>
      </c>
      <c r="BL21" s="9">
        <v>0</v>
      </c>
      <c r="BN21" s="8" t="str">
        <f t="shared" si="6"/>
        <v/>
      </c>
      <c r="BO21" s="8" t="str">
        <f>IF(AND(VLOOKUP(BK21,查询!$C$8:$E$15,3,FALSE)="启用",$B$1=BL21),BJ21,"")</f>
        <v/>
      </c>
      <c r="BP21" s="6" t="str">
        <f t="array" ref="BP21">INDEX(BN:BN,SMALL(IF(BN$1:BN$500&lt;&gt;"",ROW($1:$500),1000),ROW(BN21)))&amp;""</f>
        <v>Barkskin</v>
      </c>
      <c r="BQ21" s="6" t="str">
        <f t="array" ref="BQ21">INDEX(BO:BO,SMALL(IF(BO$1:BO$500&lt;&gt;"",ROW($1:$500),1000),ROW(BO21)))&amp;""</f>
        <v>树肤术</v>
      </c>
      <c r="BS21" s="8" t="s">
        <v>2091</v>
      </c>
      <c r="BT21" s="8" t="s">
        <v>1467</v>
      </c>
      <c r="BU21" s="8" t="s">
        <v>494</v>
      </c>
      <c r="BV21" s="9">
        <v>1</v>
      </c>
      <c r="BX21" s="8" t="str">
        <f t="shared" si="7"/>
        <v/>
      </c>
      <c r="BY21" s="8" t="str">
        <f>IF(AND(VLOOKUP(BU21,查询!$C$8:$E$15,3,FALSE)="启用",$B$1=BV21),BT21,"")</f>
        <v/>
      </c>
      <c r="BZ21" s="6" t="str">
        <f t="array" ref="BZ21">INDEX(BX:BX,SMALL(IF(BX$1:BX$500&lt;&gt;"",ROW($1:$500),1000),ROW(BX21)))&amp;""</f>
        <v>Enhance Ability</v>
      </c>
      <c r="CA21" s="6" t="str">
        <f t="array" ref="CA21">INDEX(BY:BY,SMALL(IF(BY$1:BY$500&lt;&gt;"",ROW($1:$500),1000),ROW(BY21)))&amp;""</f>
        <v>强化属性</v>
      </c>
    </row>
    <row r="22" spans="1:79">
      <c r="A22" s="8" t="s">
        <v>3595</v>
      </c>
      <c r="B22" s="8" t="s">
        <v>1387</v>
      </c>
      <c r="C22" s="8" t="s">
        <v>494</v>
      </c>
      <c r="D22" s="9">
        <v>0</v>
      </c>
      <c r="F22" s="8" t="str">
        <f t="shared" si="0"/>
        <v/>
      </c>
      <c r="G22" s="8" t="str">
        <f>IF(AND(VLOOKUP(C22,查询!$C$8:$E$15,3,FALSE)="启用",$B$1=D22),B22,"")</f>
        <v/>
      </c>
      <c r="H22" s="6" t="str">
        <f t="array" ref="H22">INDEX(F:F,SMALL(IF($F$1:$F$500&lt;&gt;"",ROW($1:$500),1000),ROW(F22)))&amp;""</f>
        <v>Warding Wind</v>
      </c>
      <c r="I22" s="6" t="str">
        <f t="array" ref="I22">INDEX(G:G,SMALL(IF($F$1:$F$500&lt;&gt;"",ROW($1:$500),1000),ROW(G22)))&amp;""</f>
        <v>守护之风</v>
      </c>
      <c r="K22" s="8" t="s">
        <v>3595</v>
      </c>
      <c r="L22" s="8" t="s">
        <v>1387</v>
      </c>
      <c r="M22" s="8" t="s">
        <v>494</v>
      </c>
      <c r="N22" s="9">
        <v>0</v>
      </c>
      <c r="P22" s="8" t="str">
        <f t="shared" si="1"/>
        <v/>
      </c>
      <c r="Q22" s="8" t="str">
        <f>IF(AND(VLOOKUP(M22,查询!$C$8:$E$15,3,FALSE)="启用",$B$1=N22),L22,"")</f>
        <v/>
      </c>
      <c r="R22" s="6" t="str">
        <f t="array" ref="R22">INDEX(P:P,SMALL(IF(P$1:P$500&lt;&gt;"",ROW($1:$500),1000),ROW(P22)))&amp;""</f>
        <v>Cloud of Daggers</v>
      </c>
      <c r="S22" s="6" t="str">
        <f t="array" ref="S22">INDEX(Q:Q,SMALL(IF(Q$1:Q$500&lt;&gt;"",ROW($1:$500),1000),ROW(Q22)))&amp;""</f>
        <v>匕首之云</v>
      </c>
      <c r="U22" s="8" t="s">
        <v>3537</v>
      </c>
      <c r="V22" s="8" t="s">
        <v>1459</v>
      </c>
      <c r="W22" s="8" t="s">
        <v>494</v>
      </c>
      <c r="X22" s="9">
        <v>0</v>
      </c>
      <c r="Z22" s="8" t="str">
        <f t="shared" si="2"/>
        <v/>
      </c>
      <c r="AA22" s="8" t="str">
        <f>IF(AND(VLOOKUP(W22,查询!$C$8:$E$15,3,FALSE)="启用",$B$1=X22),V22,"")</f>
        <v/>
      </c>
      <c r="AB22" s="6" t="str">
        <f t="array" ref="AB22">INDEX(Z:Z,SMALL(IF(Z$1:Z$500&lt;&gt;"",ROW($1:$500),1000),ROW(Z22)))&amp;""</f>
        <v/>
      </c>
      <c r="AC22" s="6" t="str">
        <f t="array" ref="AC22">INDEX(AA:AA,SMALL(IF(AA$1:AA$500&lt;&gt;"",ROW($1:$500),1000),ROW(AA22)))&amp;""</f>
        <v/>
      </c>
      <c r="AE22" s="8" t="s">
        <v>2189</v>
      </c>
      <c r="AF22" s="8" t="s">
        <v>1600</v>
      </c>
      <c r="AG22" s="8" t="s">
        <v>494</v>
      </c>
      <c r="AH22" s="9">
        <v>1</v>
      </c>
      <c r="AJ22" s="8" t="str">
        <f t="shared" si="3"/>
        <v/>
      </c>
      <c r="AK22" s="8" t="str">
        <f>IF(AND(VLOOKUP(AG22,查询!$C$8:$E$15,3,FALSE)="启用",$B$1=AH22),AF22,"")</f>
        <v/>
      </c>
      <c r="AL22" s="6" t="str">
        <f t="array" ref="AL22">INDEX(AJ:AJ,SMALL(IF(AJ$1:AJ$500&lt;&gt;"",ROW($1:$500),1000),ROW(AJ22)))&amp;""</f>
        <v/>
      </c>
      <c r="AM22" s="6" t="str">
        <f t="array" ref="AM22">INDEX(AK:AK,SMALL(IF(AK$1:AK$500&lt;&gt;"",ROW($1:$500),1000),ROW(AK22)))&amp;""</f>
        <v/>
      </c>
      <c r="AO22" s="8" t="s">
        <v>2413</v>
      </c>
      <c r="AP22" s="8" t="s">
        <v>1558</v>
      </c>
      <c r="AQ22" s="8" t="s">
        <v>494</v>
      </c>
      <c r="AR22" s="8">
        <v>2</v>
      </c>
      <c r="AT22" s="8" t="str">
        <f t="shared" si="4"/>
        <v>Branding Smite</v>
      </c>
      <c r="AU22" s="8" t="str">
        <f>IF(AND(VLOOKUP(AQ22,查询!$C$8:$E$15,3,FALSE)="启用",$B$1=AR22),AP22,"")</f>
        <v>印记斩</v>
      </c>
      <c r="AV22" s="6" t="str">
        <f t="array" ref="AV22">INDEX(AT:AT,SMALL(IF(AT$1:AT$500&lt;&gt;"",ROW($1:$500),1000),ROW(AT22)))&amp;""</f>
        <v/>
      </c>
      <c r="AW22" s="6" t="str">
        <f t="array" ref="AW22">INDEX(AU:AU,SMALL(IF(AU$1:AU$500&lt;&gt;"",ROW($1:$500),1000),ROW(AU22)))&amp;""</f>
        <v/>
      </c>
      <c r="AY22" s="8" t="s">
        <v>2362</v>
      </c>
      <c r="AZ22" s="8" t="s">
        <v>1480</v>
      </c>
      <c r="BA22" s="8" t="s">
        <v>494</v>
      </c>
      <c r="BB22" s="8">
        <v>2</v>
      </c>
      <c r="BD22" s="8" t="str">
        <f t="shared" si="5"/>
        <v>Silence</v>
      </c>
      <c r="BE22" s="8" t="str">
        <f>IF(AND(VLOOKUP(BA22,查询!$C$8:$E$15,3,FALSE)="启用",$B$1=BB22),AZ22,"")</f>
        <v>沉默术</v>
      </c>
      <c r="BF22" s="6" t="str">
        <f t="array" ref="BF22">INDEX(BD:BD,SMALL(IF(BD$1:BD$500&lt;&gt;"",ROW($1:$500),1000),ROW(BD22)))&amp;""</f>
        <v/>
      </c>
      <c r="BG22" s="6" t="str">
        <f t="array" ref="BG22">INDEX(BE:BE,SMALL(IF(BE$1:BE$500&lt;&gt;"",ROW($1:$500),1000),ROW(BE22)))&amp;""</f>
        <v/>
      </c>
      <c r="BI22" s="8" t="s">
        <v>3533</v>
      </c>
      <c r="BJ22" s="8" t="s">
        <v>1754</v>
      </c>
      <c r="BK22" s="8" t="s">
        <v>578</v>
      </c>
      <c r="BL22" s="9">
        <v>0</v>
      </c>
      <c r="BN22" s="8" t="str">
        <f t="shared" si="6"/>
        <v/>
      </c>
      <c r="BO22" s="8" t="str">
        <f>IF(AND(VLOOKUP(BK22,查询!$C$8:$E$15,3,FALSE)="启用",$B$1=BL22),BJ22,"")</f>
        <v/>
      </c>
      <c r="BP22" s="6" t="str">
        <f t="array" ref="BP22">INDEX(BN:BN,SMALL(IF(BN$1:BN$500&lt;&gt;"",ROW($1:$500),1000),ROW(BN22)))&amp;""</f>
        <v>Beast Sense</v>
      </c>
      <c r="BQ22" s="6" t="str">
        <f t="array" ref="BQ22">INDEX(BO:BO,SMALL(IF(BO$1:BO$500&lt;&gt;"",ROW($1:$500),1000),ROW(BO22)))&amp;""</f>
        <v>野兽知觉</v>
      </c>
      <c r="BS22" s="8" t="s">
        <v>2097</v>
      </c>
      <c r="BT22" s="8" t="s">
        <v>1474</v>
      </c>
      <c r="BU22" s="8" t="s">
        <v>494</v>
      </c>
      <c r="BV22" s="9">
        <v>1</v>
      </c>
      <c r="BX22" s="8" t="str">
        <f t="shared" si="7"/>
        <v/>
      </c>
      <c r="BY22" s="8" t="str">
        <f>IF(AND(VLOOKUP(BU22,查询!$C$8:$E$15,3,FALSE)="启用",$B$1=BV22),BT22,"")</f>
        <v/>
      </c>
      <c r="BZ22" s="6" t="str">
        <f t="array" ref="BZ22">INDEX(BX:BX,SMALL(IF(BX$1:BX$500&lt;&gt;"",ROW($1:$500),1000),ROW(BX22)))&amp;""</f>
        <v>Locate Object</v>
      </c>
      <c r="CA22" s="6" t="str">
        <f t="array" ref="CA22">INDEX(BY:BY,SMALL(IF(BY$1:BY$500&lt;&gt;"",ROW($1:$500),1000),ROW(BY22)))&amp;""</f>
        <v>物件定位术</v>
      </c>
    </row>
    <row r="23" spans="1:79">
      <c r="A23" s="8" t="s">
        <v>3591</v>
      </c>
      <c r="B23" s="8" t="s">
        <v>1304</v>
      </c>
      <c r="C23" s="8" t="s">
        <v>1249</v>
      </c>
      <c r="D23" s="9">
        <v>0</v>
      </c>
      <c r="F23" s="8" t="str">
        <f t="shared" si="0"/>
        <v/>
      </c>
      <c r="G23" s="8" t="str">
        <f>IF(AND(VLOOKUP(C23,查询!$C$8:$E$15,3,FALSE)="启用",$B$1=D23),B23,"")</f>
        <v/>
      </c>
      <c r="H23" s="6" t="str">
        <f t="array" ref="H23">INDEX(F:F,SMALL(IF($F$1:$F$500&lt;&gt;"",ROW($1:$500),1000),ROW(F23)))&amp;""</f>
        <v>Skywrite</v>
      </c>
      <c r="I23" s="6" t="str">
        <f t="array" ref="I23">INDEX(G:G,SMALL(IF($F$1:$F$500&lt;&gt;"",ROW($1:$500),1000),ROW(G23)))&amp;""</f>
        <v>空中写字E</v>
      </c>
      <c r="K23" s="8" t="s">
        <v>3587</v>
      </c>
      <c r="L23" s="8" t="s">
        <v>1456</v>
      </c>
      <c r="M23" s="8" t="s">
        <v>494</v>
      </c>
      <c r="N23" s="9">
        <v>0</v>
      </c>
      <c r="P23" s="8" t="str">
        <f t="shared" si="1"/>
        <v/>
      </c>
      <c r="Q23" s="8" t="str">
        <f>IF(AND(VLOOKUP(M23,查询!$C$8:$E$15,3,FALSE)="启用",$B$1=N23),L23,"")</f>
        <v/>
      </c>
      <c r="R23" s="6" t="str">
        <f t="array" ref="R23">INDEX(P:P,SMALL(IF(P$1:P$500&lt;&gt;"",ROW($1:$500),1000),ROW(P23)))&amp;""</f>
        <v>Crown of Madness</v>
      </c>
      <c r="S23" s="6" t="str">
        <f t="array" ref="S23">INDEX(Q:Q,SMALL(IF(Q$1:Q$500&lt;&gt;"",ROW($1:$500),1000),ROW(Q23)))&amp;""</f>
        <v>疯狂冠冕</v>
      </c>
      <c r="U23" s="8" t="s">
        <v>3523</v>
      </c>
      <c r="V23" s="8" t="s">
        <v>1734</v>
      </c>
      <c r="W23" s="8" t="s">
        <v>578</v>
      </c>
      <c r="X23" s="9">
        <v>0</v>
      </c>
      <c r="Z23" s="8" t="str">
        <f t="shared" si="2"/>
        <v/>
      </c>
      <c r="AA23" s="8" t="str">
        <f>IF(AND(VLOOKUP(W23,查询!$C$8:$E$15,3,FALSE)="启用",$B$1=X23),V23,"")</f>
        <v/>
      </c>
      <c r="AB23" s="6" t="str">
        <f t="array" ref="AB23">INDEX(Z:Z,SMALL(IF(Z$1:Z$500&lt;&gt;"",ROW($1:$500),1000),ROW(Z23)))&amp;""</f>
        <v/>
      </c>
      <c r="AC23" s="6" t="str">
        <f t="array" ref="AC23">INDEX(AA:AA,SMALL(IF(AA$1:AA$500&lt;&gt;"",ROW($1:$500),1000),ROW(AA23)))&amp;""</f>
        <v/>
      </c>
      <c r="AE23" s="8" t="s">
        <v>2194</v>
      </c>
      <c r="AF23" s="8" t="s">
        <v>1605</v>
      </c>
      <c r="AG23" s="8" t="s">
        <v>494</v>
      </c>
      <c r="AH23" s="9">
        <v>1</v>
      </c>
      <c r="AJ23" s="8" t="str">
        <f t="shared" si="3"/>
        <v/>
      </c>
      <c r="AK23" s="8" t="str">
        <f>IF(AND(VLOOKUP(AG23,查询!$C$8:$E$15,3,FALSE)="启用",$B$1=AH23),AF23,"")</f>
        <v/>
      </c>
      <c r="AL23" s="6" t="str">
        <f t="array" ref="AL23">INDEX(AJ:AJ,SMALL(IF(AJ$1:AJ$500&lt;&gt;"",ROW($1:$500),1000),ROW(AJ23)))&amp;""</f>
        <v/>
      </c>
      <c r="AM23" s="6" t="str">
        <f t="array" ref="AM23">INDEX(AK:AK,SMALL(IF(AK$1:AK$500&lt;&gt;"",ROW($1:$500),1000),ROW(AK23)))&amp;""</f>
        <v/>
      </c>
      <c r="AO23" s="8" t="s">
        <v>2415</v>
      </c>
      <c r="AP23" s="8" t="s">
        <v>1565</v>
      </c>
      <c r="AQ23" s="8" t="s">
        <v>494</v>
      </c>
      <c r="AR23" s="8">
        <v>2</v>
      </c>
      <c r="AT23" s="8" t="str">
        <f t="shared" si="4"/>
        <v>Find Steed</v>
      </c>
      <c r="AU23" s="8" t="str">
        <f>IF(AND(VLOOKUP(AQ23,查询!$C$8:$E$15,3,FALSE)="启用",$B$1=AR23),AP23,"")</f>
        <v>召唤坐骑</v>
      </c>
      <c r="AV23" s="6" t="str">
        <f t="array" ref="AV23">INDEX(AT:AT,SMALL(IF(AT$1:AT$500&lt;&gt;"",ROW($1:$500),1000),ROW(AT23)))&amp;""</f>
        <v/>
      </c>
      <c r="AW23" s="6" t="str">
        <f t="array" ref="AW23">INDEX(AU:AU,SMALL(IF(AU$1:AU$500&lt;&gt;"",ROW($1:$500),1000),ROW(AU23)))&amp;""</f>
        <v/>
      </c>
      <c r="AY23" s="8" t="s">
        <v>2382</v>
      </c>
      <c r="AZ23" s="8" t="s">
        <v>1501</v>
      </c>
      <c r="BA23" s="8" t="s">
        <v>494</v>
      </c>
      <c r="BB23" s="8">
        <v>2</v>
      </c>
      <c r="BD23" s="8" t="str">
        <f t="shared" si="5"/>
        <v>Locate Object</v>
      </c>
      <c r="BE23" s="8" t="str">
        <f>IF(AND(VLOOKUP(BA23,查询!$C$8:$E$15,3,FALSE)="启用",$B$1=BB23),AZ23,"")</f>
        <v>物件定位术</v>
      </c>
      <c r="BF23" s="6" t="str">
        <f t="array" ref="BF23">INDEX(BD:BD,SMALL(IF(BD$1:BD$500&lt;&gt;"",ROW($1:$500),1000),ROW(BD23)))&amp;""</f>
        <v/>
      </c>
      <c r="BG23" s="6" t="str">
        <f t="array" ref="BG23">INDEX(BE:BE,SMALL(IF(BE$1:BE$500&lt;&gt;"",ROW($1:$500),1000),ROW(BE23)))&amp;""</f>
        <v/>
      </c>
      <c r="BI23" s="8" t="s">
        <v>3533</v>
      </c>
      <c r="BJ23" s="8" t="s">
        <v>1353</v>
      </c>
      <c r="BK23" s="8" t="s">
        <v>1249</v>
      </c>
      <c r="BL23" s="9">
        <v>0</v>
      </c>
      <c r="BN23" s="8" t="str">
        <f t="shared" si="6"/>
        <v/>
      </c>
      <c r="BO23" s="8" t="str">
        <f>IF(AND(VLOOKUP(BK23,查询!$C$8:$E$15,3,FALSE)="启用",$B$1=BL23),BJ23,"")</f>
        <v/>
      </c>
      <c r="BP23" s="6" t="str">
        <f t="array" ref="BP23">INDEX(BN:BN,SMALL(IF(BN$1:BN$500&lt;&gt;"",ROW($1:$500),1000),ROW(BN23)))&amp;""</f>
        <v>Pass without Trace</v>
      </c>
      <c r="BQ23" s="6" t="str">
        <f t="array" ref="BQ23">INDEX(BO:BO,SMALL(IF(BO$1:BO$500&lt;&gt;"",ROW($1:$500),1000),ROW(BO23)))&amp;""</f>
        <v>行动无踪</v>
      </c>
      <c r="BS23" s="8" t="s">
        <v>2101</v>
      </c>
      <c r="BT23" s="8" t="s">
        <v>1475</v>
      </c>
      <c r="BU23" s="8" t="s">
        <v>494</v>
      </c>
      <c r="BV23" s="9">
        <v>1</v>
      </c>
      <c r="BX23" s="8" t="str">
        <f t="shared" si="7"/>
        <v/>
      </c>
      <c r="BY23" s="8" t="str">
        <f>IF(AND(VLOOKUP(BU23,查询!$C$8:$E$15,3,FALSE)="启用",$B$1=BV23),BT23,"")</f>
        <v/>
      </c>
      <c r="BZ23" s="6" t="str">
        <f t="array" ref="BZ23">INDEX(BX:BX,SMALL(IF(BX$1:BX$500&lt;&gt;"",ROW($1:$500),1000),ROW(BX23)))&amp;""</f>
        <v>Lesser Restoration</v>
      </c>
      <c r="CA23" s="6" t="str">
        <f t="array" ref="CA23">INDEX(BY:BY,SMALL(IF(BY$1:BY$500&lt;&gt;"",ROW($1:$500),1000),ROW(BY23)))&amp;""</f>
        <v>次级复原术</v>
      </c>
    </row>
    <row r="24" spans="1:79">
      <c r="A24" s="8" t="s">
        <v>3587</v>
      </c>
      <c r="B24" s="8" t="s">
        <v>1456</v>
      </c>
      <c r="C24" s="8" t="s">
        <v>494</v>
      </c>
      <c r="D24" s="9">
        <v>0</v>
      </c>
      <c r="F24" s="8" t="str">
        <f t="shared" si="0"/>
        <v/>
      </c>
      <c r="G24" s="8" t="str">
        <f>IF(AND(VLOOKUP(C24,查询!$C$8:$E$15,3,FALSE)="启用",$B$1=D24),B24,"")</f>
        <v/>
      </c>
      <c r="H24" s="6" t="str">
        <f t="array" ref="H24">INDEX(F:F,SMALL(IF($F$1:$F$500&lt;&gt;"",ROW($1:$500),1000),ROW(F24)))&amp;""</f>
        <v>Skywrite</v>
      </c>
      <c r="I24" s="6" t="str">
        <f t="array" ref="I24">INDEX(G:G,SMALL(IF($F$1:$F$500&lt;&gt;"",ROW($1:$500),1000),ROW(G24)))&amp;""</f>
        <v>空中写字</v>
      </c>
      <c r="K24" s="8" t="s">
        <v>3580</v>
      </c>
      <c r="L24" s="8" t="s">
        <v>1449</v>
      </c>
      <c r="M24" s="8" t="s">
        <v>494</v>
      </c>
      <c r="N24" s="9">
        <v>0</v>
      </c>
      <c r="P24" s="8" t="str">
        <f t="shared" si="1"/>
        <v/>
      </c>
      <c r="Q24" s="8" t="str">
        <f>IF(AND(VLOOKUP(M24,查询!$C$8:$E$15,3,FALSE)="启用",$B$1=N24),L24,"")</f>
        <v/>
      </c>
      <c r="R24" s="6" t="str">
        <f t="array" ref="R24">INDEX(P:P,SMALL(IF(P$1:P$500&lt;&gt;"",ROW($1:$500),1000),ROW(P24)))&amp;""</f>
        <v>Invisibility</v>
      </c>
      <c r="S24" s="6" t="str">
        <f t="array" ref="S24">INDEX(Q:Q,SMALL(IF(Q$1:Q$500&lt;&gt;"",ROW($1:$500),1000),ROW(Q24)))&amp;""</f>
        <v>隐形术</v>
      </c>
      <c r="U24" s="8" t="s">
        <v>3523</v>
      </c>
      <c r="V24" s="8" t="s">
        <v>1331</v>
      </c>
      <c r="W24" s="8" t="s">
        <v>1249</v>
      </c>
      <c r="X24" s="9">
        <v>0</v>
      </c>
      <c r="Z24" s="8" t="str">
        <f t="shared" si="2"/>
        <v/>
      </c>
      <c r="AA24" s="8" t="str">
        <f>IF(AND(VLOOKUP(W24,查询!$C$8:$E$15,3,FALSE)="启用",$B$1=X24),V24,"")</f>
        <v/>
      </c>
      <c r="AB24" s="6" t="str">
        <f t="array" ref="AB24">INDEX(Z:Z,SMALL(IF(Z$1:Z$500&lt;&gt;"",ROW($1:$500),1000),ROW(Z24)))&amp;""</f>
        <v/>
      </c>
      <c r="AC24" s="6" t="str">
        <f t="array" ref="AC24">INDEX(AA:AA,SMALL(IF(AA$1:AA$500&lt;&gt;"",ROW($1:$500),1000),ROW(AA24)))&amp;""</f>
        <v/>
      </c>
      <c r="AE24" s="8" t="s">
        <v>2199</v>
      </c>
      <c r="AF24" s="8" t="s">
        <v>1622</v>
      </c>
      <c r="AG24" s="8" t="s">
        <v>494</v>
      </c>
      <c r="AH24" s="9">
        <v>1</v>
      </c>
      <c r="AJ24" s="8" t="str">
        <f t="shared" si="3"/>
        <v/>
      </c>
      <c r="AK24" s="8" t="str">
        <f>IF(AND(VLOOKUP(AG24,查询!$C$8:$E$15,3,FALSE)="启用",$B$1=AH24),AF24,"")</f>
        <v/>
      </c>
      <c r="AL24" s="6" t="str">
        <f t="array" ref="AL24">INDEX(AJ:AJ,SMALL(IF(AJ$1:AJ$500&lt;&gt;"",ROW($1:$500),1000),ROW(AJ24)))&amp;""</f>
        <v/>
      </c>
      <c r="AM24" s="6" t="str">
        <f t="array" ref="AM24">INDEX(AK:AK,SMALL(IF(AK$1:AK$500&lt;&gt;"",ROW($1:$500),1000),ROW(AK24)))&amp;""</f>
        <v/>
      </c>
      <c r="AO24" s="8" t="s">
        <v>2417</v>
      </c>
      <c r="AP24" s="8" t="s">
        <v>1577</v>
      </c>
      <c r="AQ24" s="8" t="s">
        <v>494</v>
      </c>
      <c r="AR24" s="8">
        <v>2</v>
      </c>
      <c r="AT24" s="8" t="str">
        <f t="shared" si="4"/>
        <v>Aid</v>
      </c>
      <c r="AU24" s="8" t="str">
        <f>IF(AND(VLOOKUP(AQ24,查询!$C$8:$E$15,3,FALSE)="启用",$B$1=AR24),AP24,"")</f>
        <v>援助术</v>
      </c>
      <c r="AV24" s="6" t="str">
        <f t="array" ref="AV24">INDEX(AT:AT,SMALL(IF(AT$1:AT$500&lt;&gt;"",ROW($1:$500),1000),ROW(AT24)))&amp;""</f>
        <v/>
      </c>
      <c r="AW24" s="6" t="str">
        <f t="array" ref="AW24">INDEX(AU:AU,SMALL(IF(AU$1:AU$500&lt;&gt;"",ROW($1:$500),1000),ROW(AU24)))&amp;""</f>
        <v/>
      </c>
      <c r="AY24" s="8" t="s">
        <v>2387</v>
      </c>
      <c r="AZ24" s="8" t="s">
        <v>1503</v>
      </c>
      <c r="BA24" s="8" t="s">
        <v>494</v>
      </c>
      <c r="BB24" s="8">
        <v>2</v>
      </c>
      <c r="BD24" s="8" t="str">
        <f t="shared" si="5"/>
        <v>Lesser Restoration</v>
      </c>
      <c r="BE24" s="8" t="str">
        <f>IF(AND(VLOOKUP(BA24,查询!$C$8:$E$15,3,FALSE)="启用",$B$1=BB24),AZ24,"")</f>
        <v>次级复原术</v>
      </c>
      <c r="BF24" s="6" t="str">
        <f t="array" ref="BF24">INDEX(BD:BD,SMALL(IF(BD$1:BD$500&lt;&gt;"",ROW($1:$500),1000),ROW(BD24)))&amp;""</f>
        <v/>
      </c>
      <c r="BG24" s="6" t="str">
        <f t="array" ref="BG24">INDEX(BE:BE,SMALL(IF(BE$1:BE$500&lt;&gt;"",ROW($1:$500),1000),ROW(BE24)))&amp;""</f>
        <v/>
      </c>
      <c r="BI24" s="8" t="s">
        <v>3552</v>
      </c>
      <c r="BJ24" s="8" t="s">
        <v>1673</v>
      </c>
      <c r="BK24" s="8" t="s">
        <v>494</v>
      </c>
      <c r="BL24" s="9">
        <v>0</v>
      </c>
      <c r="BN24" s="8" t="str">
        <f t="shared" si="6"/>
        <v/>
      </c>
      <c r="BO24" s="8" t="str">
        <f>IF(AND(VLOOKUP(BK24,查询!$C$8:$E$15,3,FALSE)="启用",$B$1=BL24),BJ24,"")</f>
        <v/>
      </c>
      <c r="BP24" s="6" t="str">
        <f t="array" ref="BP24">INDEX(BN:BN,SMALL(IF(BN$1:BN$500&lt;&gt;"",ROW($1:$500),1000),ROW(BN24)))&amp;""</f>
        <v>Spike Growth</v>
      </c>
      <c r="BQ24" s="6" t="str">
        <f t="array" ref="BQ24">INDEX(BO:BO,SMALL(IF(BO$1:BO$500&lt;&gt;"",ROW($1:$500),1000),ROW(BO24)))&amp;""</f>
        <v>荆棘丛生</v>
      </c>
      <c r="BS24" s="8" t="s">
        <v>2105</v>
      </c>
      <c r="BT24" s="8" t="s">
        <v>1479</v>
      </c>
      <c r="BU24" s="8" t="s">
        <v>494</v>
      </c>
      <c r="BV24" s="9">
        <v>1</v>
      </c>
      <c r="BX24" s="8" t="str">
        <f t="shared" si="7"/>
        <v/>
      </c>
      <c r="BY24" s="8" t="str">
        <f>IF(AND(VLOOKUP(BU24,查询!$C$8:$E$15,3,FALSE)="启用",$B$1=BV24),BT24,"")</f>
        <v/>
      </c>
      <c r="BZ24" s="6" t="str">
        <f t="array" ref="BZ24">INDEX(BX:BX,SMALL(IF(BX$1:BX$500&lt;&gt;"",ROW($1:$500),1000),ROW(BX24)))&amp;""</f>
        <v>Calm Emotions</v>
      </c>
      <c r="CA24" s="6" t="str">
        <f t="array" ref="CA24">INDEX(BY:BY,SMALL(IF(BY$1:BY$500&lt;&gt;"",ROW($1:$500),1000),ROW(BY24)))&amp;""</f>
        <v>安定心神</v>
      </c>
    </row>
    <row r="25" spans="1:79">
      <c r="A25" s="8" t="s">
        <v>3580</v>
      </c>
      <c r="B25" s="8" t="s">
        <v>1449</v>
      </c>
      <c r="C25" s="8" t="s">
        <v>494</v>
      </c>
      <c r="D25" s="9">
        <v>0</v>
      </c>
      <c r="F25" s="8" t="str">
        <f t="shared" si="0"/>
        <v/>
      </c>
      <c r="G25" s="8" t="str">
        <f>IF(AND(VLOOKUP(C25,查询!$C$8:$E$15,3,FALSE)="启用",$B$1=D25),B25,"")</f>
        <v/>
      </c>
      <c r="H25" s="6" t="str">
        <f t="array" ref="H25">INDEX(F:F,SMALL(IF($F$1:$F$500&lt;&gt;"",ROW($1:$500),1000),ROW(F25)))&amp;""</f>
        <v>Cloud of Daggers</v>
      </c>
      <c r="I25" s="6" t="str">
        <f t="array" ref="I25">INDEX(G:G,SMALL(IF($F$1:$F$500&lt;&gt;"",ROW($1:$500),1000),ROW(G25)))&amp;""</f>
        <v>匕首之云</v>
      </c>
      <c r="K25" s="8" t="s">
        <v>3573</v>
      </c>
      <c r="L25" s="8" t="s">
        <v>1441</v>
      </c>
      <c r="M25" s="8" t="s">
        <v>494</v>
      </c>
      <c r="N25" s="9">
        <v>0</v>
      </c>
      <c r="P25" s="8" t="str">
        <f t="shared" si="1"/>
        <v/>
      </c>
      <c r="Q25" s="8" t="str">
        <f>IF(AND(VLOOKUP(M25,查询!$C$8:$E$15,3,FALSE)="启用",$B$1=N25),L25,"")</f>
        <v/>
      </c>
      <c r="R25" s="6" t="str">
        <f t="array" ref="R25">INDEX(P:P,SMALL(IF(P$1:P$500&lt;&gt;"",ROW($1:$500),1000),ROW(P25)))&amp;""</f>
        <v>Shatter</v>
      </c>
      <c r="S25" s="6" t="str">
        <f t="array" ref="S25">INDEX(Q:Q,SMALL(IF(Q$1:Q$500&lt;&gt;"",ROW($1:$500),1000),ROW(Q25)))&amp;""</f>
        <v>粉碎音波</v>
      </c>
      <c r="U25" s="8" t="s">
        <v>2012</v>
      </c>
      <c r="V25" s="8" t="s">
        <v>1378</v>
      </c>
      <c r="W25" s="8" t="s">
        <v>494</v>
      </c>
      <c r="X25" s="9">
        <v>1</v>
      </c>
      <c r="Z25" s="8" t="str">
        <f t="shared" si="2"/>
        <v/>
      </c>
      <c r="AA25" s="8" t="str">
        <f>IF(AND(VLOOKUP(W25,查询!$C$8:$E$15,3,FALSE)="启用",$B$1=X25),V25,"")</f>
        <v/>
      </c>
      <c r="AB25" s="6" t="str">
        <f t="array" ref="AB25">INDEX(Z:Z,SMALL(IF(Z$1:Z$500&lt;&gt;"",ROW($1:$500),1000),ROW(Z25)))&amp;""</f>
        <v/>
      </c>
      <c r="AC25" s="6" t="str">
        <f t="array" ref="AC25">INDEX(AA:AA,SMALL(IF(AA$1:AA$500&lt;&gt;"",ROW($1:$500),1000),ROW(AA25)))&amp;""</f>
        <v/>
      </c>
      <c r="AE25" s="8" t="s">
        <v>2201</v>
      </c>
      <c r="AF25" s="8" t="s">
        <v>1626</v>
      </c>
      <c r="AG25" s="8" t="s">
        <v>494</v>
      </c>
      <c r="AH25" s="9">
        <v>1</v>
      </c>
      <c r="AJ25" s="8" t="str">
        <f t="shared" si="3"/>
        <v/>
      </c>
      <c r="AK25" s="8" t="str">
        <f>IF(AND(VLOOKUP(AG25,查询!$C$8:$E$15,3,FALSE)="启用",$B$1=AH25),AF25,"")</f>
        <v/>
      </c>
      <c r="AL25" s="6" t="str">
        <f t="array" ref="AL25">INDEX(AJ:AJ,SMALL(IF(AJ$1:AJ$500&lt;&gt;"",ROW($1:$500),1000),ROW(AJ25)))&amp;""</f>
        <v/>
      </c>
      <c r="AM25" s="6" t="str">
        <f t="array" ref="AM25">INDEX(AK:AK,SMALL(IF(AK$1:AK$500&lt;&gt;"",ROW($1:$500),1000),ROW(AK25)))&amp;""</f>
        <v/>
      </c>
      <c r="AO25" s="8" t="s">
        <v>2436</v>
      </c>
      <c r="AP25" s="8" t="s">
        <v>1599</v>
      </c>
      <c r="AQ25" s="8" t="s">
        <v>494</v>
      </c>
      <c r="AR25" s="8">
        <v>2</v>
      </c>
      <c r="AT25" s="8" t="str">
        <f t="shared" si="4"/>
        <v>Protection from Poison</v>
      </c>
      <c r="AU25" s="8" t="str">
        <f>IF(AND(VLOOKUP(AQ25,查询!$C$8:$E$15,3,FALSE)="启用",$B$1=AR25),AP25,"")</f>
        <v>防护毒素</v>
      </c>
      <c r="AV25" s="6" t="str">
        <f t="array" ref="AV25">INDEX(AT:AT,SMALL(IF(AT$1:AT$500&lt;&gt;"",ROW($1:$500),1000),ROW(AT25)))&amp;""</f>
        <v/>
      </c>
      <c r="AW25" s="6" t="str">
        <f t="array" ref="AW25">INDEX(AU:AU,SMALL(IF(AU$1:AU$500&lt;&gt;"",ROW($1:$500),1000),ROW(AU25)))&amp;""</f>
        <v/>
      </c>
      <c r="AY25" s="8" t="s">
        <v>2397</v>
      </c>
      <c r="AZ25" s="8" t="s">
        <v>1532</v>
      </c>
      <c r="BA25" s="8" t="s">
        <v>494</v>
      </c>
      <c r="BB25" s="8">
        <v>2</v>
      </c>
      <c r="BD25" s="8" t="str">
        <f t="shared" si="5"/>
        <v>Animal Messenger</v>
      </c>
      <c r="BE25" s="8" t="str">
        <f>IF(AND(VLOOKUP(BA25,查询!$C$8:$E$15,3,FALSE)="启用",$B$1=BB25),AZ25,"")</f>
        <v>动物信使</v>
      </c>
      <c r="BF25" s="6" t="str">
        <f t="array" ref="BF25">INDEX(BD:BD,SMALL(IF(BD$1:BD$500&lt;&gt;"",ROW($1:$500),1000),ROW(BD25)))&amp;""</f>
        <v/>
      </c>
      <c r="BG25" s="6" t="str">
        <f t="array" ref="BG25">INDEX(BE:BE,SMALL(IF(BE$1:BE$500&lt;&gt;"",ROW($1:$500),1000),ROW(BE25)))&amp;""</f>
        <v/>
      </c>
      <c r="BI25" s="8" t="s">
        <v>3535</v>
      </c>
      <c r="BJ25" s="8" t="s">
        <v>1357</v>
      </c>
      <c r="BK25" s="8" t="s">
        <v>1249</v>
      </c>
      <c r="BL25" s="9">
        <v>0</v>
      </c>
      <c r="BN25" s="8" t="str">
        <f t="shared" si="6"/>
        <v/>
      </c>
      <c r="BO25" s="8" t="str">
        <f>IF(AND(VLOOKUP(BK25,查询!$C$8:$E$15,3,FALSE)="启用",$B$1=BL25),BJ25,"")</f>
        <v/>
      </c>
      <c r="BP25" s="6" t="str">
        <f t="array" ref="BP25">INDEX(BN:BN,SMALL(IF(BN$1:BN$500&lt;&gt;"",ROW($1:$500),1000),ROW(BN25)))&amp;""</f>
        <v>Gust of Wind</v>
      </c>
      <c r="BQ25" s="6" t="str">
        <f t="array" ref="BQ25">INDEX(BO:BO,SMALL(IF(BO$1:BO$500&lt;&gt;"",ROW($1:$500),1000),ROW(BO25)))&amp;""</f>
        <v>造风术</v>
      </c>
      <c r="BS25" s="8" t="s">
        <v>2108</v>
      </c>
      <c r="BT25" s="8" t="s">
        <v>1499</v>
      </c>
      <c r="BU25" s="8" t="s">
        <v>494</v>
      </c>
      <c r="BV25" s="9">
        <v>1</v>
      </c>
      <c r="BX25" s="8" t="str">
        <f t="shared" si="7"/>
        <v/>
      </c>
      <c r="BY25" s="8" t="str">
        <f>IF(AND(VLOOKUP(BU25,查询!$C$8:$E$15,3,FALSE)="启用",$B$1=BV25),BT25,"")</f>
        <v/>
      </c>
      <c r="BZ25" s="6" t="str">
        <f t="array" ref="BZ25">INDEX(BX:BX,SMALL(IF(BX$1:BX$500&lt;&gt;"",ROW($1:$500),1000),ROW(BX25)))&amp;""</f>
        <v>Magic Mouth</v>
      </c>
      <c r="CA25" s="6" t="str">
        <f t="array" ref="CA25">INDEX(BY:BY,SMALL(IF(BY$1:BY$500&lt;&gt;"",ROW($1:$500),1000),ROW(BY25)))&amp;""</f>
        <v>魔嘴术</v>
      </c>
    </row>
    <row r="26" spans="1:79">
      <c r="A26" s="8" t="s">
        <v>3573</v>
      </c>
      <c r="B26" s="8" t="s">
        <v>1441</v>
      </c>
      <c r="C26" s="8" t="s">
        <v>494</v>
      </c>
      <c r="D26" s="9">
        <v>0</v>
      </c>
      <c r="F26" s="8" t="str">
        <f t="shared" si="0"/>
        <v/>
      </c>
      <c r="G26" s="8" t="str">
        <f>IF(AND(VLOOKUP(C26,查询!$C$8:$E$15,3,FALSE)="启用",$B$1=D26),B26,"")</f>
        <v/>
      </c>
      <c r="H26" s="6" t="str">
        <f t="array" ref="H26">INDEX(F:F,SMALL(IF($F$1:$F$500&lt;&gt;"",ROW($1:$500),1000),ROW(F26)))&amp;""</f>
        <v>Crown of Madness</v>
      </c>
      <c r="I26" s="6" t="str">
        <f t="array" ref="I26">INDEX(G:G,SMALL(IF($F$1:$F$500&lt;&gt;"",ROW($1:$500),1000),ROW(G26)))&amp;""</f>
        <v>疯狂冠冕</v>
      </c>
      <c r="K26" s="8" t="s">
        <v>3537</v>
      </c>
      <c r="L26" s="8" t="s">
        <v>1459</v>
      </c>
      <c r="M26" s="8" t="s">
        <v>494</v>
      </c>
      <c r="N26" s="9">
        <v>0</v>
      </c>
      <c r="P26" s="8" t="str">
        <f t="shared" si="1"/>
        <v/>
      </c>
      <c r="Q26" s="8" t="str">
        <f>IF(AND(VLOOKUP(M26,查询!$C$8:$E$15,3,FALSE)="启用",$B$1=N26),L26,"")</f>
        <v/>
      </c>
      <c r="R26" s="6" t="str">
        <f t="array" ref="R26">INDEX(P:P,SMALL(IF(P$1:P$500&lt;&gt;"",ROW($1:$500),1000),ROW(P26)))&amp;""</f>
        <v>Suggestion</v>
      </c>
      <c r="S26" s="6" t="str">
        <f t="array" ref="S26">INDEX(Q:Q,SMALL(IF(Q$1:Q$500&lt;&gt;"",ROW($1:$500),1000),ROW(Q26)))&amp;""</f>
        <v>暗示术</v>
      </c>
      <c r="U26" s="8" t="s">
        <v>2017</v>
      </c>
      <c r="V26" s="8" t="s">
        <v>1379</v>
      </c>
      <c r="W26" s="8" t="s">
        <v>494</v>
      </c>
      <c r="X26" s="9">
        <v>1</v>
      </c>
      <c r="Z26" s="8" t="str">
        <f t="shared" si="2"/>
        <v/>
      </c>
      <c r="AA26" s="8" t="str">
        <f>IF(AND(VLOOKUP(W26,查询!$C$8:$E$15,3,FALSE)="启用",$B$1=X26),V26,"")</f>
        <v/>
      </c>
      <c r="AB26" s="6" t="str">
        <f t="array" ref="AB26">INDEX(Z:Z,SMALL(IF(Z$1:Z$500&lt;&gt;"",ROW($1:$500),1000),ROW(Z26)))&amp;""</f>
        <v/>
      </c>
      <c r="AC26" s="6" t="str">
        <f t="array" ref="AC26">INDEX(AA:AA,SMALL(IF(AA$1:AA$500&lt;&gt;"",ROW($1:$500),1000),ROW(AA26)))&amp;""</f>
        <v/>
      </c>
      <c r="AE26" s="8" t="s">
        <v>2203</v>
      </c>
      <c r="AF26" s="8" t="s">
        <v>1632</v>
      </c>
      <c r="AG26" s="8" t="s">
        <v>494</v>
      </c>
      <c r="AH26" s="9">
        <v>1</v>
      </c>
      <c r="AJ26" s="8" t="str">
        <f t="shared" si="3"/>
        <v/>
      </c>
      <c r="AK26" s="8" t="str">
        <f>IF(AND(VLOOKUP(AG26,查询!$C$8:$E$15,3,FALSE)="启用",$B$1=AH26),AF26,"")</f>
        <v/>
      </c>
      <c r="AL26" s="6" t="str">
        <f t="array" ref="AL26">INDEX(AJ:AJ,SMALL(IF(AJ$1:AJ$500&lt;&gt;"",ROW($1:$500),1000),ROW(AJ26)))&amp;""</f>
        <v/>
      </c>
      <c r="AM26" s="6" t="str">
        <f t="array" ref="AM26">INDEX(AK:AK,SMALL(IF(AK$1:AK$500&lt;&gt;"",ROW($1:$500),1000),ROW(AK26)))&amp;""</f>
        <v/>
      </c>
      <c r="AO26" s="8" t="s">
        <v>2651</v>
      </c>
      <c r="AP26" s="8" t="s">
        <v>1504</v>
      </c>
      <c r="AQ26" s="8" t="s">
        <v>494</v>
      </c>
      <c r="AR26" s="8">
        <v>3</v>
      </c>
      <c r="AT26" s="8" t="str">
        <f t="shared" si="4"/>
        <v/>
      </c>
      <c r="AU26" s="8" t="str">
        <f>IF(AND(VLOOKUP(AQ26,查询!$C$8:$E$15,3,FALSE)="启用",$B$1=AR26),AP26,"")</f>
        <v/>
      </c>
      <c r="AV26" s="6" t="str">
        <f t="array" ref="AV26">INDEX(AT:AT,SMALL(IF(AT$1:AT$500&lt;&gt;"",ROW($1:$500),1000),ROW(AT26)))&amp;""</f>
        <v/>
      </c>
      <c r="AW26" s="6" t="str">
        <f t="array" ref="AW26">INDEX(AU:AU,SMALL(IF(AU$1:AU$500&lt;&gt;"",ROW($1:$500),1000),ROW(AU26)))&amp;""</f>
        <v/>
      </c>
      <c r="AY26" s="8" t="s">
        <v>2401</v>
      </c>
      <c r="AZ26" s="8" t="s">
        <v>1533</v>
      </c>
      <c r="BA26" s="8" t="s">
        <v>494</v>
      </c>
      <c r="BB26" s="8">
        <v>2</v>
      </c>
      <c r="BD26" s="8" t="str">
        <f t="shared" si="5"/>
        <v>Locate Animals or Plants</v>
      </c>
      <c r="BE26" s="8" t="str">
        <f>IF(AND(VLOOKUP(BA26,查询!$C$8:$E$15,3,FALSE)="启用",$B$1=BB26),AZ26,"")</f>
        <v>动植物定位术</v>
      </c>
      <c r="BF26" s="6" t="str">
        <f t="array" ref="BF26">INDEX(BD:BD,SMALL(IF(BD$1:BD$500&lt;&gt;"",ROW($1:$500),1000),ROW(BD26)))&amp;""</f>
        <v/>
      </c>
      <c r="BG26" s="6" t="str">
        <f t="array" ref="BG26">INDEX(BE:BE,SMALL(IF(BE$1:BE$500&lt;&gt;"",ROW($1:$500),1000),ROW(BE26)))&amp;""</f>
        <v/>
      </c>
      <c r="BI26" s="8" t="s">
        <v>3554</v>
      </c>
      <c r="BJ26" s="8" t="s">
        <v>1715</v>
      </c>
      <c r="BK26" s="8" t="s">
        <v>494</v>
      </c>
      <c r="BL26" s="9">
        <v>0</v>
      </c>
      <c r="BN26" s="8" t="str">
        <f t="shared" si="6"/>
        <v/>
      </c>
      <c r="BO26" s="8" t="str">
        <f>IF(AND(VLOOKUP(BK26,查询!$C$8:$E$15,3,FALSE)="启用",$B$1=BL26),BJ26,"")</f>
        <v/>
      </c>
      <c r="BP26" s="6" t="str">
        <f t="array" ref="BP26">INDEX(BN:BN,SMALL(IF(BN$1:BN$500&lt;&gt;"",ROW($1:$500),1000),ROW(BN26)))&amp;""</f>
        <v>Flame Blade</v>
      </c>
      <c r="BQ26" s="6" t="str">
        <f t="array" ref="BQ26">INDEX(BO:BO,SMALL(IF(BO$1:BO$500&lt;&gt;"",ROW($1:$500),1000),ROW(BO26)))&amp;""</f>
        <v>火焰刀</v>
      </c>
      <c r="BS26" s="8" t="s">
        <v>2111</v>
      </c>
      <c r="BT26" s="8" t="s">
        <v>1502</v>
      </c>
      <c r="BU26" s="8" t="s">
        <v>494</v>
      </c>
      <c r="BV26" s="9">
        <v>1</v>
      </c>
      <c r="BX26" s="8" t="str">
        <f t="shared" si="7"/>
        <v/>
      </c>
      <c r="BY26" s="8" t="str">
        <f>IF(AND(VLOOKUP(BU26,查询!$C$8:$E$15,3,FALSE)="启用",$B$1=BV26),BT26,"")</f>
        <v/>
      </c>
      <c r="BZ26" s="6" t="str">
        <f t="array" ref="BZ26">INDEX(BX:BX,SMALL(IF(BX$1:BX$500&lt;&gt;"",ROW($1:$500),1000),ROW(BX26)))&amp;""</f>
        <v>Animal Messenger</v>
      </c>
      <c r="CA26" s="6" t="str">
        <f t="array" ref="CA26">INDEX(BY:BY,SMALL(IF(BY$1:BY$500&lt;&gt;"",ROW($1:$500),1000),ROW(BY26)))&amp;""</f>
        <v>动物信使</v>
      </c>
    </row>
    <row r="27" spans="1:79">
      <c r="A27" s="8" t="s">
        <v>3537</v>
      </c>
      <c r="B27" s="8" t="s">
        <v>1459</v>
      </c>
      <c r="C27" s="8" t="s">
        <v>494</v>
      </c>
      <c r="D27" s="9">
        <v>0</v>
      </c>
      <c r="F27" s="8" t="str">
        <f t="shared" si="0"/>
        <v/>
      </c>
      <c r="G27" s="8" t="str">
        <f>IF(AND(VLOOKUP(C27,查询!$C$8:$E$15,3,FALSE)="启用",$B$1=D27),B27,"")</f>
        <v/>
      </c>
      <c r="H27" s="6" t="str">
        <f t="array" ref="H27">INDEX(F:F,SMALL(IF($F$1:$F$500&lt;&gt;"",ROW($1:$500),1000),ROW(F27)))&amp;""</f>
        <v>Invisibility</v>
      </c>
      <c r="I27" s="6" t="str">
        <f t="array" ref="I27">INDEX(G:G,SMALL(IF($F$1:$F$500&lt;&gt;"",ROW($1:$500),1000),ROW(G27)))&amp;""</f>
        <v>隐形术</v>
      </c>
      <c r="K27" s="8" t="s">
        <v>3540</v>
      </c>
      <c r="L27" s="8" t="s">
        <v>1470</v>
      </c>
      <c r="M27" s="8" t="s">
        <v>494</v>
      </c>
      <c r="N27" s="9">
        <v>0</v>
      </c>
      <c r="P27" s="8" t="str">
        <f t="shared" si="1"/>
        <v/>
      </c>
      <c r="Q27" s="8" t="str">
        <f>IF(AND(VLOOKUP(M27,查询!$C$8:$E$15,3,FALSE)="启用",$B$1=N27),L27,"")</f>
        <v/>
      </c>
      <c r="R27" s="6" t="str">
        <f t="array" ref="R27">INDEX(P:P,SMALL(IF(P$1:P$500&lt;&gt;"",ROW($1:$500),1000),ROW(P27)))&amp;""</f>
        <v>Detect Thoughts</v>
      </c>
      <c r="S27" s="6" t="str">
        <f t="array" ref="S27">INDEX(Q:Q,SMALL(IF(Q$1:Q$500&lt;&gt;"",ROW($1:$500),1000),ROW(Q27)))&amp;""</f>
        <v>侦测思想</v>
      </c>
      <c r="U27" s="8" t="s">
        <v>2020</v>
      </c>
      <c r="V27" s="8" t="s">
        <v>1381</v>
      </c>
      <c r="W27" s="8" t="s">
        <v>494</v>
      </c>
      <c r="X27" s="9">
        <v>1</v>
      </c>
      <c r="Z27" s="8" t="str">
        <f t="shared" si="2"/>
        <v/>
      </c>
      <c r="AA27" s="8" t="str">
        <f>IF(AND(VLOOKUP(W27,查询!$C$8:$E$15,3,FALSE)="启用",$B$1=X27),V27,"")</f>
        <v/>
      </c>
      <c r="AB27" s="6" t="str">
        <f t="array" ref="AB27">INDEX(Z:Z,SMALL(IF(Z$1:Z$500&lt;&gt;"",ROW($1:$500),1000),ROW(Z27)))&amp;""</f>
        <v/>
      </c>
      <c r="AC27" s="6" t="str">
        <f t="array" ref="AC27">INDEX(AA:AA,SMALL(IF(AA$1:AA$500&lt;&gt;"",ROW($1:$500),1000),ROW(AA27)))&amp;""</f>
        <v/>
      </c>
      <c r="AE27" s="8" t="s">
        <v>2362</v>
      </c>
      <c r="AF27" s="8" t="s">
        <v>1480</v>
      </c>
      <c r="AG27" s="8" t="s">
        <v>494</v>
      </c>
      <c r="AH27" s="9">
        <v>2</v>
      </c>
      <c r="AJ27" s="8" t="str">
        <f t="shared" si="3"/>
        <v>Silence</v>
      </c>
      <c r="AK27" s="8" t="str">
        <f>IF(AND(VLOOKUP(AG27,查询!$C$8:$E$15,3,FALSE)="启用",$B$1=AH27),AF27,"")</f>
        <v>沉默术</v>
      </c>
      <c r="AL27" s="6" t="str">
        <f t="array" ref="AL27">INDEX(AJ:AJ,SMALL(IF(AJ$1:AJ$500&lt;&gt;"",ROW($1:$500),1000),ROW(AJ27)))&amp;""</f>
        <v/>
      </c>
      <c r="AM27" s="6" t="str">
        <f t="array" ref="AM27">INDEX(AK:AK,SMALL(IF(AK$1:AK$500&lt;&gt;"",ROW($1:$500),1000),ROW(AK27)))&amp;""</f>
        <v/>
      </c>
      <c r="AO27" s="8" t="s">
        <v>2677</v>
      </c>
      <c r="AP27" s="8" t="s">
        <v>1555</v>
      </c>
      <c r="AQ27" s="8" t="s">
        <v>494</v>
      </c>
      <c r="AR27" s="8">
        <v>3</v>
      </c>
      <c r="AT27" s="8" t="str">
        <f t="shared" si="4"/>
        <v/>
      </c>
      <c r="AU27" s="8" t="str">
        <f>IF(AND(VLOOKUP(AQ27,查询!$C$8:$E$15,3,FALSE)="启用",$B$1=AR27),AP27,"")</f>
        <v/>
      </c>
      <c r="AV27" s="6" t="str">
        <f t="array" ref="AV27">INDEX(AT:AT,SMALL(IF(AT$1:AT$500&lt;&gt;"",ROW($1:$500),1000),ROW(AT27)))&amp;""</f>
        <v/>
      </c>
      <c r="AW27" s="6" t="str">
        <f t="array" ref="AW27">INDEX(AU:AU,SMALL(IF(AU$1:AU$500&lt;&gt;"",ROW($1:$500),1000),ROW(AU27)))&amp;""</f>
        <v/>
      </c>
      <c r="AY27" s="8" t="s">
        <v>2433</v>
      </c>
      <c r="AZ27" s="8" t="s">
        <v>1592</v>
      </c>
      <c r="BA27" s="8" t="s">
        <v>494</v>
      </c>
      <c r="BB27" s="8">
        <v>2</v>
      </c>
      <c r="BD27" s="8" t="str">
        <f t="shared" si="5"/>
        <v>Find Traps</v>
      </c>
      <c r="BE27" s="8" t="str">
        <f>IF(AND(VLOOKUP(BA27,查询!$C$8:$E$15,3,FALSE)="启用",$B$1=BB27),AZ27,"")</f>
        <v>寻找陷阱</v>
      </c>
      <c r="BF27" s="6" t="str">
        <f t="array" ref="BF27">INDEX(BD:BD,SMALL(IF(BD$1:BD$500&lt;&gt;"",ROW($1:$500),1000),ROW(BD27)))&amp;""</f>
        <v/>
      </c>
      <c r="BG27" s="6" t="str">
        <f t="array" ref="BG27">INDEX(BE:BE,SMALL(IF(BE$1:BE$500&lt;&gt;"",ROW($1:$500),1000),ROW(BE27)))&amp;""</f>
        <v/>
      </c>
      <c r="BI27" s="8" t="s">
        <v>3558</v>
      </c>
      <c r="BJ27" s="8" t="s">
        <v>1717</v>
      </c>
      <c r="BK27" s="8" t="s">
        <v>494</v>
      </c>
      <c r="BL27" s="9">
        <v>0</v>
      </c>
      <c r="BN27" s="8" t="str">
        <f t="shared" si="6"/>
        <v/>
      </c>
      <c r="BO27" s="8" t="str">
        <f>IF(AND(VLOOKUP(BK27,查询!$C$8:$E$15,3,FALSE)="启用",$B$1=BL27),BJ27,"")</f>
        <v/>
      </c>
      <c r="BP27" s="6" t="str">
        <f t="array" ref="BP27">INDEX(BN:BN,SMALL(IF(BN$1:BN$500&lt;&gt;"",ROW($1:$500),1000),ROW(BN27)))&amp;""</f>
        <v>Moonbeam</v>
      </c>
      <c r="BQ27" s="6" t="str">
        <f t="array" ref="BQ27">INDEX(BO:BO,SMALL(IF(BO$1:BO$500&lt;&gt;"",ROW($1:$500),1000),ROW(BO27)))&amp;""</f>
        <v>月华之光</v>
      </c>
      <c r="BS27" s="8" t="s">
        <v>2114</v>
      </c>
      <c r="BT27" s="8" t="s">
        <v>1510</v>
      </c>
      <c r="BU27" s="8" t="s">
        <v>494</v>
      </c>
      <c r="BV27" s="9">
        <v>1</v>
      </c>
      <c r="BX27" s="8" t="str">
        <f t="shared" si="7"/>
        <v/>
      </c>
      <c r="BY27" s="8" t="str">
        <f>IF(AND(VLOOKUP(BU27,查询!$C$8:$E$15,3,FALSE)="启用",$B$1=BV27),BT27,"")</f>
        <v/>
      </c>
      <c r="BZ27" s="6" t="str">
        <f t="array" ref="BZ27">INDEX(BX:BX,SMALL(IF(BX$1:BX$500&lt;&gt;"",ROW($1:$500),1000),ROW(BX27)))&amp;""</f>
        <v>Locate Animals or Plants</v>
      </c>
      <c r="CA27" s="6" t="str">
        <f t="array" ref="CA27">INDEX(BY:BY,SMALL(IF(BY$1:BY$500&lt;&gt;"",ROW($1:$500),1000),ROW(BY27)))&amp;""</f>
        <v>动植物定位术</v>
      </c>
    </row>
    <row r="28" spans="1:79">
      <c r="A28" s="8" t="s">
        <v>3540</v>
      </c>
      <c r="B28" s="8" t="s">
        <v>1470</v>
      </c>
      <c r="C28" s="8" t="s">
        <v>494</v>
      </c>
      <c r="D28" s="9">
        <v>0</v>
      </c>
      <c r="F28" s="8" t="str">
        <f t="shared" si="0"/>
        <v/>
      </c>
      <c r="G28" s="8" t="str">
        <f>IF(AND(VLOOKUP(C28,查询!$C$8:$E$15,3,FALSE)="启用",$B$1=D28),B28,"")</f>
        <v/>
      </c>
      <c r="H28" s="6" t="str">
        <f t="array" ref="H28">INDEX(F:F,SMALL(IF($F$1:$F$500&lt;&gt;"",ROW($1:$500),1000),ROW(F28)))&amp;""</f>
        <v>Shatter</v>
      </c>
      <c r="I28" s="6" t="str">
        <f t="array" ref="I28">INDEX(G:G,SMALL(IF($F$1:$F$500&lt;&gt;"",ROW($1:$500),1000),ROW(G28)))&amp;""</f>
        <v>粉碎音波</v>
      </c>
      <c r="K28" s="8" t="s">
        <v>3544</v>
      </c>
      <c r="L28" s="8" t="s">
        <v>1497</v>
      </c>
      <c r="M28" s="8" t="s">
        <v>494</v>
      </c>
      <c r="N28" s="9">
        <v>0</v>
      </c>
      <c r="P28" s="8" t="str">
        <f t="shared" si="1"/>
        <v/>
      </c>
      <c r="Q28" s="8" t="str">
        <f>IF(AND(VLOOKUP(M28,查询!$C$8:$E$15,3,FALSE)="启用",$B$1=N28),L28,"")</f>
        <v/>
      </c>
      <c r="R28" s="6" t="str">
        <f t="array" ref="R28">INDEX(P:P,SMALL(IF(P$1:P$500&lt;&gt;"",ROW($1:$500),1000),ROW(P28)))&amp;""</f>
        <v>Knock</v>
      </c>
      <c r="S28" s="6" t="str">
        <f t="array" ref="S28">INDEX(Q:Q,SMALL(IF(Q$1:Q$500&lt;&gt;"",ROW($1:$500),1000),ROW(Q28)))&amp;""</f>
        <v>敲击术</v>
      </c>
      <c r="U28" s="8" t="s">
        <v>2023</v>
      </c>
      <c r="V28" s="8" t="s">
        <v>1382</v>
      </c>
      <c r="W28" s="8" t="s">
        <v>494</v>
      </c>
      <c r="X28" s="9">
        <v>1</v>
      </c>
      <c r="Z28" s="8" t="str">
        <f t="shared" si="2"/>
        <v/>
      </c>
      <c r="AA28" s="8" t="str">
        <f>IF(AND(VLOOKUP(W28,查询!$C$8:$E$15,3,FALSE)="启用",$B$1=X28),V28,"")</f>
        <v/>
      </c>
      <c r="AB28" s="6" t="str">
        <f t="array" ref="AB28">INDEX(Z:Z,SMALL(IF(Z$1:Z$500&lt;&gt;"",ROW($1:$500),1000),ROW(Z28)))&amp;""</f>
        <v/>
      </c>
      <c r="AC28" s="6" t="str">
        <f t="array" ref="AC28">INDEX(AA:AA,SMALL(IF(AA$1:AA$500&lt;&gt;"",ROW($1:$500),1000),ROW(AA28)))&amp;""</f>
        <v/>
      </c>
      <c r="AE28" s="8" t="s">
        <v>2366</v>
      </c>
      <c r="AF28" s="8" t="s">
        <v>1484</v>
      </c>
      <c r="AG28" s="8" t="s">
        <v>494</v>
      </c>
      <c r="AH28" s="9">
        <v>2</v>
      </c>
      <c r="AJ28" s="8" t="str">
        <f t="shared" si="3"/>
        <v>Blindness/Deafness</v>
      </c>
      <c r="AK28" s="8" t="str">
        <f>IF(AND(VLOOKUP(AG28,查询!$C$8:$E$15,3,FALSE)="启用",$B$1=AH28),AF28,"")</f>
        <v>目盲/耳聋术</v>
      </c>
      <c r="AL28" s="6" t="str">
        <f t="array" ref="AL28">INDEX(AJ:AJ,SMALL(IF(AJ$1:AJ$500&lt;&gt;"",ROW($1:$500),1000),ROW(AJ28)))&amp;""</f>
        <v/>
      </c>
      <c r="AM28" s="6" t="str">
        <f t="array" ref="AM28">INDEX(AK:AK,SMALL(IF(AK$1:AK$500&lt;&gt;"",ROW($1:$500),1000),ROW(AK28)))&amp;""</f>
        <v/>
      </c>
      <c r="AO28" s="8" t="s">
        <v>2680</v>
      </c>
      <c r="AP28" s="8" t="s">
        <v>1557</v>
      </c>
      <c r="AQ28" s="8" t="s">
        <v>494</v>
      </c>
      <c r="AR28" s="8">
        <v>3</v>
      </c>
      <c r="AT28" s="8" t="str">
        <f t="shared" si="4"/>
        <v/>
      </c>
      <c r="AU28" s="8" t="str">
        <f>IF(AND(VLOOKUP(AQ28,查询!$C$8:$E$15,3,FALSE)="启用",$B$1=AR28),AP28,"")</f>
        <v/>
      </c>
      <c r="AV28" s="6" t="str">
        <f t="array" ref="AV28">INDEX(AT:AT,SMALL(IF(AT$1:AT$500&lt;&gt;"",ROW($1:$500),1000),ROW(AT28)))&amp;""</f>
        <v/>
      </c>
      <c r="AW28" s="6" t="str">
        <f t="array" ref="AW28">INDEX(AU:AU,SMALL(IF(AU$1:AU$500&lt;&gt;"",ROW($1:$500),1000),ROW(AU28)))&amp;""</f>
        <v/>
      </c>
      <c r="AY28" s="8" t="s">
        <v>2436</v>
      </c>
      <c r="AZ28" s="8" t="s">
        <v>1599</v>
      </c>
      <c r="BA28" s="8" t="s">
        <v>494</v>
      </c>
      <c r="BB28" s="8">
        <v>2</v>
      </c>
      <c r="BD28" s="8" t="str">
        <f t="shared" si="5"/>
        <v>Protection from Poison</v>
      </c>
      <c r="BE28" s="8" t="str">
        <f>IF(AND(VLOOKUP(BA28,查询!$C$8:$E$15,3,FALSE)="启用",$B$1=BB28),AZ28,"")</f>
        <v>防护毒素</v>
      </c>
      <c r="BF28" s="6" t="str">
        <f t="array" ref="BF28">INDEX(BD:BD,SMALL(IF(BD$1:BD$500&lt;&gt;"",ROW($1:$500),1000),ROW(BD28)))&amp;""</f>
        <v/>
      </c>
      <c r="BG28" s="6" t="str">
        <f t="array" ref="BG28">INDEX(BE:BE,SMALL(IF(BE$1:BE$500&lt;&gt;"",ROW($1:$500),1000),ROW(BE28)))&amp;""</f>
        <v/>
      </c>
      <c r="BI28" s="8" t="s">
        <v>1950</v>
      </c>
      <c r="BJ28" s="8" t="s">
        <v>1731</v>
      </c>
      <c r="BK28" s="8" t="s">
        <v>578</v>
      </c>
      <c r="BL28" s="9">
        <v>1</v>
      </c>
      <c r="BN28" s="8" t="str">
        <f t="shared" si="6"/>
        <v/>
      </c>
      <c r="BO28" s="8" t="str">
        <f>IF(AND(VLOOKUP(BK28,查询!$C$8:$E$15,3,FALSE)="启用",$B$1=BL28),BJ28,"")</f>
        <v/>
      </c>
      <c r="BP28" s="6" t="str">
        <f t="array" ref="BP28">INDEX(BN:BN,SMALL(IF(BN$1:BN$500&lt;&gt;"",ROW($1:$500),1000),ROW(BN28)))&amp;""</f>
        <v/>
      </c>
      <c r="BQ28" s="6" t="str">
        <f t="array" ref="BQ28">INDEX(BO:BO,SMALL(IF(BO$1:BO$500&lt;&gt;"",ROW($1:$500),1000),ROW(BO28)))&amp;""</f>
        <v/>
      </c>
      <c r="BS28" s="8" t="s">
        <v>2117</v>
      </c>
      <c r="BT28" s="8" t="s">
        <v>1513</v>
      </c>
      <c r="BU28" s="8" t="s">
        <v>494</v>
      </c>
      <c r="BV28" s="9">
        <v>1</v>
      </c>
      <c r="BX28" s="8" t="str">
        <f t="shared" si="7"/>
        <v/>
      </c>
      <c r="BY28" s="8" t="str">
        <f>IF(AND(VLOOKUP(BU28,查询!$C$8:$E$15,3,FALSE)="启用",$B$1=BV28),BT28,"")</f>
        <v/>
      </c>
      <c r="BZ28" s="6" t="str">
        <f t="array" ref="BZ28">INDEX(BX:BX,SMALL(IF(BX$1:BX$500&lt;&gt;"",ROW($1:$500),1000),ROW(BX28)))&amp;""</f>
        <v>Warding Wind</v>
      </c>
      <c r="CA28" s="6" t="str">
        <f t="array" ref="CA28">INDEX(BY:BY,SMALL(IF(BY$1:BY$500&lt;&gt;"",ROW($1:$500),1000),ROW(BY28)))&amp;""</f>
        <v>守护之风E</v>
      </c>
    </row>
    <row r="29" spans="1:79">
      <c r="A29" s="8" t="s">
        <v>3544</v>
      </c>
      <c r="B29" s="8" t="s">
        <v>1497</v>
      </c>
      <c r="C29" s="8" t="s">
        <v>494</v>
      </c>
      <c r="D29" s="9">
        <v>0</v>
      </c>
      <c r="F29" s="8" t="str">
        <f t="shared" si="0"/>
        <v/>
      </c>
      <c r="G29" s="8" t="str">
        <f>IF(AND(VLOOKUP(C29,查询!$C$8:$E$15,3,FALSE)="启用",$B$1=D29),B29,"")</f>
        <v/>
      </c>
      <c r="H29" s="6" t="str">
        <f t="array" ref="H29">INDEX(F:F,SMALL(IF($F$1:$F$500&lt;&gt;"",ROW($1:$500),1000),ROW(F29)))&amp;""</f>
        <v>Suggestion</v>
      </c>
      <c r="I29" s="6" t="str">
        <f t="array" ref="I29">INDEX(G:G,SMALL(IF($F$1:$F$500&lt;&gt;"",ROW($1:$500),1000),ROW(G29)))&amp;""</f>
        <v>暗示术</v>
      </c>
      <c r="K29" s="8" t="s">
        <v>3526</v>
      </c>
      <c r="L29" s="8" t="s">
        <v>1743</v>
      </c>
      <c r="M29" s="8" t="s">
        <v>578</v>
      </c>
      <c r="N29" s="9">
        <v>0</v>
      </c>
      <c r="P29" s="8" t="str">
        <f t="shared" si="1"/>
        <v/>
      </c>
      <c r="Q29" s="8" t="str">
        <f>IF(AND(VLOOKUP(M29,查询!$C$8:$E$15,3,FALSE)="启用",$B$1=N29),L29,"")</f>
        <v/>
      </c>
      <c r="R29" s="6" t="str">
        <f t="array" ref="R29">INDEX(P:P,SMALL(IF(P$1:P$500&lt;&gt;"",ROW($1:$500),1000),ROW(P29)))&amp;""</f>
        <v>Phantasmal Force</v>
      </c>
      <c r="S29" s="6" t="str">
        <f t="array" ref="S29">INDEX(Q:Q,SMALL(IF(Q$1:Q$500&lt;&gt;"",ROW($1:$500),1000),ROW(Q29)))&amp;""</f>
        <v>魅影之力</v>
      </c>
      <c r="U29" s="8" t="s">
        <v>2030</v>
      </c>
      <c r="V29" s="8" t="s">
        <v>1391</v>
      </c>
      <c r="W29" s="8" t="s">
        <v>494</v>
      </c>
      <c r="X29" s="9">
        <v>1</v>
      </c>
      <c r="Z29" s="8" t="str">
        <f t="shared" si="2"/>
        <v/>
      </c>
      <c r="AA29" s="8" t="str">
        <f>IF(AND(VLOOKUP(W29,查询!$C$8:$E$15,3,FALSE)="启用",$B$1=X29),V29,"")</f>
        <v/>
      </c>
      <c r="AB29" s="6" t="str">
        <f t="array" ref="AB29">INDEX(Z:Z,SMALL(IF(Z$1:Z$500&lt;&gt;"",ROW($1:$500),1000),ROW(Z29)))&amp;""</f>
        <v/>
      </c>
      <c r="AC29" s="6" t="str">
        <f t="array" ref="AC29">INDEX(AA:AA,SMALL(IF(AA$1:AA$500&lt;&gt;"",ROW($1:$500),1000),ROW(AA29)))&amp;""</f>
        <v/>
      </c>
      <c r="AE29" s="8" t="s">
        <v>2369</v>
      </c>
      <c r="AF29" s="8" t="s">
        <v>1488</v>
      </c>
      <c r="AG29" s="8" t="s">
        <v>494</v>
      </c>
      <c r="AH29" s="9">
        <v>2</v>
      </c>
      <c r="AJ29" s="8" t="str">
        <f t="shared" si="3"/>
        <v>Zone of Truth</v>
      </c>
      <c r="AK29" s="8" t="str">
        <f>IF(AND(VLOOKUP(AG29,查询!$C$8:$E$15,3,FALSE)="启用",$B$1=AH29),AF29,"")</f>
        <v>诚实之域</v>
      </c>
      <c r="AL29" s="6" t="str">
        <f t="array" ref="AL29">INDEX(AJ:AJ,SMALL(IF(AJ$1:AJ$500&lt;&gt;"",ROW($1:$500),1000),ROW(AJ29)))&amp;""</f>
        <v/>
      </c>
      <c r="AM29" s="6" t="str">
        <f t="array" ref="AM29">INDEX(AK:AK,SMALL(IF(AK$1:AK$500&lt;&gt;"",ROW($1:$500),1000),ROW(AK29)))&amp;""</f>
        <v/>
      </c>
      <c r="AO29" s="8" t="s">
        <v>2682</v>
      </c>
      <c r="AP29" s="8" t="s">
        <v>1561</v>
      </c>
      <c r="AQ29" s="8" t="s">
        <v>494</v>
      </c>
      <c r="AR29" s="8">
        <v>3</v>
      </c>
      <c r="AT29" s="8" t="str">
        <f t="shared" si="4"/>
        <v/>
      </c>
      <c r="AU29" s="8" t="str">
        <f>IF(AND(VLOOKUP(AQ29,查询!$C$8:$E$15,3,FALSE)="启用",$B$1=AR29),AP29,"")</f>
        <v/>
      </c>
      <c r="AV29" s="6" t="str">
        <f t="array" ref="AV29">INDEX(AT:AT,SMALL(IF(AT$1:AT$500&lt;&gt;"",ROW($1:$500),1000),ROW(AT29)))&amp;""</f>
        <v/>
      </c>
      <c r="AW29" s="6" t="str">
        <f t="array" ref="AW29">INDEX(AU:AU,SMALL(IF(AU$1:AU$500&lt;&gt;"",ROW($1:$500),1000),ROW(AU29)))&amp;""</f>
        <v/>
      </c>
      <c r="AY29" s="8" t="s">
        <v>2274</v>
      </c>
      <c r="AZ29" s="8" t="s">
        <v>1329</v>
      </c>
      <c r="BA29" s="8" t="s">
        <v>1249</v>
      </c>
      <c r="BB29" s="8">
        <v>2</v>
      </c>
      <c r="BD29" s="8" t="str">
        <f t="shared" si="5"/>
        <v>Healing Spirit</v>
      </c>
      <c r="BE29" s="8" t="str">
        <f>IF(AND(VLOOKUP(BA29,查询!$C$8:$E$15,3,FALSE)="启用",$B$1=BB29),AZ29,"")</f>
        <v>治愈之魂</v>
      </c>
      <c r="BF29" s="6" t="str">
        <f t="array" ref="BF29">INDEX(BD:BD,SMALL(IF(BD$1:BD$500&lt;&gt;"",ROW($1:$500),1000),ROW(BD29)))&amp;""</f>
        <v/>
      </c>
      <c r="BG29" s="6" t="str">
        <f t="array" ref="BG29">INDEX(BE:BE,SMALL(IF(BE$1:BE$500&lt;&gt;"",ROW($1:$500),1000),ROW(BE29)))&amp;""</f>
        <v/>
      </c>
      <c r="BI29" s="8" t="s">
        <v>1950</v>
      </c>
      <c r="BJ29" s="8" t="s">
        <v>1298</v>
      </c>
      <c r="BK29" s="8" t="s">
        <v>1249</v>
      </c>
      <c r="BL29" s="9">
        <v>1</v>
      </c>
      <c r="BN29" s="8" t="str">
        <f t="shared" si="6"/>
        <v/>
      </c>
      <c r="BO29" s="8" t="str">
        <f>IF(AND(VLOOKUP(BK29,查询!$C$8:$E$15,3,FALSE)="启用",$B$1=BL29),BJ29,"")</f>
        <v/>
      </c>
      <c r="BP29" s="6" t="str">
        <f t="array" ref="BP29">INDEX(BN:BN,SMALL(IF(BN$1:BN$500&lt;&gt;"",ROW($1:$500),1000),ROW(BN29)))&amp;""</f>
        <v/>
      </c>
      <c r="BQ29" s="6" t="str">
        <f t="array" ref="BQ29">INDEX(BO:BO,SMALL(IF(BO$1:BO$500&lt;&gt;"",ROW($1:$500),1000),ROW(BO29)))&amp;""</f>
        <v/>
      </c>
      <c r="BS29" s="8" t="s">
        <v>2122</v>
      </c>
      <c r="BT29" s="8" t="s">
        <v>1518</v>
      </c>
      <c r="BU29" s="8" t="s">
        <v>494</v>
      </c>
      <c r="BV29" s="9">
        <v>1</v>
      </c>
      <c r="BX29" s="8" t="str">
        <f t="shared" si="7"/>
        <v/>
      </c>
      <c r="BY29" s="8" t="str">
        <f>IF(AND(VLOOKUP(BU29,查询!$C$8:$E$15,3,FALSE)="启用",$B$1=BV29),BT29,"")</f>
        <v/>
      </c>
      <c r="BZ29" s="6" t="str">
        <f t="array" ref="BZ29">INDEX(BX:BX,SMALL(IF(BX$1:BX$500&lt;&gt;"",ROW($1:$500),1000),ROW(BX29)))&amp;""</f>
        <v>Heat Metal</v>
      </c>
      <c r="CA29" s="6" t="str">
        <f t="array" ref="CA29">INDEX(BY:BY,SMALL(IF(BY$1:BY$500&lt;&gt;"",ROW($1:$500),1000),ROW(BY29)))&amp;""</f>
        <v>灼热金属</v>
      </c>
    </row>
    <row r="30" spans="1:79">
      <c r="A30" s="8" t="s">
        <v>3526</v>
      </c>
      <c r="B30" s="8" t="s">
        <v>1743</v>
      </c>
      <c r="C30" s="8" t="s">
        <v>578</v>
      </c>
      <c r="D30" s="9">
        <v>0</v>
      </c>
      <c r="F30" s="8" t="str">
        <f t="shared" si="0"/>
        <v/>
      </c>
      <c r="G30" s="8" t="str">
        <f>IF(AND(VLOOKUP(C30,查询!$C$8:$E$15,3,FALSE)="启用",$B$1=D30),B30,"")</f>
        <v/>
      </c>
      <c r="H30" s="6" t="str">
        <f t="array" ref="H30">INDEX(F:F,SMALL(IF($F$1:$F$500&lt;&gt;"",ROW($1:$500),1000),ROW(F30)))&amp;""</f>
        <v>Detect Thoughts</v>
      </c>
      <c r="I30" s="6" t="str">
        <f t="array" ref="I30">INDEX(G:G,SMALL(IF($F$1:$F$500&lt;&gt;"",ROW($1:$500),1000),ROW(G30)))&amp;""</f>
        <v>侦测思想</v>
      </c>
      <c r="K30" s="8" t="s">
        <v>3526</v>
      </c>
      <c r="L30" s="8" t="s">
        <v>1342</v>
      </c>
      <c r="M30" s="8" t="s">
        <v>1249</v>
      </c>
      <c r="N30" s="9">
        <v>0</v>
      </c>
      <c r="P30" s="8" t="str">
        <f t="shared" si="1"/>
        <v/>
      </c>
      <c r="Q30" s="8" t="str">
        <f>IF(AND(VLOOKUP(M30,查询!$C$8:$E$15,3,FALSE)="启用",$B$1=N30),L30,"")</f>
        <v/>
      </c>
      <c r="R30" s="6" t="str">
        <f t="array" ref="R30">INDEX(P:P,SMALL(IF(P$1:P$500&lt;&gt;"",ROW($1:$500),1000),ROW(P30)))&amp;""</f>
        <v>See Invisibility</v>
      </c>
      <c r="S30" s="6" t="str">
        <f t="array" ref="S30">INDEX(Q:Q,SMALL(IF(Q$1:Q$500&lt;&gt;"",ROW($1:$500),1000),ROW(Q30)))&amp;""</f>
        <v>识破隐形</v>
      </c>
      <c r="U30" s="8" t="s">
        <v>2033</v>
      </c>
      <c r="V30" s="8" t="s">
        <v>1398</v>
      </c>
      <c r="W30" s="8" t="s">
        <v>494</v>
      </c>
      <c r="X30" s="9">
        <v>1</v>
      </c>
      <c r="Z30" s="8" t="str">
        <f t="shared" si="2"/>
        <v/>
      </c>
      <c r="AA30" s="8" t="str">
        <f>IF(AND(VLOOKUP(W30,查询!$C$8:$E$15,3,FALSE)="启用",$B$1=X30),V30,"")</f>
        <v/>
      </c>
      <c r="AB30" s="6" t="str">
        <f t="array" ref="AB30">INDEX(Z:Z,SMALL(IF(Z$1:Z$500&lt;&gt;"",ROW($1:$500),1000),ROW(Z30)))&amp;""</f>
        <v/>
      </c>
      <c r="AC30" s="6" t="str">
        <f t="array" ref="AC30">INDEX(AA:AA,SMALL(IF(AA$1:AA$500&lt;&gt;"",ROW($1:$500),1000),ROW(AA30)))&amp;""</f>
        <v/>
      </c>
      <c r="AE30" s="8" t="s">
        <v>2372</v>
      </c>
      <c r="AF30" s="8" t="s">
        <v>1496</v>
      </c>
      <c r="AG30" s="8" t="s">
        <v>494</v>
      </c>
      <c r="AH30" s="9">
        <v>2</v>
      </c>
      <c r="AJ30" s="8" t="str">
        <f t="shared" si="3"/>
        <v>Hold Person</v>
      </c>
      <c r="AK30" s="8" t="str">
        <f>IF(AND(VLOOKUP(AG30,查询!$C$8:$E$15,3,FALSE)="启用",$B$1=AH30),AF30,"")</f>
        <v>人类定身术</v>
      </c>
      <c r="AL30" s="6" t="str">
        <f t="array" ref="AL30">INDEX(AJ:AJ,SMALL(IF(AJ$1:AJ$500&lt;&gt;"",ROW($1:$500),1000),ROW(AJ30)))&amp;""</f>
        <v/>
      </c>
      <c r="AM30" s="6" t="str">
        <f t="array" ref="AM30">INDEX(AK:AK,SMALL(IF(AK$1:AK$500&lt;&gt;"",ROW($1:$500),1000),ROW(AK30)))&amp;""</f>
        <v/>
      </c>
      <c r="AO30" s="8" t="s">
        <v>2684</v>
      </c>
      <c r="AP30" s="8" t="s">
        <v>1564</v>
      </c>
      <c r="AQ30" s="8" t="s">
        <v>494</v>
      </c>
      <c r="AR30" s="8">
        <v>3</v>
      </c>
      <c r="AT30" s="8" t="str">
        <f t="shared" si="4"/>
        <v/>
      </c>
      <c r="AU30" s="8" t="str">
        <f>IF(AND(VLOOKUP(AQ30,查询!$C$8:$E$15,3,FALSE)="启用",$B$1=AR30),AP30,"")</f>
        <v/>
      </c>
      <c r="AV30" s="6" t="str">
        <f t="array" ref="AV30">INDEX(AT:AT,SMALL(IF(AT$1:AT$500&lt;&gt;"",ROW($1:$500),1000),ROW(AT30)))&amp;""</f>
        <v/>
      </c>
      <c r="AW30" s="6" t="str">
        <f t="array" ref="AW30">INDEX(AU:AU,SMALL(IF(AU$1:AU$500&lt;&gt;"",ROW($1:$500),1000),ROW(AU30)))&amp;""</f>
        <v/>
      </c>
      <c r="AY30" s="8" t="s">
        <v>2471</v>
      </c>
      <c r="AZ30" s="8" t="s">
        <v>643</v>
      </c>
      <c r="BA30" s="8" t="s">
        <v>494</v>
      </c>
      <c r="BB30" s="8">
        <v>2</v>
      </c>
      <c r="BD30" s="8" t="str">
        <f t="shared" si="5"/>
        <v>Darkvision</v>
      </c>
      <c r="BE30" s="8" t="str">
        <f>IF(AND(VLOOKUP(BA30,查询!$C$8:$E$15,3,FALSE)="启用",$B$1=BB30),AZ30,"")</f>
        <v>黑暗视觉</v>
      </c>
      <c r="BF30" s="6" t="str">
        <f t="array" ref="BF30">INDEX(BD:BD,SMALL(IF(BD$1:BD$500&lt;&gt;"",ROW($1:$500),1000),ROW(BD30)))&amp;""</f>
        <v/>
      </c>
      <c r="BG30" s="6" t="str">
        <f t="array" ref="BG30">INDEX(BE:BE,SMALL(IF(BE$1:BE$500&lt;&gt;"",ROW($1:$500),1000),ROW(BE30)))&amp;""</f>
        <v/>
      </c>
      <c r="BI30" s="8" t="s">
        <v>2108</v>
      </c>
      <c r="BJ30" s="8" t="s">
        <v>1499</v>
      </c>
      <c r="BK30" s="8" t="s">
        <v>494</v>
      </c>
      <c r="BL30" s="9">
        <v>1</v>
      </c>
      <c r="BN30" s="8" t="str">
        <f t="shared" si="6"/>
        <v/>
      </c>
      <c r="BO30" s="8" t="str">
        <f>IF(AND(VLOOKUP(BK30,查询!$C$8:$E$15,3,FALSE)="启用",$B$1=BL30),BJ30,"")</f>
        <v/>
      </c>
      <c r="BP30" s="6" t="str">
        <f t="array" ref="BP30">INDEX(BN:BN,SMALL(IF(BN$1:BN$500&lt;&gt;"",ROW($1:$500),1000),ROW(BN30)))&amp;""</f>
        <v/>
      </c>
      <c r="BQ30" s="6" t="str">
        <f t="array" ref="BQ30">INDEX(BO:BO,SMALL(IF(BO$1:BO$500&lt;&gt;"",ROW($1:$500),1000),ROW(BO30)))&amp;""</f>
        <v/>
      </c>
      <c r="BS30" s="8" t="s">
        <v>2127</v>
      </c>
      <c r="BT30" s="8" t="s">
        <v>1529</v>
      </c>
      <c r="BU30" s="8" t="s">
        <v>494</v>
      </c>
      <c r="BV30" s="9">
        <v>1</v>
      </c>
      <c r="BX30" s="8" t="str">
        <f t="shared" si="7"/>
        <v/>
      </c>
      <c r="BY30" s="8" t="str">
        <f>IF(AND(VLOOKUP(BU30,查询!$C$8:$E$15,3,FALSE)="启用",$B$1=BV30),BT30,"")</f>
        <v/>
      </c>
      <c r="BZ30" s="6" t="str">
        <f t="array" ref="BZ30">INDEX(BX:BX,SMALL(IF(BX$1:BX$500&lt;&gt;"",ROW($1:$500),1000),ROW(BX30)))&amp;""</f>
        <v/>
      </c>
      <c r="CA30" s="6" t="str">
        <f t="array" ref="CA30">INDEX(BY:BY,SMALL(IF(BY$1:BY$500&lt;&gt;"",ROW($1:$500),1000),ROW(BY30)))&amp;""</f>
        <v/>
      </c>
    </row>
    <row r="31" spans="1:79">
      <c r="A31" s="8" t="s">
        <v>3526</v>
      </c>
      <c r="B31" s="8" t="s">
        <v>1342</v>
      </c>
      <c r="C31" s="8" t="s">
        <v>1249</v>
      </c>
      <c r="D31" s="9">
        <v>0</v>
      </c>
      <c r="F31" s="8" t="str">
        <f t="shared" si="0"/>
        <v/>
      </c>
      <c r="G31" s="8" t="str">
        <f>IF(AND(VLOOKUP(C31,查询!$C$8:$E$15,3,FALSE)="启用",$B$1=D31),B31,"")</f>
        <v/>
      </c>
      <c r="H31" s="6" t="str">
        <f t="array" ref="H31">INDEX(F:F,SMALL(IF($F$1:$F$500&lt;&gt;"",ROW($1:$500),1000),ROW(F31)))&amp;""</f>
        <v>Knock</v>
      </c>
      <c r="I31" s="6" t="str">
        <f t="array" ref="I31">INDEX(G:G,SMALL(IF($F$1:$F$500&lt;&gt;"",ROW($1:$500),1000),ROW(G31)))&amp;""</f>
        <v>敲击术</v>
      </c>
      <c r="K31" s="8" t="s">
        <v>3528</v>
      </c>
      <c r="L31" s="8" t="s">
        <v>1745</v>
      </c>
      <c r="M31" s="8" t="s">
        <v>578</v>
      </c>
      <c r="N31" s="9">
        <v>0</v>
      </c>
      <c r="P31" s="8" t="str">
        <f t="shared" si="1"/>
        <v/>
      </c>
      <c r="Q31" s="8" t="str">
        <f>IF(AND(VLOOKUP(M31,查询!$C$8:$E$15,3,FALSE)="启用",$B$1=N31),L31,"")</f>
        <v/>
      </c>
      <c r="R31" s="6" t="str">
        <f t="array" ref="R31">INDEX(P:P,SMALL(IF(P$1:P$500&lt;&gt;"",ROW($1:$500),1000),ROW(P31)))&amp;""</f>
        <v>Blindness/Deafness</v>
      </c>
      <c r="S31" s="6" t="str">
        <f t="array" ref="S31">INDEX(Q:Q,SMALL(IF(Q$1:Q$500&lt;&gt;"",ROW($1:$500),1000),ROW(Q31)))&amp;""</f>
        <v>目盲/耳聋术</v>
      </c>
      <c r="U31" s="8" t="s">
        <v>2067</v>
      </c>
      <c r="V31" s="8" t="s">
        <v>1436</v>
      </c>
      <c r="W31" s="8" t="s">
        <v>494</v>
      </c>
      <c r="X31" s="9">
        <v>1</v>
      </c>
      <c r="Z31" s="8" t="str">
        <f t="shared" si="2"/>
        <v/>
      </c>
      <c r="AA31" s="8" t="str">
        <f>IF(AND(VLOOKUP(W31,查询!$C$8:$E$15,3,FALSE)="启用",$B$1=X31),V31,"")</f>
        <v/>
      </c>
      <c r="AB31" s="6" t="str">
        <f t="array" ref="AB31">INDEX(Z:Z,SMALL(IF(Z$1:Z$500&lt;&gt;"",ROW($1:$500),1000),ROW(Z31)))&amp;""</f>
        <v/>
      </c>
      <c r="AC31" s="6" t="str">
        <f t="array" ref="AC31">INDEX(AA:AA,SMALL(IF(AA$1:AA$500&lt;&gt;"",ROW($1:$500),1000),ROW(AA31)))&amp;""</f>
        <v/>
      </c>
      <c r="AE31" s="8" t="s">
        <v>2377</v>
      </c>
      <c r="AF31" s="8" t="s">
        <v>1498</v>
      </c>
      <c r="AG31" s="8" t="s">
        <v>494</v>
      </c>
      <c r="AH31" s="9">
        <v>2</v>
      </c>
      <c r="AJ31" s="8" t="str">
        <f t="shared" si="3"/>
        <v>Enhance Ability</v>
      </c>
      <c r="AK31" s="8" t="str">
        <f>IF(AND(VLOOKUP(AG31,查询!$C$8:$E$15,3,FALSE)="启用",$B$1=AH31),AF31,"")</f>
        <v>强化属性</v>
      </c>
      <c r="AL31" s="6" t="str">
        <f t="array" ref="AL31">INDEX(AJ:AJ,SMALL(IF(AJ$1:AJ$500&lt;&gt;"",ROW($1:$500),1000),ROW(AJ31)))&amp;""</f>
        <v/>
      </c>
      <c r="AM31" s="6" t="str">
        <f t="array" ref="AM31">INDEX(AK:AK,SMALL(IF(AK$1:AK$500&lt;&gt;"",ROW($1:$500),1000),ROW(AK31)))&amp;""</f>
        <v/>
      </c>
      <c r="AO31" s="8" t="s">
        <v>2686</v>
      </c>
      <c r="AP31" s="8" t="s">
        <v>1573</v>
      </c>
      <c r="AQ31" s="8" t="s">
        <v>494</v>
      </c>
      <c r="AR31" s="8">
        <v>3</v>
      </c>
      <c r="AT31" s="8" t="str">
        <f t="shared" si="4"/>
        <v/>
      </c>
      <c r="AU31" s="8" t="str">
        <f>IF(AND(VLOOKUP(AQ31,查询!$C$8:$E$15,3,FALSE)="启用",$B$1=AR31),AP31,"")</f>
        <v/>
      </c>
      <c r="AV31" s="6" t="str">
        <f t="array" ref="AV31">INDEX(AT:AT,SMALL(IF(AT$1:AT$500&lt;&gt;"",ROW($1:$500),1000),ROW(AT31)))&amp;""</f>
        <v/>
      </c>
      <c r="AW31" s="6" t="str">
        <f t="array" ref="AW31">INDEX(AU:AU,SMALL(IF(AU$1:AU$500&lt;&gt;"",ROW($1:$500),1000),ROW(AU31)))&amp;""</f>
        <v/>
      </c>
      <c r="AY31" s="8" t="s">
        <v>2475</v>
      </c>
      <c r="AZ31" s="8" t="s">
        <v>1679</v>
      </c>
      <c r="BA31" s="8" t="s">
        <v>494</v>
      </c>
      <c r="BB31" s="8">
        <v>2</v>
      </c>
      <c r="BD31" s="8" t="str">
        <f t="shared" si="5"/>
        <v>Barkskin</v>
      </c>
      <c r="BE31" s="8" t="str">
        <f>IF(AND(VLOOKUP(BA31,查询!$C$8:$E$15,3,FALSE)="启用",$B$1=BB31),AZ31,"")</f>
        <v>树肤术</v>
      </c>
      <c r="BF31" s="6" t="str">
        <f t="array" ref="BF31">INDEX(BD:BD,SMALL(IF(BD$1:BD$500&lt;&gt;"",ROW($1:$500),1000),ROW(BD31)))&amp;""</f>
        <v/>
      </c>
      <c r="BG31" s="6" t="str">
        <f t="array" ref="BG31">INDEX(BE:BE,SMALL(IF(BE$1:BE$500&lt;&gt;"",ROW($1:$500),1000),ROW(BE31)))&amp;""</f>
        <v/>
      </c>
      <c r="BI31" s="8" t="s">
        <v>2111</v>
      </c>
      <c r="BJ31" s="8" t="s">
        <v>1502</v>
      </c>
      <c r="BK31" s="8" t="s">
        <v>494</v>
      </c>
      <c r="BL31" s="9">
        <v>1</v>
      </c>
      <c r="BN31" s="8" t="str">
        <f t="shared" si="6"/>
        <v/>
      </c>
      <c r="BO31" s="8" t="str">
        <f>IF(AND(VLOOKUP(BK31,查询!$C$8:$E$15,3,FALSE)="启用",$B$1=BL31),BJ31,"")</f>
        <v/>
      </c>
      <c r="BP31" s="6" t="str">
        <f t="array" ref="BP31">INDEX(BN:BN,SMALL(IF(BN$1:BN$500&lt;&gt;"",ROW($1:$500),1000),ROW(BN31)))&amp;""</f>
        <v/>
      </c>
      <c r="BQ31" s="6" t="str">
        <f t="array" ref="BQ31">INDEX(BO:BO,SMALL(IF(BO$1:BO$500&lt;&gt;"",ROW($1:$500),1000),ROW(BO31)))&amp;""</f>
        <v/>
      </c>
      <c r="BS31" s="8" t="s">
        <v>2131</v>
      </c>
      <c r="BT31" s="8" t="s">
        <v>1530</v>
      </c>
      <c r="BU31" s="8" t="s">
        <v>494</v>
      </c>
      <c r="BV31" s="9">
        <v>1</v>
      </c>
      <c r="BX31" s="8" t="str">
        <f t="shared" si="7"/>
        <v/>
      </c>
      <c r="BY31" s="8" t="str">
        <f>IF(AND(VLOOKUP(BU31,查询!$C$8:$E$15,3,FALSE)="启用",$B$1=BV31),BT31,"")</f>
        <v/>
      </c>
      <c r="BZ31" s="6" t="str">
        <f t="array" ref="BZ31">INDEX(BX:BX,SMALL(IF(BX$1:BX$500&lt;&gt;"",ROW($1:$500),1000),ROW(BX31)))&amp;""</f>
        <v/>
      </c>
      <c r="CA31" s="6" t="str">
        <f t="array" ref="CA31">INDEX(BY:BY,SMALL(IF(BY$1:BY$500&lt;&gt;"",ROW($1:$500),1000),ROW(BY31)))&amp;""</f>
        <v/>
      </c>
    </row>
    <row r="32" spans="1:79">
      <c r="A32" s="8" t="s">
        <v>3528</v>
      </c>
      <c r="B32" s="8" t="s">
        <v>1745</v>
      </c>
      <c r="C32" s="8" t="s">
        <v>578</v>
      </c>
      <c r="D32" s="9">
        <v>0</v>
      </c>
      <c r="F32" s="8" t="str">
        <f t="shared" si="0"/>
        <v/>
      </c>
      <c r="G32" s="8" t="str">
        <f>IF(AND(VLOOKUP(C32,查询!$C$8:$E$15,3,FALSE)="启用",$B$1=D32),B32,"")</f>
        <v/>
      </c>
      <c r="H32" s="6" t="str">
        <f t="array" ref="H32">INDEX(F:F,SMALL(IF($F$1:$F$500&lt;&gt;"",ROW($1:$500),1000),ROW(F32)))&amp;""</f>
        <v>Phantasmal Force</v>
      </c>
      <c r="I32" s="6" t="str">
        <f t="array" ref="I32">INDEX(G:G,SMALL(IF($F$1:$F$500&lt;&gt;"",ROW($1:$500),1000),ROW(G32)))&amp;""</f>
        <v>魅影之力</v>
      </c>
      <c r="K32" s="8" t="s">
        <v>3528</v>
      </c>
      <c r="L32" s="8" t="s">
        <v>1344</v>
      </c>
      <c r="M32" s="8" t="s">
        <v>1249</v>
      </c>
      <c r="N32" s="9">
        <v>0</v>
      </c>
      <c r="P32" s="8" t="str">
        <f t="shared" si="1"/>
        <v/>
      </c>
      <c r="Q32" s="8" t="str">
        <f>IF(AND(VLOOKUP(M32,查询!$C$8:$E$15,3,FALSE)="启用",$B$1=N32),L32,"")</f>
        <v/>
      </c>
      <c r="R32" s="6" t="str">
        <f t="array" ref="R32">INDEX(P:P,SMALL(IF(P$1:P$500&lt;&gt;"",ROW($1:$500),1000),ROW(P32)))&amp;""</f>
        <v>Hold Person</v>
      </c>
      <c r="S32" s="6" t="str">
        <f t="array" ref="S32">INDEX(Q:Q,SMALL(IF(Q$1:Q$500&lt;&gt;"",ROW($1:$500),1000),ROW(Q32)))&amp;""</f>
        <v>人类定身术</v>
      </c>
      <c r="U32" s="8" t="s">
        <v>2075</v>
      </c>
      <c r="V32" s="8" t="s">
        <v>1438</v>
      </c>
      <c r="W32" s="8" t="s">
        <v>494</v>
      </c>
      <c r="X32" s="9">
        <v>1</v>
      </c>
      <c r="Z32" s="8" t="str">
        <f t="shared" si="2"/>
        <v/>
      </c>
      <c r="AA32" s="8" t="str">
        <f>IF(AND(VLOOKUP(W32,查询!$C$8:$E$15,3,FALSE)="启用",$B$1=X32),V32,"")</f>
        <v/>
      </c>
      <c r="AB32" s="6" t="str">
        <f t="array" ref="AB32">INDEX(Z:Z,SMALL(IF(Z$1:Z$500&lt;&gt;"",ROW($1:$500),1000),ROW(Z32)))&amp;""</f>
        <v/>
      </c>
      <c r="AC32" s="6" t="str">
        <f t="array" ref="AC32">INDEX(AA:AA,SMALL(IF(AA$1:AA$500&lt;&gt;"",ROW($1:$500),1000),ROW(AA32)))&amp;""</f>
        <v/>
      </c>
      <c r="AE32" s="8" t="s">
        <v>2382</v>
      </c>
      <c r="AF32" s="8" t="s">
        <v>1501</v>
      </c>
      <c r="AG32" s="8" t="s">
        <v>494</v>
      </c>
      <c r="AH32" s="9">
        <v>2</v>
      </c>
      <c r="AJ32" s="8" t="str">
        <f t="shared" si="3"/>
        <v>Locate Object</v>
      </c>
      <c r="AK32" s="8" t="str">
        <f>IF(AND(VLOOKUP(AG32,查询!$C$8:$E$15,3,FALSE)="启用",$B$1=AH32),AF32,"")</f>
        <v>物件定位术</v>
      </c>
      <c r="AL32" s="6" t="str">
        <f t="array" ref="AL32">INDEX(AJ:AJ,SMALL(IF(AJ$1:AJ$500&lt;&gt;"",ROW($1:$500),1000),ROW(AJ32)))&amp;""</f>
        <v/>
      </c>
      <c r="AM32" s="6" t="str">
        <f t="array" ref="AM32">INDEX(AK:AK,SMALL(IF(AK$1:AK$500&lt;&gt;"",ROW($1:$500),1000),ROW(AK32)))&amp;""</f>
        <v/>
      </c>
      <c r="AO32" s="8" t="s">
        <v>2690</v>
      </c>
      <c r="AP32" s="8" t="s">
        <v>1575</v>
      </c>
      <c r="AQ32" s="8" t="s">
        <v>494</v>
      </c>
      <c r="AR32" s="8">
        <v>3</v>
      </c>
      <c r="AT32" s="8" t="str">
        <f t="shared" si="4"/>
        <v/>
      </c>
      <c r="AU32" s="8" t="str">
        <f>IF(AND(VLOOKUP(AQ32,查询!$C$8:$E$15,3,FALSE)="启用",$B$1=AR32),AP32,"")</f>
        <v/>
      </c>
      <c r="AV32" s="6" t="str">
        <f t="array" ref="AV32">INDEX(AT:AT,SMALL(IF(AT$1:AT$500&lt;&gt;"",ROW($1:$500),1000),ROW(AT32)))&amp;""</f>
        <v/>
      </c>
      <c r="AW32" s="6" t="str">
        <f t="array" ref="AW32">INDEX(AU:AU,SMALL(IF(AU$1:AU$500&lt;&gt;"",ROW($1:$500),1000),ROW(AU32)))&amp;""</f>
        <v/>
      </c>
      <c r="AY32" s="8" t="s">
        <v>2479</v>
      </c>
      <c r="AZ32" s="8" t="s">
        <v>1680</v>
      </c>
      <c r="BA32" s="8" t="s">
        <v>494</v>
      </c>
      <c r="BB32" s="8">
        <v>2</v>
      </c>
      <c r="BD32" s="8" t="str">
        <f t="shared" si="5"/>
        <v>Beast Sense</v>
      </c>
      <c r="BE32" s="8" t="str">
        <f>IF(AND(VLOOKUP(BA32,查询!$C$8:$E$15,3,FALSE)="启用",$B$1=BB32),AZ32,"")</f>
        <v>野兽知觉</v>
      </c>
      <c r="BF32" s="6" t="str">
        <f t="array" ref="BF32">INDEX(BD:BD,SMALL(IF(BD$1:BD$500&lt;&gt;"",ROW($1:$500),1000),ROW(BD32)))&amp;""</f>
        <v/>
      </c>
      <c r="BG32" s="6" t="str">
        <f t="array" ref="BG32">INDEX(BE:BE,SMALL(IF(BE$1:BE$500&lt;&gt;"",ROW($1:$500),1000),ROW(BE32)))&amp;""</f>
        <v/>
      </c>
      <c r="BI32" s="8" t="s">
        <v>2114</v>
      </c>
      <c r="BJ32" s="8" t="s">
        <v>1510</v>
      </c>
      <c r="BK32" s="8" t="s">
        <v>494</v>
      </c>
      <c r="BL32" s="9">
        <v>1</v>
      </c>
      <c r="BN32" s="8" t="str">
        <f t="shared" si="6"/>
        <v/>
      </c>
      <c r="BO32" s="8" t="str">
        <f>IF(AND(VLOOKUP(BK32,查询!$C$8:$E$15,3,FALSE)="启用",$B$1=BL32),BJ32,"")</f>
        <v/>
      </c>
      <c r="BP32" s="6" t="str">
        <f t="array" ref="BP32">INDEX(BN:BN,SMALL(IF(BN$1:BN$500&lt;&gt;"",ROW($1:$500),1000),ROW(BN32)))&amp;""</f>
        <v/>
      </c>
      <c r="BQ32" s="6" t="str">
        <f t="array" ref="BQ32">INDEX(BO:BO,SMALL(IF(BO$1:BO$500&lt;&gt;"",ROW($1:$500),1000),ROW(BO32)))&amp;""</f>
        <v/>
      </c>
      <c r="BS32" s="8" t="s">
        <v>2136</v>
      </c>
      <c r="BT32" s="8" t="s">
        <v>1531</v>
      </c>
      <c r="BU32" s="8" t="s">
        <v>494</v>
      </c>
      <c r="BV32" s="9">
        <v>1</v>
      </c>
      <c r="BX32" s="8" t="str">
        <f t="shared" si="7"/>
        <v/>
      </c>
      <c r="BY32" s="8" t="str">
        <f>IF(AND(VLOOKUP(BU32,查询!$C$8:$E$15,3,FALSE)="启用",$B$1=BV32),BT32,"")</f>
        <v/>
      </c>
      <c r="BZ32" s="6" t="str">
        <f t="array" ref="BZ32">INDEX(BX:BX,SMALL(IF(BX$1:BX$500&lt;&gt;"",ROW($1:$500),1000),ROW(BX32)))&amp;""</f>
        <v/>
      </c>
      <c r="CA32" s="6" t="str">
        <f t="array" ref="CA32">INDEX(BY:BY,SMALL(IF(BY$1:BY$500&lt;&gt;"",ROW($1:$500),1000),ROW(BY32)))&amp;""</f>
        <v/>
      </c>
    </row>
    <row r="33" spans="1:79">
      <c r="A33" s="8" t="s">
        <v>3528</v>
      </c>
      <c r="B33" s="8" t="s">
        <v>1344</v>
      </c>
      <c r="C33" s="8" t="s">
        <v>1249</v>
      </c>
      <c r="D33" s="9">
        <v>0</v>
      </c>
      <c r="F33" s="8" t="str">
        <f t="shared" si="0"/>
        <v/>
      </c>
      <c r="G33" s="8" t="str">
        <f>IF(AND(VLOOKUP(C33,查询!$C$8:$E$15,3,FALSE)="启用",$B$1=D33),B33,"")</f>
        <v/>
      </c>
      <c r="H33" s="6" t="str">
        <f t="array" ref="H33">INDEX(F:F,SMALL(IF($F$1:$F$500&lt;&gt;"",ROW($1:$500),1000),ROW(F33)))&amp;""</f>
        <v>See Invisibility</v>
      </c>
      <c r="I33" s="6" t="str">
        <f t="array" ref="I33">INDEX(G:G,SMALL(IF($F$1:$F$500&lt;&gt;"",ROW($1:$500),1000),ROW(G33)))&amp;""</f>
        <v>识破隐形</v>
      </c>
      <c r="K33" s="8" t="s">
        <v>3531</v>
      </c>
      <c r="L33" s="8" t="s">
        <v>1746</v>
      </c>
      <c r="M33" s="8" t="s">
        <v>578</v>
      </c>
      <c r="N33" s="9">
        <v>0</v>
      </c>
      <c r="P33" s="8" t="str">
        <f t="shared" si="1"/>
        <v/>
      </c>
      <c r="Q33" s="8" t="str">
        <f>IF(AND(VLOOKUP(M33,查询!$C$8:$E$15,3,FALSE)="启用",$B$1=N33),L33,"")</f>
        <v/>
      </c>
      <c r="R33" s="6" t="str">
        <f t="array" ref="R33">INDEX(P:P,SMALL(IF(P$1:P$500&lt;&gt;"",ROW($1:$500),1000),ROW(P33)))&amp;""</f>
        <v>Enhance Ability</v>
      </c>
      <c r="S33" s="6" t="str">
        <f t="array" ref="S33">INDEX(Q:Q,SMALL(IF(Q$1:Q$500&lt;&gt;"",ROW($1:$500),1000),ROW(Q33)))&amp;""</f>
        <v>强化属性</v>
      </c>
      <c r="U33" s="8" t="s">
        <v>2081</v>
      </c>
      <c r="V33" s="8" t="s">
        <v>1443</v>
      </c>
      <c r="W33" s="8" t="s">
        <v>494</v>
      </c>
      <c r="X33" s="9">
        <v>1</v>
      </c>
      <c r="Z33" s="8" t="str">
        <f t="shared" si="2"/>
        <v/>
      </c>
      <c r="AA33" s="8" t="str">
        <f>IF(AND(VLOOKUP(W33,查询!$C$8:$E$15,3,FALSE)="启用",$B$1=X33),V33,"")</f>
        <v/>
      </c>
      <c r="AB33" s="6" t="str">
        <f t="array" ref="AB33">INDEX(Z:Z,SMALL(IF(Z$1:Z$500&lt;&gt;"",ROW($1:$500),1000),ROW(Z33)))&amp;""</f>
        <v/>
      </c>
      <c r="AC33" s="6" t="str">
        <f t="array" ref="AC33">INDEX(AA:AA,SMALL(IF(AA$1:AA$500&lt;&gt;"",ROW($1:$500),1000),ROW(AA33)))&amp;""</f>
        <v/>
      </c>
      <c r="AE33" s="8" t="s">
        <v>2387</v>
      </c>
      <c r="AF33" s="8" t="s">
        <v>1503</v>
      </c>
      <c r="AG33" s="8" t="s">
        <v>494</v>
      </c>
      <c r="AH33" s="9">
        <v>2</v>
      </c>
      <c r="AJ33" s="8" t="str">
        <f t="shared" si="3"/>
        <v>Lesser Restoration</v>
      </c>
      <c r="AK33" s="8" t="str">
        <f>IF(AND(VLOOKUP(AG33,查询!$C$8:$E$15,3,FALSE)="启用",$B$1=AH33),AF33,"")</f>
        <v>次级复原术</v>
      </c>
      <c r="AL33" s="6" t="str">
        <f t="array" ref="AL33">INDEX(AJ:AJ,SMALL(IF(AJ$1:AJ$500&lt;&gt;"",ROW($1:$500),1000),ROW(AJ33)))&amp;""</f>
        <v/>
      </c>
      <c r="AM33" s="6" t="str">
        <f t="array" ref="AM33">INDEX(AK:AK,SMALL(IF(AK$1:AK$500&lt;&gt;"",ROW($1:$500),1000),ROW(AK33)))&amp;""</f>
        <v/>
      </c>
      <c r="AO33" s="8" t="s">
        <v>2693</v>
      </c>
      <c r="AP33" s="8" t="s">
        <v>1580</v>
      </c>
      <c r="AQ33" s="8" t="s">
        <v>494</v>
      </c>
      <c r="AR33" s="8">
        <v>3</v>
      </c>
      <c r="AT33" s="8" t="str">
        <f t="shared" si="4"/>
        <v/>
      </c>
      <c r="AU33" s="8" t="str">
        <f>IF(AND(VLOOKUP(AQ33,查询!$C$8:$E$15,3,FALSE)="启用",$B$1=AR33),AP33,"")</f>
        <v/>
      </c>
      <c r="AV33" s="6" t="str">
        <f t="array" ref="AV33">INDEX(AT:AT,SMALL(IF(AT$1:AT$500&lt;&gt;"",ROW($1:$500),1000),ROW(AT33)))&amp;""</f>
        <v/>
      </c>
      <c r="AW33" s="6" t="str">
        <f t="array" ref="AW33">INDEX(AU:AU,SMALL(IF(AU$1:AU$500&lt;&gt;"",ROW($1:$500),1000),ROW(AU33)))&amp;""</f>
        <v/>
      </c>
      <c r="AY33" s="8" t="s">
        <v>2481</v>
      </c>
      <c r="AZ33" s="8" t="s">
        <v>1686</v>
      </c>
      <c r="BA33" s="8" t="s">
        <v>494</v>
      </c>
      <c r="BB33" s="8">
        <v>2</v>
      </c>
      <c r="BD33" s="8" t="str">
        <f t="shared" si="5"/>
        <v>Pass without Trace</v>
      </c>
      <c r="BE33" s="8" t="str">
        <f>IF(AND(VLOOKUP(BA33,查询!$C$8:$E$15,3,FALSE)="启用",$B$1=BB33),AZ33,"")</f>
        <v>行动无踪</v>
      </c>
      <c r="BF33" s="6" t="str">
        <f t="array" ref="BF33">INDEX(BD:BD,SMALL(IF(BD$1:BD$500&lt;&gt;"",ROW($1:$500),1000),ROW(BD33)))&amp;""</f>
        <v/>
      </c>
      <c r="BG33" s="6" t="str">
        <f t="array" ref="BG33">INDEX(BE:BE,SMALL(IF(BE$1:BE$500&lt;&gt;"",ROW($1:$500),1000),ROW(BE33)))&amp;""</f>
        <v/>
      </c>
      <c r="BI33" s="8" t="s">
        <v>2131</v>
      </c>
      <c r="BJ33" s="8" t="s">
        <v>1530</v>
      </c>
      <c r="BK33" s="8" t="s">
        <v>494</v>
      </c>
      <c r="BL33" s="9">
        <v>1</v>
      </c>
      <c r="BN33" s="8" t="str">
        <f t="shared" si="6"/>
        <v/>
      </c>
      <c r="BO33" s="8" t="str">
        <f>IF(AND(VLOOKUP(BK33,查询!$C$8:$E$15,3,FALSE)="启用",$B$1=BL33),BJ33,"")</f>
        <v/>
      </c>
      <c r="BP33" s="6" t="str">
        <f t="array" ref="BP33">INDEX(BN:BN,SMALL(IF(BN$1:BN$500&lt;&gt;"",ROW($1:$500),1000),ROW(BN33)))&amp;""</f>
        <v/>
      </c>
      <c r="BQ33" s="6" t="str">
        <f t="array" ref="BQ33">INDEX(BO:BO,SMALL(IF(BO$1:BO$500&lt;&gt;"",ROW($1:$500),1000),ROW(BO33)))&amp;""</f>
        <v/>
      </c>
      <c r="BS33" s="8" t="s">
        <v>2142</v>
      </c>
      <c r="BT33" s="8" t="s">
        <v>1535</v>
      </c>
      <c r="BU33" s="8" t="s">
        <v>494</v>
      </c>
      <c r="BV33" s="9">
        <v>1</v>
      </c>
      <c r="BX33" s="8" t="str">
        <f t="shared" si="7"/>
        <v/>
      </c>
      <c r="BY33" s="8" t="str">
        <f>IF(AND(VLOOKUP(BU33,查询!$C$8:$E$15,3,FALSE)="启用",$B$1=BV33),BT33,"")</f>
        <v/>
      </c>
      <c r="BZ33" s="6" t="str">
        <f t="array" ref="BZ33">INDEX(BX:BX,SMALL(IF(BX$1:BX$500&lt;&gt;"",ROW($1:$500),1000),ROW(BX33)))&amp;""</f>
        <v/>
      </c>
      <c r="CA33" s="6" t="str">
        <f t="array" ref="CA33">INDEX(BY:BY,SMALL(IF(BY$1:BY$500&lt;&gt;"",ROW($1:$500),1000),ROW(BY33)))&amp;""</f>
        <v/>
      </c>
    </row>
    <row r="34" spans="1:79">
      <c r="A34" s="8" t="s">
        <v>3531</v>
      </c>
      <c r="B34" s="8" t="s">
        <v>1746</v>
      </c>
      <c r="C34" s="8" t="s">
        <v>578</v>
      </c>
      <c r="D34" s="9">
        <v>0</v>
      </c>
      <c r="F34" s="8" t="str">
        <f t="shared" si="0"/>
        <v/>
      </c>
      <c r="G34" s="8" t="str">
        <f>IF(AND(VLOOKUP(C34,查询!$C$8:$E$15,3,FALSE)="启用",$B$1=D34),B34,"")</f>
        <v/>
      </c>
      <c r="H34" s="6" t="str">
        <f t="array" ref="H34">INDEX(F:F,SMALL(IF($F$1:$F$500&lt;&gt;"",ROW($1:$500),1000),ROW(F34)))&amp;""</f>
        <v>Blindness/Deafness</v>
      </c>
      <c r="I34" s="6" t="str">
        <f t="array" ref="I34">INDEX(G:G,SMALL(IF($F$1:$F$500&lt;&gt;"",ROW($1:$500),1000),ROW(G34)))&amp;""</f>
        <v>目盲/耳聋术</v>
      </c>
      <c r="K34" s="8" t="s">
        <v>3531</v>
      </c>
      <c r="L34" s="8" t="s">
        <v>1345</v>
      </c>
      <c r="M34" s="8" t="s">
        <v>1249</v>
      </c>
      <c r="N34" s="9">
        <v>0</v>
      </c>
      <c r="P34" s="8" t="str">
        <f t="shared" si="1"/>
        <v/>
      </c>
      <c r="Q34" s="8" t="str">
        <f>IF(AND(VLOOKUP(M34,查询!$C$8:$E$15,3,FALSE)="启用",$B$1=N34),L34,"")</f>
        <v/>
      </c>
      <c r="R34" s="6" t="str">
        <f t="array" ref="R34">INDEX(P:P,SMALL(IF(P$1:P$500&lt;&gt;"",ROW($1:$500),1000),ROW(P34)))&amp;""</f>
        <v>Warding Wind</v>
      </c>
      <c r="S34" s="6" t="str">
        <f t="array" ref="S34">INDEX(Q:Q,SMALL(IF(Q$1:Q$500&lt;&gt;"",ROW($1:$500),1000),ROW(Q34)))&amp;""</f>
        <v>守护之风E</v>
      </c>
      <c r="U34" s="8" t="s">
        <v>2145</v>
      </c>
      <c r="V34" s="8" t="s">
        <v>1540</v>
      </c>
      <c r="W34" s="8" t="s">
        <v>494</v>
      </c>
      <c r="X34" s="9">
        <v>1</v>
      </c>
      <c r="Z34" s="8" t="str">
        <f t="shared" si="2"/>
        <v/>
      </c>
      <c r="AA34" s="8" t="str">
        <f>IF(AND(VLOOKUP(W34,查询!$C$8:$E$15,3,FALSE)="启用",$B$1=X34),V34,"")</f>
        <v/>
      </c>
      <c r="AB34" s="6" t="str">
        <f t="array" ref="AB34">INDEX(Z:Z,SMALL(IF(Z$1:Z$500&lt;&gt;"",ROW($1:$500),1000),ROW(Z34)))&amp;""</f>
        <v/>
      </c>
      <c r="AC34" s="6" t="str">
        <f t="array" ref="AC34">INDEX(AA:AA,SMALL(IF(AA$1:AA$500&lt;&gt;"",ROW($1:$500),1000),ROW(AA34)))&amp;""</f>
        <v/>
      </c>
      <c r="AE34" s="8" t="s">
        <v>2390</v>
      </c>
      <c r="AF34" s="8" t="s">
        <v>1514</v>
      </c>
      <c r="AG34" s="8" t="s">
        <v>494</v>
      </c>
      <c r="AH34" s="9">
        <v>2</v>
      </c>
      <c r="AJ34" s="8" t="str">
        <f t="shared" si="3"/>
        <v>Calm Emotions</v>
      </c>
      <c r="AK34" s="8" t="str">
        <f>IF(AND(VLOOKUP(AG34,查询!$C$8:$E$15,3,FALSE)="启用",$B$1=AH34),AF34,"")</f>
        <v>安定心神</v>
      </c>
      <c r="AL34" s="6" t="str">
        <f t="array" ref="AL34">INDEX(AJ:AJ,SMALL(IF(AJ$1:AJ$500&lt;&gt;"",ROW($1:$500),1000),ROW(AJ34)))&amp;""</f>
        <v/>
      </c>
      <c r="AM34" s="6" t="str">
        <f t="array" ref="AM34">INDEX(AK:AK,SMALL(IF(AK$1:AK$500&lt;&gt;"",ROW($1:$500),1000),ROW(AK34)))&amp;""</f>
        <v/>
      </c>
      <c r="AO34" s="8" t="s">
        <v>2695</v>
      </c>
      <c r="AP34" s="8" t="s">
        <v>1584</v>
      </c>
      <c r="AQ34" s="8" t="s">
        <v>494</v>
      </c>
      <c r="AR34" s="8">
        <v>3</v>
      </c>
      <c r="AT34" s="8" t="str">
        <f t="shared" si="4"/>
        <v/>
      </c>
      <c r="AU34" s="8" t="str">
        <f>IF(AND(VLOOKUP(AQ34,查询!$C$8:$E$15,3,FALSE)="启用",$B$1=AR34),AP34,"")</f>
        <v/>
      </c>
      <c r="AV34" s="6" t="str">
        <f t="array" ref="AV34">INDEX(AT:AT,SMALL(IF(AT$1:AT$500&lt;&gt;"",ROW($1:$500),1000),ROW(AT34)))&amp;""</f>
        <v/>
      </c>
      <c r="AW34" s="6" t="str">
        <f t="array" ref="AW34">INDEX(AU:AU,SMALL(IF(AU$1:AU$500&lt;&gt;"",ROW($1:$500),1000),ROW(AU34)))&amp;""</f>
        <v/>
      </c>
      <c r="AY34" s="8" t="s">
        <v>2485</v>
      </c>
      <c r="AZ34" s="8" t="s">
        <v>1687</v>
      </c>
      <c r="BA34" s="8" t="s">
        <v>494</v>
      </c>
      <c r="BB34" s="8">
        <v>2</v>
      </c>
      <c r="BD34" s="8" t="str">
        <f t="shared" si="5"/>
        <v>Spike Growth</v>
      </c>
      <c r="BE34" s="8" t="str">
        <f>IF(AND(VLOOKUP(BA34,查询!$C$8:$E$15,3,FALSE)="启用",$B$1=BB34),AZ34,"")</f>
        <v>荆棘丛生</v>
      </c>
      <c r="BF34" s="6" t="str">
        <f t="array" ref="BF34">INDEX(BD:BD,SMALL(IF(BD$1:BD$500&lt;&gt;"",ROW($1:$500),1000),ROW(BD34)))&amp;""</f>
        <v/>
      </c>
      <c r="BG34" s="6" t="str">
        <f t="array" ref="BG34">INDEX(BE:BE,SMALL(IF(BE$1:BE$500&lt;&gt;"",ROW($1:$500),1000),ROW(BE34)))&amp;""</f>
        <v/>
      </c>
      <c r="BI34" s="8" t="s">
        <v>2136</v>
      </c>
      <c r="BJ34" s="8" t="s">
        <v>1531</v>
      </c>
      <c r="BK34" s="8" t="s">
        <v>494</v>
      </c>
      <c r="BL34" s="9">
        <v>1</v>
      </c>
      <c r="BN34" s="8" t="str">
        <f t="shared" si="6"/>
        <v/>
      </c>
      <c r="BO34" s="8" t="str">
        <f>IF(AND(VLOOKUP(BK34,查询!$C$8:$E$15,3,FALSE)="启用",$B$1=BL34),BJ34,"")</f>
        <v/>
      </c>
      <c r="BP34" s="6" t="str">
        <f t="array" ref="BP34">INDEX(BN:BN,SMALL(IF(BN$1:BN$500&lt;&gt;"",ROW($1:$500),1000),ROW(BN34)))&amp;""</f>
        <v/>
      </c>
      <c r="BQ34" s="6" t="str">
        <f t="array" ref="BQ34">INDEX(BO:BO,SMALL(IF(BO$1:BO$500&lt;&gt;"",ROW($1:$500),1000),ROW(BO34)))&amp;""</f>
        <v/>
      </c>
      <c r="BS34" s="8" t="s">
        <v>2145</v>
      </c>
      <c r="BT34" s="8" t="s">
        <v>1540</v>
      </c>
      <c r="BU34" s="8" t="s">
        <v>494</v>
      </c>
      <c r="BV34" s="9">
        <v>1</v>
      </c>
      <c r="BX34" s="8" t="str">
        <f t="shared" si="7"/>
        <v/>
      </c>
      <c r="BY34" s="8" t="str">
        <f>IF(AND(VLOOKUP(BU34,查询!$C$8:$E$15,3,FALSE)="启用",$B$1=BV34),BT34,"")</f>
        <v/>
      </c>
      <c r="BZ34" s="6" t="str">
        <f t="array" ref="BZ34">INDEX(BX:BX,SMALL(IF(BX$1:BX$500&lt;&gt;"",ROW($1:$500),1000),ROW(BX34)))&amp;""</f>
        <v/>
      </c>
      <c r="CA34" s="6" t="str">
        <f t="array" ref="CA34">INDEX(BY:BY,SMALL(IF(BY$1:BY$500&lt;&gt;"",ROW($1:$500),1000),ROW(BY34)))&amp;""</f>
        <v/>
      </c>
    </row>
    <row r="35" spans="1:79">
      <c r="A35" s="8" t="s">
        <v>3531</v>
      </c>
      <c r="B35" s="8" t="s">
        <v>1345</v>
      </c>
      <c r="C35" s="8" t="s">
        <v>1249</v>
      </c>
      <c r="D35" s="9">
        <v>0</v>
      </c>
      <c r="F35" s="8" t="str">
        <f t="shared" si="0"/>
        <v/>
      </c>
      <c r="G35" s="8" t="str">
        <f>IF(AND(VLOOKUP(C35,查询!$C$8:$E$15,3,FALSE)="启用",$B$1=D35),B35,"")</f>
        <v/>
      </c>
      <c r="H35" s="6" t="str">
        <f t="array" ref="H35">INDEX(F:F,SMALL(IF($F$1:$F$500&lt;&gt;"",ROW($1:$500),1000),ROW(F35)))&amp;""</f>
        <v>Hold Person</v>
      </c>
      <c r="I35" s="6" t="str">
        <f t="array" ref="I35">INDEX(G:G,SMALL(IF($F$1:$F$500&lt;&gt;"",ROW($1:$500),1000),ROW(G35)))&amp;""</f>
        <v>人类定身术</v>
      </c>
      <c r="K35" s="8" t="s">
        <v>3533</v>
      </c>
      <c r="L35" s="8" t="s">
        <v>1754</v>
      </c>
      <c r="M35" s="8" t="s">
        <v>578</v>
      </c>
      <c r="N35" s="9">
        <v>0</v>
      </c>
      <c r="P35" s="8" t="str">
        <f t="shared" si="1"/>
        <v/>
      </c>
      <c r="Q35" s="8" t="str">
        <f>IF(AND(VLOOKUP(M35,查询!$C$8:$E$15,3,FALSE)="启用",$B$1=N35),L35,"")</f>
        <v/>
      </c>
      <c r="R35" s="6" t="str">
        <f t="array" ref="R35">INDEX(P:P,SMALL(IF(P$1:P$500&lt;&gt;"",ROW($1:$500),1000),ROW(P35)))&amp;""</f>
        <v>Earthbind</v>
      </c>
      <c r="S35" s="6" t="str">
        <f t="array" ref="S35">INDEX(Q:Q,SMALL(IF(Q$1:Q$500&lt;&gt;"",ROW($1:$500),1000),ROW(Q35)))&amp;""</f>
        <v>地缚</v>
      </c>
      <c r="U35" s="8" t="s">
        <v>2167</v>
      </c>
      <c r="V35" s="8" t="s">
        <v>1574</v>
      </c>
      <c r="W35" s="8" t="s">
        <v>494</v>
      </c>
      <c r="X35" s="9">
        <v>1</v>
      </c>
      <c r="Z35" s="8" t="str">
        <f t="shared" si="2"/>
        <v/>
      </c>
      <c r="AA35" s="8" t="str">
        <f>IF(AND(VLOOKUP(W35,查询!$C$8:$E$15,3,FALSE)="启用",$B$1=X35),V35,"")</f>
        <v/>
      </c>
      <c r="AB35" s="6" t="str">
        <f t="array" ref="AB35">INDEX(Z:Z,SMALL(IF(Z$1:Z$500&lt;&gt;"",ROW($1:$500),1000),ROW(Z35)))&amp;""</f>
        <v/>
      </c>
      <c r="AC35" s="6" t="str">
        <f t="array" ref="AC35">INDEX(AA:AA,SMALL(IF(AA$1:AA$500&lt;&gt;"",ROW($1:$500),1000),ROW(AA35)))&amp;""</f>
        <v/>
      </c>
      <c r="AE35" s="8" t="s">
        <v>2417</v>
      </c>
      <c r="AF35" s="8" t="s">
        <v>1577</v>
      </c>
      <c r="AG35" s="8" t="s">
        <v>494</v>
      </c>
      <c r="AH35" s="9">
        <v>2</v>
      </c>
      <c r="AJ35" s="8" t="str">
        <f t="shared" si="3"/>
        <v>Aid</v>
      </c>
      <c r="AK35" s="8" t="str">
        <f>IF(AND(VLOOKUP(AG35,查询!$C$8:$E$15,3,FALSE)="启用",$B$1=AH35),AF35,"")</f>
        <v>援助术</v>
      </c>
      <c r="AL35" s="6" t="str">
        <f t="array" ref="AL35">INDEX(AJ:AJ,SMALL(IF(AJ$1:AJ$500&lt;&gt;"",ROW($1:$500),1000),ROW(AJ35)))&amp;""</f>
        <v/>
      </c>
      <c r="AM35" s="6" t="str">
        <f t="array" ref="AM35">INDEX(AK:AK,SMALL(IF(AK$1:AK$500&lt;&gt;"",ROW($1:$500),1000),ROW(AK35)))&amp;""</f>
        <v/>
      </c>
      <c r="AO35" s="8" t="s">
        <v>2712</v>
      </c>
      <c r="AP35" s="8" t="s">
        <v>1597</v>
      </c>
      <c r="AQ35" s="8" t="s">
        <v>494</v>
      </c>
      <c r="AR35" s="8">
        <v>3</v>
      </c>
      <c r="AT35" s="8" t="str">
        <f t="shared" si="4"/>
        <v/>
      </c>
      <c r="AU35" s="8" t="str">
        <f>IF(AND(VLOOKUP(AQ35,查询!$C$8:$E$15,3,FALSE)="启用",$B$1=AR35),AP35,"")</f>
        <v/>
      </c>
      <c r="AV35" s="6" t="str">
        <f t="array" ref="AV35">INDEX(AT:AT,SMALL(IF(AT$1:AT$500&lt;&gt;"",ROW($1:$500),1000),ROW(AT35)))&amp;""</f>
        <v/>
      </c>
      <c r="AW35" s="6" t="str">
        <f t="array" ref="AW35">INDEX(AU:AU,SMALL(IF(AU$1:AU$500&lt;&gt;"",ROW($1:$500),1000),ROW(AU35)))&amp;""</f>
        <v/>
      </c>
      <c r="AY35" s="8" t="s">
        <v>2559</v>
      </c>
      <c r="AZ35" s="8" t="s">
        <v>1364</v>
      </c>
      <c r="BA35" s="8" t="s">
        <v>494</v>
      </c>
      <c r="BB35" s="8">
        <v>3</v>
      </c>
      <c r="BD35" s="8" t="str">
        <f t="shared" si="5"/>
        <v/>
      </c>
      <c r="BE35" s="8" t="str">
        <f>IF(AND(VLOOKUP(BA35,查询!$C$8:$E$15,3,FALSE)="启用",$B$1=BB35),AZ35,"")</f>
        <v/>
      </c>
      <c r="BF35" s="6" t="str">
        <f t="array" ref="BF35">INDEX(BD:BD,SMALL(IF(BD$1:BD$500&lt;&gt;"",ROW($1:$500),1000),ROW(BD35)))&amp;""</f>
        <v/>
      </c>
      <c r="BG35" s="6" t="str">
        <f t="array" ref="BG35">INDEX(BE:BE,SMALL(IF(BE$1:BE$500&lt;&gt;"",ROW($1:$500),1000),ROW(BE35)))&amp;""</f>
        <v/>
      </c>
      <c r="BI35" s="8" t="s">
        <v>2142</v>
      </c>
      <c r="BJ35" s="8" t="s">
        <v>1535</v>
      </c>
      <c r="BK35" s="8" t="s">
        <v>494</v>
      </c>
      <c r="BL35" s="9">
        <v>1</v>
      </c>
      <c r="BN35" s="8" t="str">
        <f t="shared" si="6"/>
        <v/>
      </c>
      <c r="BO35" s="8" t="str">
        <f>IF(AND(VLOOKUP(BK35,查询!$C$8:$E$15,3,FALSE)="启用",$B$1=BL35),BJ35,"")</f>
        <v/>
      </c>
      <c r="BP35" s="6" t="str">
        <f t="array" ref="BP35">INDEX(BN:BN,SMALL(IF(BN$1:BN$500&lt;&gt;"",ROW($1:$500),1000),ROW(BN35)))&amp;""</f>
        <v/>
      </c>
      <c r="BQ35" s="6" t="str">
        <f t="array" ref="BQ35">INDEX(BO:BO,SMALL(IF(BO$1:BO$500&lt;&gt;"",ROW($1:$500),1000),ROW(BO35)))&amp;""</f>
        <v/>
      </c>
      <c r="BS35" s="8" t="s">
        <v>2148</v>
      </c>
      <c r="BT35" s="8" t="s">
        <v>1543</v>
      </c>
      <c r="BU35" s="8" t="s">
        <v>494</v>
      </c>
      <c r="BV35" s="9">
        <v>1</v>
      </c>
      <c r="BX35" s="8" t="str">
        <f t="shared" si="7"/>
        <v/>
      </c>
      <c r="BY35" s="8" t="str">
        <f>IF(AND(VLOOKUP(BU35,查询!$C$8:$E$15,3,FALSE)="启用",$B$1=BV35),BT35,"")</f>
        <v/>
      </c>
      <c r="BZ35" s="6" t="str">
        <f t="array" ref="BZ35">INDEX(BX:BX,SMALL(IF(BX$1:BX$500&lt;&gt;"",ROW($1:$500),1000),ROW(BX35)))&amp;""</f>
        <v/>
      </c>
      <c r="CA35" s="6" t="str">
        <f t="array" ref="CA35">INDEX(BY:BY,SMALL(IF(BY$1:BY$500&lt;&gt;"",ROW($1:$500),1000),ROW(BY35)))&amp;""</f>
        <v/>
      </c>
    </row>
    <row r="36" spans="1:79">
      <c r="A36" s="8" t="s">
        <v>3533</v>
      </c>
      <c r="B36" s="8" t="s">
        <v>1754</v>
      </c>
      <c r="C36" s="8" t="s">
        <v>578</v>
      </c>
      <c r="D36" s="9">
        <v>0</v>
      </c>
      <c r="F36" s="8" t="str">
        <f t="shared" si="0"/>
        <v/>
      </c>
      <c r="G36" s="8" t="str">
        <f>IF(AND(VLOOKUP(C36,查询!$C$8:$E$15,3,FALSE)="启用",$B$1=D36),B36,"")</f>
        <v/>
      </c>
      <c r="H36" s="6" t="str">
        <f t="array" ref="H36">INDEX(F:F,SMALL(IF($F$1:$F$500&lt;&gt;"",ROW($1:$500),1000),ROW(F36)))&amp;""</f>
        <v>Locate Object</v>
      </c>
      <c r="I36" s="6" t="str">
        <f t="array" ref="I36">INDEX(G:G,SMALL(IF($F$1:$F$500&lt;&gt;"",ROW($1:$500),1000),ROW(G36)))&amp;""</f>
        <v>物件定位术</v>
      </c>
      <c r="K36" s="8" t="s">
        <v>3533</v>
      </c>
      <c r="L36" s="8" t="s">
        <v>1353</v>
      </c>
      <c r="M36" s="8" t="s">
        <v>1249</v>
      </c>
      <c r="N36" s="9">
        <v>0</v>
      </c>
      <c r="P36" s="8" t="str">
        <f t="shared" si="1"/>
        <v/>
      </c>
      <c r="Q36" s="8" t="str">
        <f>IF(AND(VLOOKUP(M36,查询!$C$8:$E$15,3,FALSE)="启用",$B$1=N36),L36,"")</f>
        <v/>
      </c>
      <c r="R36" s="6" t="str">
        <f t="array" ref="R36">INDEX(P:P,SMALL(IF(P$1:P$500&lt;&gt;"",ROW($1:$500),1000),ROW(P36)))&amp;""</f>
        <v>Earthbind</v>
      </c>
      <c r="S36" s="6" t="str">
        <f t="array" ref="S36">INDEX(Q:Q,SMALL(IF(Q$1:Q$500&lt;&gt;"",ROW($1:$500),1000),ROW(Q36)))&amp;""</f>
        <v>地缚</v>
      </c>
      <c r="U36" s="8" t="s">
        <v>1970</v>
      </c>
      <c r="V36" s="8" t="s">
        <v>1310</v>
      </c>
      <c r="W36" s="8" t="s">
        <v>1249</v>
      </c>
      <c r="X36" s="9">
        <v>1</v>
      </c>
      <c r="Z36" s="8" t="str">
        <f t="shared" si="2"/>
        <v/>
      </c>
      <c r="AA36" s="8" t="str">
        <f>IF(AND(VLOOKUP(W36,查询!$C$8:$E$15,3,FALSE)="启用",$B$1=X36),V36,"")</f>
        <v/>
      </c>
      <c r="AB36" s="6" t="str">
        <f t="array" ref="AB36">INDEX(Z:Z,SMALL(IF(Z$1:Z$500&lt;&gt;"",ROW($1:$500),1000),ROW(Z36)))&amp;""</f>
        <v/>
      </c>
      <c r="AC36" s="6" t="str">
        <f t="array" ref="AC36">INDEX(AA:AA,SMALL(IF(AA$1:AA$500&lt;&gt;"",ROW($1:$500),1000),ROW(AA36)))&amp;""</f>
        <v/>
      </c>
      <c r="AE36" s="8" t="s">
        <v>2421</v>
      </c>
      <c r="AF36" s="8" t="s">
        <v>1588</v>
      </c>
      <c r="AG36" s="8" t="s">
        <v>494</v>
      </c>
      <c r="AH36" s="9">
        <v>2</v>
      </c>
      <c r="AJ36" s="8" t="str">
        <f t="shared" si="3"/>
        <v>Continual Flame</v>
      </c>
      <c r="AK36" s="8" t="str">
        <f>IF(AND(VLOOKUP(AG36,查询!$C$8:$E$15,3,FALSE)="启用",$B$1=AH36),AF36,"")</f>
        <v>不灭明焰</v>
      </c>
      <c r="AL36" s="6" t="str">
        <f t="array" ref="AL36">INDEX(AJ:AJ,SMALL(IF(AJ$1:AJ$500&lt;&gt;"",ROW($1:$500),1000),ROW(AJ36)))&amp;""</f>
        <v/>
      </c>
      <c r="AM36" s="6" t="str">
        <f t="array" ref="AM36">INDEX(AK:AK,SMALL(IF(AK$1:AK$500&lt;&gt;"",ROW($1:$500),1000),ROW(AK36)))&amp;""</f>
        <v/>
      </c>
      <c r="AO36" s="8" t="s">
        <v>2796</v>
      </c>
      <c r="AP36" s="8" t="s">
        <v>1500</v>
      </c>
      <c r="AQ36" s="8" t="s">
        <v>494</v>
      </c>
      <c r="AR36" s="8">
        <v>4</v>
      </c>
      <c r="AT36" s="8" t="str">
        <f t="shared" si="4"/>
        <v/>
      </c>
      <c r="AU36" s="8" t="str">
        <f>IF(AND(VLOOKUP(AQ36,查询!$C$8:$E$15,3,FALSE)="启用",$B$1=AR36),AP36,"")</f>
        <v/>
      </c>
      <c r="AV36" s="6" t="str">
        <f t="array" ref="AV36">INDEX(AT:AT,SMALL(IF(AT$1:AT$500&lt;&gt;"",ROW($1:$500),1000),ROW(AT36)))&amp;""</f>
        <v/>
      </c>
      <c r="AW36" s="6" t="str">
        <f t="array" ref="AW36">INDEX(AU:AU,SMALL(IF(AU$1:AU$500&lt;&gt;"",ROW($1:$500),1000),ROW(AU36)))&amp;""</f>
        <v/>
      </c>
      <c r="AY36" s="8" t="s">
        <v>2564</v>
      </c>
      <c r="AZ36" s="8" t="s">
        <v>1370</v>
      </c>
      <c r="BA36" s="8" t="s">
        <v>494</v>
      </c>
      <c r="BB36" s="8">
        <v>3</v>
      </c>
      <c r="BD36" s="8" t="str">
        <f t="shared" si="5"/>
        <v/>
      </c>
      <c r="BE36" s="8" t="str">
        <f>IF(AND(VLOOKUP(BA36,查询!$C$8:$E$15,3,FALSE)="启用",$B$1=BB36),AZ36,"")</f>
        <v/>
      </c>
      <c r="BF36" s="6" t="str">
        <f t="array" ref="BF36">INDEX(BD:BD,SMALL(IF(BD$1:BD$500&lt;&gt;"",ROW($1:$500),1000),ROW(BD36)))&amp;""</f>
        <v/>
      </c>
      <c r="BG36" s="6" t="str">
        <f t="array" ref="BG36">INDEX(BE:BE,SMALL(IF(BE$1:BE$500&lt;&gt;"",ROW($1:$500),1000),ROW(BE36)))&amp;""</f>
        <v/>
      </c>
      <c r="BI36" s="8" t="s">
        <v>2145</v>
      </c>
      <c r="BJ36" s="8" t="s">
        <v>1540</v>
      </c>
      <c r="BK36" s="8" t="s">
        <v>494</v>
      </c>
      <c r="BL36" s="9">
        <v>1</v>
      </c>
      <c r="BN36" s="8" t="str">
        <f t="shared" si="6"/>
        <v/>
      </c>
      <c r="BO36" s="8" t="str">
        <f>IF(AND(VLOOKUP(BK36,查询!$C$8:$E$15,3,FALSE)="启用",$B$1=BL36),BJ36,"")</f>
        <v/>
      </c>
      <c r="BP36" s="6" t="str">
        <f t="array" ref="BP36">INDEX(BN:BN,SMALL(IF(BN$1:BN$500&lt;&gt;"",ROW($1:$500),1000),ROW(BN36)))&amp;""</f>
        <v/>
      </c>
      <c r="BQ36" s="6" t="str">
        <f t="array" ref="BQ36">INDEX(BO:BO,SMALL(IF(BO$1:BO$500&lt;&gt;"",ROW($1:$500),1000),ROW(BO36)))&amp;""</f>
        <v/>
      </c>
      <c r="BS36" s="8" t="s">
        <v>2151</v>
      </c>
      <c r="BT36" s="8" t="s">
        <v>1546</v>
      </c>
      <c r="BU36" s="8" t="s">
        <v>494</v>
      </c>
      <c r="BV36" s="9">
        <v>1</v>
      </c>
      <c r="BX36" s="8" t="str">
        <f t="shared" si="7"/>
        <v/>
      </c>
      <c r="BY36" s="8" t="str">
        <f>IF(AND(VLOOKUP(BU36,查询!$C$8:$E$15,3,FALSE)="启用",$B$1=BV36),BT36,"")</f>
        <v/>
      </c>
      <c r="BZ36" s="6" t="str">
        <f t="array" ref="BZ36">INDEX(BX:BX,SMALL(IF(BX$1:BX$500&lt;&gt;"",ROW($1:$500),1000),ROW(BX36)))&amp;""</f>
        <v/>
      </c>
      <c r="CA36" s="6" t="str">
        <f t="array" ref="CA36">INDEX(BY:BY,SMALL(IF(BY$1:BY$500&lt;&gt;"",ROW($1:$500),1000),ROW(BY36)))&amp;""</f>
        <v/>
      </c>
    </row>
    <row r="37" spans="1:79">
      <c r="A37" s="8" t="s">
        <v>3533</v>
      </c>
      <c r="B37" s="8" t="s">
        <v>1353</v>
      </c>
      <c r="C37" s="8" t="s">
        <v>1249</v>
      </c>
      <c r="D37" s="9">
        <v>0</v>
      </c>
      <c r="F37" s="8" t="str">
        <f t="shared" si="0"/>
        <v/>
      </c>
      <c r="G37" s="8" t="str">
        <f>IF(AND(VLOOKUP(C37,查询!$C$8:$E$15,3,FALSE)="启用",$B$1=D37),B37,"")</f>
        <v/>
      </c>
      <c r="H37" s="6" t="str">
        <f t="array" ref="H37">INDEX(F:F,SMALL(IF($F$1:$F$500&lt;&gt;"",ROW($1:$500),1000),ROW(F37)))&amp;""</f>
        <v>Magic Mouth</v>
      </c>
      <c r="I37" s="6" t="str">
        <f t="array" ref="I37">INDEX(G:G,SMALL(IF($F$1:$F$500&lt;&gt;"",ROW($1:$500),1000),ROW(G37)))&amp;""</f>
        <v>魔嘴术</v>
      </c>
      <c r="K37" s="8" t="s">
        <v>1928</v>
      </c>
      <c r="L37" s="8" t="s">
        <v>1280</v>
      </c>
      <c r="M37" s="8" t="s">
        <v>1249</v>
      </c>
      <c r="N37" s="9">
        <v>1</v>
      </c>
      <c r="P37" s="8" t="str">
        <f t="shared" si="1"/>
        <v/>
      </c>
      <c r="Q37" s="8" t="str">
        <f>IF(AND(VLOOKUP(M37,查询!$C$8:$E$15,3,FALSE)="启用",$B$1=N37),L37,"")</f>
        <v/>
      </c>
      <c r="R37" s="6" t="str">
        <f t="array" ref="R37">INDEX(P:P,SMALL(IF(P$1:P$500&lt;&gt;"",ROW($1:$500),1000),ROW(P37)))&amp;""</f>
        <v>Dust Devil</v>
      </c>
      <c r="S37" s="6" t="str">
        <f t="array" ref="S37">INDEX(Q:Q,SMALL(IF(Q$1:Q$500&lt;&gt;"",ROW($1:$500),1000),ROW(Q37)))&amp;""</f>
        <v>尘土恶魔E</v>
      </c>
      <c r="U37" s="8" t="s">
        <v>2290</v>
      </c>
      <c r="V37" s="8" t="s">
        <v>1376</v>
      </c>
      <c r="W37" s="8" t="s">
        <v>494</v>
      </c>
      <c r="X37" s="9">
        <v>2</v>
      </c>
      <c r="Z37" s="8" t="str">
        <f t="shared" si="2"/>
        <v>Ray of Enfeeblement</v>
      </c>
      <c r="AA37" s="8" t="str">
        <f>IF(AND(VLOOKUP(W37,查询!$C$8:$E$15,3,FALSE)="启用",$B$1=X37),V37,"")</f>
        <v>衰弱射线</v>
      </c>
      <c r="AB37" s="6" t="str">
        <f t="array" ref="AB37">INDEX(Z:Z,SMALL(IF(Z$1:Z$500&lt;&gt;"",ROW($1:$500),1000),ROW(Z37)))&amp;""</f>
        <v/>
      </c>
      <c r="AC37" s="6" t="str">
        <f t="array" ref="AC37">INDEX(AA:AA,SMALL(IF(AA$1:AA$500&lt;&gt;"",ROW($1:$500),1000),ROW(AA37)))&amp;""</f>
        <v/>
      </c>
      <c r="AE37" s="8" t="s">
        <v>2427</v>
      </c>
      <c r="AF37" s="8" t="s">
        <v>1589</v>
      </c>
      <c r="AG37" s="8" t="s">
        <v>494</v>
      </c>
      <c r="AH37" s="9">
        <v>2</v>
      </c>
      <c r="AJ37" s="8" t="str">
        <f t="shared" si="3"/>
        <v>Gentle Repose</v>
      </c>
      <c r="AK37" s="8" t="str">
        <f>IF(AND(VLOOKUP(AG37,查询!$C$8:$E$15,3,FALSE)="启用",$B$1=AH37),AF37,"")</f>
        <v>遗体防腐</v>
      </c>
      <c r="AL37" s="6" t="str">
        <f t="array" ref="AL37">INDEX(AJ:AJ,SMALL(IF(AJ$1:AJ$500&lt;&gt;"",ROW($1:$500),1000),ROW(AJ37)))&amp;""</f>
        <v/>
      </c>
      <c r="AM37" s="6" t="str">
        <f t="array" ref="AM37">INDEX(AK:AK,SMALL(IF(AK$1:AK$500&lt;&gt;"",ROW($1:$500),1000),ROW(AK37)))&amp;""</f>
        <v/>
      </c>
      <c r="AO37" s="8" t="s">
        <v>2814</v>
      </c>
      <c r="AP37" s="8" t="s">
        <v>1553</v>
      </c>
      <c r="AQ37" s="8" t="s">
        <v>494</v>
      </c>
      <c r="AR37" s="8">
        <v>4</v>
      </c>
      <c r="AT37" s="8" t="str">
        <f t="shared" si="4"/>
        <v/>
      </c>
      <c r="AU37" s="8" t="str">
        <f>IF(AND(VLOOKUP(AQ37,查询!$C$8:$E$15,3,FALSE)="启用",$B$1=AR37),AP37,"")</f>
        <v/>
      </c>
      <c r="AV37" s="6" t="str">
        <f t="array" ref="AV37">INDEX(AT:AT,SMALL(IF(AT$1:AT$500&lt;&gt;"",ROW($1:$500),1000),ROW(AT37)))&amp;""</f>
        <v/>
      </c>
      <c r="AW37" s="6" t="str">
        <f t="array" ref="AW37">INDEX(AU:AU,SMALL(IF(AU$1:AU$500&lt;&gt;"",ROW($1:$500),1000),ROW(AU37)))&amp;""</f>
        <v/>
      </c>
      <c r="AY37" s="8" t="s">
        <v>2604</v>
      </c>
      <c r="AZ37" s="8" t="s">
        <v>1433</v>
      </c>
      <c r="BA37" s="8" t="s">
        <v>494</v>
      </c>
      <c r="BB37" s="8">
        <v>3</v>
      </c>
      <c r="BD37" s="8" t="str">
        <f t="shared" si="5"/>
        <v/>
      </c>
      <c r="BE37" s="8" t="str">
        <f>IF(AND(VLOOKUP(BA37,查询!$C$8:$E$15,3,FALSE)="启用",$B$1=BB37),AZ37,"")</f>
        <v/>
      </c>
      <c r="BF37" s="6" t="str">
        <f t="array" ref="BF37">INDEX(BD:BD,SMALL(IF(BD$1:BD$500&lt;&gt;"",ROW($1:$500),1000),ROW(BD37)))&amp;""</f>
        <v/>
      </c>
      <c r="BG37" s="6" t="str">
        <f t="array" ref="BG37">INDEX(BE:BE,SMALL(IF(BE$1:BE$500&lt;&gt;"",ROW($1:$500),1000),ROW(BE37)))&amp;""</f>
        <v/>
      </c>
      <c r="BI37" s="8" t="s">
        <v>2148</v>
      </c>
      <c r="BJ37" s="8" t="s">
        <v>1543</v>
      </c>
      <c r="BK37" s="8" t="s">
        <v>494</v>
      </c>
      <c r="BL37" s="9">
        <v>1</v>
      </c>
      <c r="BN37" s="8" t="str">
        <f t="shared" si="6"/>
        <v/>
      </c>
      <c r="BO37" s="8" t="str">
        <f>IF(AND(VLOOKUP(BK37,查询!$C$8:$E$15,3,FALSE)="启用",$B$1=BL37),BJ37,"")</f>
        <v/>
      </c>
      <c r="BP37" s="6" t="str">
        <f t="array" ref="BP37">INDEX(BN:BN,SMALL(IF(BN$1:BN$500&lt;&gt;"",ROW($1:$500),1000),ROW(BN37)))&amp;""</f>
        <v/>
      </c>
      <c r="BQ37" s="6" t="str">
        <f t="array" ref="BQ37">INDEX(BO:BO,SMALL(IF(BO$1:BO$500&lt;&gt;"",ROW($1:$500),1000),ROW(BO37)))&amp;""</f>
        <v/>
      </c>
      <c r="BS37" s="8" t="s">
        <v>2154</v>
      </c>
      <c r="BT37" s="8" t="s">
        <v>1549</v>
      </c>
      <c r="BU37" s="8" t="s">
        <v>494</v>
      </c>
      <c r="BV37" s="9">
        <v>1</v>
      </c>
      <c r="BX37" s="8" t="str">
        <f t="shared" si="7"/>
        <v/>
      </c>
      <c r="BY37" s="8" t="str">
        <f>IF(AND(VLOOKUP(BU37,查询!$C$8:$E$15,3,FALSE)="启用",$B$1=BV37),BT37,"")</f>
        <v/>
      </c>
      <c r="BZ37" s="6" t="str">
        <f t="array" ref="BZ37">INDEX(BX:BX,SMALL(IF(BX$1:BX$500&lt;&gt;"",ROW($1:$500),1000),ROW(BX37)))&amp;""</f>
        <v/>
      </c>
      <c r="CA37" s="6" t="str">
        <f t="array" ref="CA37">INDEX(BY:BY,SMALL(IF(BY$1:BY$500&lt;&gt;"",ROW($1:$500),1000),ROW(BY37)))&amp;""</f>
        <v/>
      </c>
    </row>
    <row r="38" spans="1:79">
      <c r="A38" s="8" t="s">
        <v>1998</v>
      </c>
      <c r="B38" s="8" t="s">
        <v>1363</v>
      </c>
      <c r="C38" s="8" t="s">
        <v>494</v>
      </c>
      <c r="D38" s="9">
        <v>1</v>
      </c>
      <c r="F38" s="8" t="str">
        <f t="shared" si="0"/>
        <v/>
      </c>
      <c r="G38" s="8" t="str">
        <f>IF(AND(VLOOKUP(C38,查询!$C$8:$E$15,3,FALSE)="启用",$B$1=D38),B38,"")</f>
        <v/>
      </c>
      <c r="H38" s="6" t="str">
        <f t="array" ref="H38">INDEX(F:F,SMALL(IF($F$1:$F$500&lt;&gt;"",ROW($1:$500),1000),ROW(F38)))&amp;""</f>
        <v>Magic Weapon</v>
      </c>
      <c r="I38" s="6" t="str">
        <f t="array" ref="I38">INDEX(G:G,SMALL(IF($F$1:$F$500&lt;&gt;"",ROW($1:$500),1000),ROW(G38)))&amp;""</f>
        <v>魔化武器</v>
      </c>
      <c r="K38" s="8" t="s">
        <v>1940</v>
      </c>
      <c r="L38" s="8" t="s">
        <v>1722</v>
      </c>
      <c r="M38" s="8" t="s">
        <v>578</v>
      </c>
      <c r="N38" s="9">
        <v>1</v>
      </c>
      <c r="P38" s="8" t="str">
        <f t="shared" si="1"/>
        <v/>
      </c>
      <c r="Q38" s="8" t="str">
        <f>IF(AND(VLOOKUP(M38,查询!$C$8:$E$15,3,FALSE)="启用",$B$1=N38),L38,"")</f>
        <v/>
      </c>
      <c r="R38" s="6" t="str">
        <f t="array" ref="R38">INDEX(P:P,SMALL(IF(P$1:P$500&lt;&gt;"",ROW($1:$500),1000),ROW(P38)))&amp;""</f>
        <v>Dust Devil</v>
      </c>
      <c r="S38" s="6" t="str">
        <f t="array" ref="S38">INDEX(Q:Q,SMALL(IF(Q$1:Q$500&lt;&gt;"",ROW($1:$500),1000),ROW(Q38)))&amp;""</f>
        <v>尘土恶魔</v>
      </c>
      <c r="U38" s="8" t="s">
        <v>2244</v>
      </c>
      <c r="V38" s="8" t="s">
        <v>1271</v>
      </c>
      <c r="W38" s="8" t="s">
        <v>1249</v>
      </c>
      <c r="X38" s="9">
        <v>2</v>
      </c>
      <c r="Z38" s="8" t="str">
        <f t="shared" si="2"/>
        <v>Mind Spike</v>
      </c>
      <c r="AA38" s="8" t="str">
        <f>IF(AND(VLOOKUP(W38,查询!$C$8:$E$15,3,FALSE)="启用",$B$1=X38),V38,"")</f>
        <v>心灵尖刺</v>
      </c>
      <c r="AB38" s="6" t="str">
        <f t="array" ref="AB38">INDEX(Z:Z,SMALL(IF(Z$1:Z$500&lt;&gt;"",ROW($1:$500),1000),ROW(Z38)))&amp;""</f>
        <v/>
      </c>
      <c r="AC38" s="6" t="str">
        <f t="array" ref="AC38">INDEX(AA:AA,SMALL(IF(AA$1:AA$500&lt;&gt;"",ROW($1:$500),1000),ROW(AA38)))&amp;""</f>
        <v/>
      </c>
      <c r="AE38" s="8" t="s">
        <v>2433</v>
      </c>
      <c r="AF38" s="8" t="s">
        <v>1592</v>
      </c>
      <c r="AG38" s="8" t="s">
        <v>494</v>
      </c>
      <c r="AH38" s="9">
        <v>2</v>
      </c>
      <c r="AJ38" s="8" t="str">
        <f t="shared" si="3"/>
        <v>Find Traps</v>
      </c>
      <c r="AK38" s="8" t="str">
        <f>IF(AND(VLOOKUP(AG38,查询!$C$8:$E$15,3,FALSE)="启用",$B$1=AH38),AF38,"")</f>
        <v>寻找陷阱</v>
      </c>
      <c r="AL38" s="6" t="str">
        <f t="array" ref="AL38">INDEX(AJ:AJ,SMALL(IF(AJ$1:AJ$500&lt;&gt;"",ROW($1:$500),1000),ROW(AJ38)))&amp;""</f>
        <v/>
      </c>
      <c r="AM38" s="6" t="str">
        <f t="array" ref="AM38">INDEX(AK:AK,SMALL(IF(AK$1:AK$500&lt;&gt;"",ROW($1:$500),1000),ROW(AK38)))&amp;""</f>
        <v/>
      </c>
      <c r="AO38" s="8" t="s">
        <v>2816</v>
      </c>
      <c r="AP38" s="8" t="s">
        <v>1554</v>
      </c>
      <c r="AQ38" s="8" t="s">
        <v>494</v>
      </c>
      <c r="AR38" s="8">
        <v>4</v>
      </c>
      <c r="AT38" s="8" t="str">
        <f t="shared" si="4"/>
        <v/>
      </c>
      <c r="AU38" s="8" t="str">
        <f>IF(AND(VLOOKUP(AQ38,查询!$C$8:$E$15,3,FALSE)="启用",$B$1=AR38),AP38,"")</f>
        <v/>
      </c>
      <c r="AV38" s="6" t="str">
        <f t="array" ref="AV38">INDEX(AT:AT,SMALL(IF(AT$1:AT$500&lt;&gt;"",ROW($1:$500),1000),ROW(AT38)))&amp;""</f>
        <v/>
      </c>
      <c r="AW38" s="6" t="str">
        <f t="array" ref="AW38">INDEX(AU:AU,SMALL(IF(AU$1:AU$500&lt;&gt;"",ROW($1:$500),1000),ROW(AU38)))&amp;""</f>
        <v/>
      </c>
      <c r="AY38" s="8" t="s">
        <v>2671</v>
      </c>
      <c r="AZ38" s="8" t="s">
        <v>1534</v>
      </c>
      <c r="BA38" s="8" t="s">
        <v>494</v>
      </c>
      <c r="BB38" s="8">
        <v>3</v>
      </c>
      <c r="BD38" s="8" t="str">
        <f t="shared" si="5"/>
        <v/>
      </c>
      <c r="BE38" s="8" t="str">
        <f>IF(AND(VLOOKUP(BA38,查询!$C$8:$E$15,3,FALSE)="启用",$B$1=BB38),AZ38,"")</f>
        <v/>
      </c>
      <c r="BF38" s="6" t="str">
        <f t="array" ref="BF38">INDEX(BD:BD,SMALL(IF(BD$1:BD$500&lt;&gt;"",ROW($1:$500),1000),ROW(BD38)))&amp;""</f>
        <v/>
      </c>
      <c r="BG38" s="6" t="str">
        <f t="array" ref="BG38">INDEX(BE:BE,SMALL(IF(BE$1:BE$500&lt;&gt;"",ROW($1:$500),1000),ROW(BE38)))&amp;""</f>
        <v/>
      </c>
      <c r="BI38" s="8" t="s">
        <v>2151</v>
      </c>
      <c r="BJ38" s="8" t="s">
        <v>1546</v>
      </c>
      <c r="BK38" s="8" t="s">
        <v>494</v>
      </c>
      <c r="BL38" s="9">
        <v>1</v>
      </c>
      <c r="BN38" s="8" t="str">
        <f t="shared" si="6"/>
        <v/>
      </c>
      <c r="BO38" s="8" t="str">
        <f>IF(AND(VLOOKUP(BK38,查询!$C$8:$E$15,3,FALSE)="启用",$B$1=BL38),BJ38,"")</f>
        <v/>
      </c>
      <c r="BP38" s="6" t="str">
        <f t="array" ref="BP38">INDEX(BN:BN,SMALL(IF(BN$1:BN$500&lt;&gt;"",ROW($1:$500),1000),ROW(BN38)))&amp;""</f>
        <v/>
      </c>
      <c r="BQ38" s="6" t="str">
        <f t="array" ref="BQ38">INDEX(BO:BO,SMALL(IF(BO$1:BO$500&lt;&gt;"",ROW($1:$500),1000),ROW(BO38)))&amp;""</f>
        <v/>
      </c>
      <c r="BS38" s="8" t="s">
        <v>2265</v>
      </c>
      <c r="BT38" s="8" t="s">
        <v>1730</v>
      </c>
      <c r="BU38" s="8" t="s">
        <v>578</v>
      </c>
      <c r="BV38" s="9">
        <v>2</v>
      </c>
      <c r="BX38" s="8" t="str">
        <f t="shared" si="7"/>
        <v>Pyrotechnics</v>
      </c>
      <c r="BY38" s="8" t="str">
        <f>IF(AND(VLOOKUP(BU38,查询!$C$8:$E$15,3,FALSE)="启用",$B$1=BV38),BT38,"")</f>
        <v>烟火E</v>
      </c>
      <c r="BZ38" s="6" t="str">
        <f t="array" ref="BZ38">INDEX(BX:BX,SMALL(IF(BX$1:BX$500&lt;&gt;"",ROW($1:$500),1000),ROW(BX38)))&amp;""</f>
        <v/>
      </c>
      <c r="CA38" s="6" t="str">
        <f t="array" ref="CA38">INDEX(BY:BY,SMALL(IF(BY$1:BY$500&lt;&gt;"",ROW($1:$500),1000),ROW(BY38)))&amp;""</f>
        <v/>
      </c>
    </row>
    <row r="39" spans="1:79">
      <c r="A39" s="8" t="s">
        <v>1928</v>
      </c>
      <c r="B39" s="8" t="s">
        <v>1280</v>
      </c>
      <c r="C39" s="8" t="s">
        <v>1249</v>
      </c>
      <c r="D39" s="9">
        <v>1</v>
      </c>
      <c r="F39" s="8" t="str">
        <f t="shared" si="0"/>
        <v/>
      </c>
      <c r="G39" s="8" t="str">
        <f>IF(AND(VLOOKUP(C39,查询!$C$8:$E$15,3,FALSE)="启用",$B$1=D39),B39,"")</f>
        <v/>
      </c>
      <c r="H39" s="6" t="str">
        <f t="array" ref="H39">INDEX(F:F,SMALL(IF($F$1:$F$500&lt;&gt;"",ROW($1:$500),1000),ROW(F39)))&amp;""</f>
        <v>Continual Flame</v>
      </c>
      <c r="I39" s="6" t="str">
        <f t="array" ref="I39">INDEX(G:G,SMALL(IF($F$1:$F$500&lt;&gt;"",ROW($1:$500),1000),ROW(G39)))&amp;""</f>
        <v>不灭明焰</v>
      </c>
      <c r="K39" s="8" t="s">
        <v>1940</v>
      </c>
      <c r="L39" s="8" t="s">
        <v>1281</v>
      </c>
      <c r="M39" s="8" t="s">
        <v>1249</v>
      </c>
      <c r="N39" s="9">
        <v>1</v>
      </c>
      <c r="P39" s="8" t="str">
        <f t="shared" si="1"/>
        <v/>
      </c>
      <c r="Q39" s="8" t="str">
        <f>IF(AND(VLOOKUP(M39,查询!$C$8:$E$15,3,FALSE)="启用",$B$1=N39),L39,"")</f>
        <v/>
      </c>
      <c r="R39" s="6" t="str">
        <f t="array" ref="R39">INDEX(P:P,SMALL(IF(P$1:P$500&lt;&gt;"",ROW($1:$500),1000),ROW(P39)))&amp;""</f>
        <v>Darkvision</v>
      </c>
      <c r="S39" s="6" t="str">
        <f t="array" ref="S39">INDEX(Q:Q,SMALL(IF(Q$1:Q$500&lt;&gt;"",ROW($1:$500),1000),ROW(Q39)))&amp;""</f>
        <v>黑暗视觉</v>
      </c>
      <c r="U39" s="8" t="s">
        <v>2248</v>
      </c>
      <c r="V39" s="8" t="s">
        <v>1275</v>
      </c>
      <c r="W39" s="8" t="s">
        <v>1249</v>
      </c>
      <c r="X39" s="9">
        <v>2</v>
      </c>
      <c r="Z39" s="8" t="str">
        <f t="shared" si="2"/>
        <v>Shadow Blade</v>
      </c>
      <c r="AA39" s="8" t="str">
        <f>IF(AND(VLOOKUP(W39,查询!$C$8:$E$15,3,FALSE)="启用",$B$1=X39),V39,"")</f>
        <v>幽影刃</v>
      </c>
      <c r="AB39" s="6" t="str">
        <f t="array" ref="AB39">INDEX(Z:Z,SMALL(IF(Z$1:Z$500&lt;&gt;"",ROW($1:$500),1000),ROW(Z39)))&amp;""</f>
        <v/>
      </c>
      <c r="AC39" s="6" t="str">
        <f t="array" ref="AC39">INDEX(AA:AA,SMALL(IF(AA$1:AA$500&lt;&gt;"",ROW($1:$500),1000),ROW(AA39)))&amp;""</f>
        <v/>
      </c>
      <c r="AE39" s="8" t="s">
        <v>2436</v>
      </c>
      <c r="AF39" s="8" t="s">
        <v>1599</v>
      </c>
      <c r="AG39" s="8" t="s">
        <v>494</v>
      </c>
      <c r="AH39" s="9">
        <v>2</v>
      </c>
      <c r="AJ39" s="8" t="str">
        <f t="shared" si="3"/>
        <v>Protection from Poison</v>
      </c>
      <c r="AK39" s="8" t="str">
        <f>IF(AND(VLOOKUP(AG39,查询!$C$8:$E$15,3,FALSE)="启用",$B$1=AH39),AF39,"")</f>
        <v>防护毒素</v>
      </c>
      <c r="AL39" s="6" t="str">
        <f t="array" ref="AL39">INDEX(AJ:AJ,SMALL(IF(AJ$1:AJ$500&lt;&gt;"",ROW($1:$500),1000),ROW(AJ39)))&amp;""</f>
        <v/>
      </c>
      <c r="AM39" s="6" t="str">
        <f t="array" ref="AM39">INDEX(AK:AK,SMALL(IF(AK$1:AK$500&lt;&gt;"",ROW($1:$500),1000),ROW(AK39)))&amp;""</f>
        <v/>
      </c>
      <c r="AO39" s="8" t="s">
        <v>2771</v>
      </c>
      <c r="AP39" s="8" t="s">
        <v>1301</v>
      </c>
      <c r="AQ39" s="8" t="s">
        <v>1249</v>
      </c>
      <c r="AR39" s="8">
        <v>4</v>
      </c>
      <c r="AT39" s="8" t="str">
        <f t="shared" si="4"/>
        <v/>
      </c>
      <c r="AU39" s="8" t="str">
        <f>IF(AND(VLOOKUP(AQ39,查询!$C$8:$E$15,3,FALSE)="启用",$B$1=AR39),AP39,"")</f>
        <v/>
      </c>
      <c r="AV39" s="6" t="str">
        <f t="array" ref="AV39">INDEX(AT:AT,SMALL(IF(AT$1:AT$500&lt;&gt;"",ROW($1:$500),1000),ROW(AT39)))&amp;""</f>
        <v/>
      </c>
      <c r="AW39" s="6" t="str">
        <f t="array" ref="AW39">INDEX(AU:AU,SMALL(IF(AU$1:AU$500&lt;&gt;"",ROW($1:$500),1000),ROW(AU39)))&amp;""</f>
        <v/>
      </c>
      <c r="AY39" s="8" t="s">
        <v>2674</v>
      </c>
      <c r="AZ39" s="8" t="s">
        <v>1536</v>
      </c>
      <c r="BA39" s="8" t="s">
        <v>494</v>
      </c>
      <c r="BB39" s="8">
        <v>3</v>
      </c>
      <c r="BD39" s="8" t="str">
        <f t="shared" si="5"/>
        <v/>
      </c>
      <c r="BE39" s="8" t="str">
        <f>IF(AND(VLOOKUP(BA39,查询!$C$8:$E$15,3,FALSE)="启用",$B$1=BB39),AZ39,"")</f>
        <v/>
      </c>
      <c r="BF39" s="6" t="str">
        <f t="array" ref="BF39">INDEX(BD:BD,SMALL(IF(BD$1:BD$500&lt;&gt;"",ROW($1:$500),1000),ROW(BD39)))&amp;""</f>
        <v/>
      </c>
      <c r="BG39" s="6" t="str">
        <f t="array" ref="BG39">INDEX(BE:BE,SMALL(IF(BE$1:BE$500&lt;&gt;"",ROW($1:$500),1000),ROW(BE39)))&amp;""</f>
        <v/>
      </c>
      <c r="BI39" s="8" t="s">
        <v>2184</v>
      </c>
      <c r="BJ39" s="8" t="s">
        <v>1598</v>
      </c>
      <c r="BK39" s="8" t="s">
        <v>494</v>
      </c>
      <c r="BL39" s="9">
        <v>1</v>
      </c>
      <c r="BN39" s="8" t="str">
        <f t="shared" si="6"/>
        <v/>
      </c>
      <c r="BO39" s="8" t="str">
        <f>IF(AND(VLOOKUP(BK39,查询!$C$8:$E$15,3,FALSE)="启用",$B$1=BL39),BJ39,"")</f>
        <v/>
      </c>
      <c r="BP39" s="6" t="str">
        <f t="array" ref="BP39">INDEX(BN:BN,SMALL(IF(BN$1:BN$500&lt;&gt;"",ROW($1:$500),1000),ROW(BN39)))&amp;""</f>
        <v/>
      </c>
      <c r="BQ39" s="6" t="str">
        <f t="array" ref="BQ39">INDEX(BO:BO,SMALL(IF(BO$1:BO$500&lt;&gt;"",ROW($1:$500),1000),ROW(BO39)))&amp;""</f>
        <v/>
      </c>
      <c r="BS39" s="8" t="s">
        <v>2265</v>
      </c>
      <c r="BT39" s="8" t="s">
        <v>1294</v>
      </c>
      <c r="BU39" s="8" t="s">
        <v>1249</v>
      </c>
      <c r="BV39" s="9">
        <v>2</v>
      </c>
      <c r="BX39" s="8" t="str">
        <f t="shared" si="7"/>
        <v>Pyrotechnics</v>
      </c>
      <c r="BY39" s="8" t="str">
        <f>IF(AND(VLOOKUP(BU39,查询!$C$8:$E$15,3,FALSE)="启用",$B$1=BV39),BT39,"")</f>
        <v>烟火</v>
      </c>
      <c r="BZ39" s="6" t="str">
        <f t="array" ref="BZ39">INDEX(BX:BX,SMALL(IF(BX$1:BX$500&lt;&gt;"",ROW($1:$500),1000),ROW(BX39)))&amp;""</f>
        <v/>
      </c>
      <c r="CA39" s="6" t="str">
        <f t="array" ref="CA39">INDEX(BY:BY,SMALL(IF(BY$1:BY$500&lt;&gt;"",ROW($1:$500),1000),ROW(BY39)))&amp;""</f>
        <v/>
      </c>
    </row>
    <row r="40" spans="1:79">
      <c r="A40" s="8" t="s">
        <v>1940</v>
      </c>
      <c r="B40" s="8" t="s">
        <v>1722</v>
      </c>
      <c r="C40" s="8" t="s">
        <v>578</v>
      </c>
      <c r="D40" s="9">
        <v>1</v>
      </c>
      <c r="F40" s="8" t="str">
        <f t="shared" si="0"/>
        <v/>
      </c>
      <c r="G40" s="8" t="str">
        <f>IF(AND(VLOOKUP(C40,查询!$C$8:$E$15,3,FALSE)="启用",$B$1=D40),B40,"")</f>
        <v/>
      </c>
      <c r="H40" s="6" t="str">
        <f t="array" ref="H40">INDEX(F:F,SMALL(IF($F$1:$F$500&lt;&gt;"",ROW($1:$500),1000),ROW(F40)))&amp;""</f>
        <v>Gentle Repose</v>
      </c>
      <c r="I40" s="6" t="str">
        <f t="array" ref="I40">INDEX(G:G,SMALL(IF($F$1:$F$500&lt;&gt;"",ROW($1:$500),1000),ROW(G40)))&amp;""</f>
        <v>遗体防腐</v>
      </c>
      <c r="K40" s="8" t="s">
        <v>2030</v>
      </c>
      <c r="L40" s="8" t="s">
        <v>1391</v>
      </c>
      <c r="M40" s="8" t="s">
        <v>494</v>
      </c>
      <c r="N40" s="9">
        <v>1</v>
      </c>
      <c r="P40" s="8" t="str">
        <f t="shared" si="1"/>
        <v/>
      </c>
      <c r="Q40" s="8" t="str">
        <f>IF(AND(VLOOKUP(M40,查询!$C$8:$E$15,3,FALSE)="启用",$B$1=N40),L40,"")</f>
        <v/>
      </c>
      <c r="R40" s="6" t="str">
        <f t="array" ref="R40">INDEX(P:P,SMALL(IF(P$1:P$500&lt;&gt;"",ROW($1:$500),1000),ROW(P40)))&amp;""</f>
        <v>Gust of Wind</v>
      </c>
      <c r="S40" s="6" t="str">
        <f t="array" ref="S40">INDEX(Q:Q,SMALL(IF(Q$1:Q$500&lt;&gt;"",ROW($1:$500),1000),ROW(Q40)))&amp;""</f>
        <v>造风术</v>
      </c>
      <c r="U40" s="8" t="s">
        <v>2296</v>
      </c>
      <c r="V40" s="8" t="s">
        <v>1390</v>
      </c>
      <c r="W40" s="8" t="s">
        <v>494</v>
      </c>
      <c r="X40" s="9">
        <v>2</v>
      </c>
      <c r="Z40" s="8" t="str">
        <f t="shared" si="2"/>
        <v>Darkness</v>
      </c>
      <c r="AA40" s="8" t="str">
        <f>IF(AND(VLOOKUP(W40,查询!$C$8:$E$15,3,FALSE)="启用",$B$1=X40),V40,"")</f>
        <v>黑暗术</v>
      </c>
      <c r="AB40" s="6" t="str">
        <f t="array" ref="AB40">INDEX(Z:Z,SMALL(IF(Z$1:Z$500&lt;&gt;"",ROW($1:$500),1000),ROW(Z40)))&amp;""</f>
        <v/>
      </c>
      <c r="AC40" s="6" t="str">
        <f t="array" ref="AC40">INDEX(AA:AA,SMALL(IF(AA$1:AA$500&lt;&gt;"",ROW($1:$500),1000),ROW(AA40)))&amp;""</f>
        <v/>
      </c>
      <c r="AE40" s="8" t="s">
        <v>2438</v>
      </c>
      <c r="AF40" s="8" t="s">
        <v>1612</v>
      </c>
      <c r="AG40" s="8" t="s">
        <v>494</v>
      </c>
      <c r="AH40" s="9">
        <v>2</v>
      </c>
      <c r="AJ40" s="8" t="str">
        <f t="shared" si="3"/>
        <v>Augury</v>
      </c>
      <c r="AK40" s="8" t="str">
        <f>IF(AND(VLOOKUP(AG40,查询!$C$8:$E$15,3,FALSE)="启用",$B$1=AH40),AF40,"")</f>
        <v>卜筮术</v>
      </c>
      <c r="AL40" s="6" t="str">
        <f t="array" ref="AL40">INDEX(AJ:AJ,SMALL(IF(AJ$1:AJ$500&lt;&gt;"",ROW($1:$500),1000),ROW(AJ40)))&amp;""</f>
        <v/>
      </c>
      <c r="AM40" s="6" t="str">
        <f t="array" ref="AM40">INDEX(AK:AK,SMALL(IF(AK$1:AK$500&lt;&gt;"",ROW($1:$500),1000),ROW(AK40)))&amp;""</f>
        <v/>
      </c>
      <c r="AO40" s="8" t="s">
        <v>2818</v>
      </c>
      <c r="AP40" s="8" t="s">
        <v>1567</v>
      </c>
      <c r="AQ40" s="8" t="s">
        <v>494</v>
      </c>
      <c r="AR40" s="8">
        <v>4</v>
      </c>
      <c r="AT40" s="8" t="str">
        <f t="shared" si="4"/>
        <v/>
      </c>
      <c r="AU40" s="8" t="str">
        <f>IF(AND(VLOOKUP(AQ40,查询!$C$8:$E$15,3,FALSE)="启用",$B$1=AR40),AP40,"")</f>
        <v/>
      </c>
      <c r="AV40" s="6" t="str">
        <f t="array" ref="AV40">INDEX(AT:AT,SMALL(IF(AT$1:AT$500&lt;&gt;"",ROW($1:$500),1000),ROW(AT40)))&amp;""</f>
        <v/>
      </c>
      <c r="AW40" s="6" t="str">
        <f t="array" ref="AW40">INDEX(AU:AU,SMALL(IF(AU$1:AU$500&lt;&gt;"",ROW($1:$500),1000),ROW(AU40)))&amp;""</f>
        <v/>
      </c>
      <c r="AY40" s="8" t="s">
        <v>2703</v>
      </c>
      <c r="AZ40" s="8" t="s">
        <v>1590</v>
      </c>
      <c r="BA40" s="8" t="s">
        <v>494</v>
      </c>
      <c r="BB40" s="8">
        <v>3</v>
      </c>
      <c r="BD40" s="8" t="str">
        <f t="shared" si="5"/>
        <v/>
      </c>
      <c r="BE40" s="8" t="str">
        <f>IF(AND(VLOOKUP(BA40,查询!$C$8:$E$15,3,FALSE)="启用",$B$1=BB40),AZ40,"")</f>
        <v/>
      </c>
      <c r="BF40" s="6" t="str">
        <f t="array" ref="BF40">INDEX(BD:BD,SMALL(IF(BD$1:BD$500&lt;&gt;"",ROW($1:$500),1000),ROW(BD40)))&amp;""</f>
        <v/>
      </c>
      <c r="BG40" s="6" t="str">
        <f t="array" ref="BG40">INDEX(BE:BE,SMALL(IF(BE$1:BE$500&lt;&gt;"",ROW($1:$500),1000),ROW(BE40)))&amp;""</f>
        <v/>
      </c>
      <c r="BI40" s="8" t="s">
        <v>2189</v>
      </c>
      <c r="BJ40" s="8" t="s">
        <v>1600</v>
      </c>
      <c r="BK40" s="8" t="s">
        <v>494</v>
      </c>
      <c r="BL40" s="9">
        <v>1</v>
      </c>
      <c r="BN40" s="8" t="str">
        <f t="shared" si="6"/>
        <v/>
      </c>
      <c r="BO40" s="8" t="str">
        <f>IF(AND(VLOOKUP(BK40,查询!$C$8:$E$15,3,FALSE)="启用",$B$1=BL40),BJ40,"")</f>
        <v/>
      </c>
      <c r="BP40" s="6" t="str">
        <f t="array" ref="BP40">INDEX(BN:BN,SMALL(IF(BN$1:BN$500&lt;&gt;"",ROW($1:$500),1000),ROW(BN40)))&amp;""</f>
        <v/>
      </c>
      <c r="BQ40" s="6" t="str">
        <f t="array" ref="BQ40">INDEX(BO:BO,SMALL(IF(BO$1:BO$500&lt;&gt;"",ROW($1:$500),1000),ROW(BO40)))&amp;""</f>
        <v/>
      </c>
      <c r="BS40" s="8" t="s">
        <v>2267</v>
      </c>
      <c r="BT40" s="8" t="s">
        <v>1299</v>
      </c>
      <c r="BU40" s="8" t="s">
        <v>1249</v>
      </c>
      <c r="BV40" s="9">
        <v>2</v>
      </c>
      <c r="BX40" s="8" t="str">
        <f t="shared" si="7"/>
        <v>Warding Wind</v>
      </c>
      <c r="BY40" s="8" t="str">
        <f>IF(AND(VLOOKUP(BU40,查询!$C$8:$E$15,3,FALSE)="启用",$B$1=BV40),BT40,"")</f>
        <v>守护之风</v>
      </c>
      <c r="BZ40" s="6" t="str">
        <f t="array" ref="BZ40">INDEX(BX:BX,SMALL(IF(BX$1:BX$500&lt;&gt;"",ROW($1:$500),1000),ROW(BX40)))&amp;""</f>
        <v/>
      </c>
      <c r="CA40" s="6" t="str">
        <f t="array" ref="CA40">INDEX(BY:BY,SMALL(IF(BY$1:BY$500&lt;&gt;"",ROW($1:$500),1000),ROW(BY40)))&amp;""</f>
        <v/>
      </c>
    </row>
    <row r="41" spans="1:79">
      <c r="A41" s="8" t="s">
        <v>1940</v>
      </c>
      <c r="B41" s="8" t="s">
        <v>1281</v>
      </c>
      <c r="C41" s="8" t="s">
        <v>1249</v>
      </c>
      <c r="D41" s="9">
        <v>1</v>
      </c>
      <c r="F41" s="8" t="str">
        <f t="shared" si="0"/>
        <v/>
      </c>
      <c r="G41" s="8" t="str">
        <f>IF(AND(VLOOKUP(C41,查询!$C$8:$E$15,3,FALSE)="启用",$B$1=D41),B41,"")</f>
        <v/>
      </c>
      <c r="H41" s="6" t="str">
        <f t="array" ref="H41">INDEX(F:F,SMALL(IF($F$1:$F$500&lt;&gt;"",ROW($1:$500),1000),ROW(F41)))&amp;""</f>
        <v>Arcane Lock</v>
      </c>
      <c r="I41" s="6" t="str">
        <f t="array" ref="I41">INDEX(G:G,SMALL(IF($F$1:$F$500&lt;&gt;"",ROW($1:$500),1000),ROW(G41)))&amp;""</f>
        <v>秘法锁</v>
      </c>
      <c r="K41" s="8" t="s">
        <v>2033</v>
      </c>
      <c r="L41" s="8" t="s">
        <v>1398</v>
      </c>
      <c r="M41" s="8" t="s">
        <v>494</v>
      </c>
      <c r="N41" s="9">
        <v>1</v>
      </c>
      <c r="P41" s="8" t="str">
        <f t="shared" si="1"/>
        <v/>
      </c>
      <c r="Q41" s="8" t="str">
        <f>IF(AND(VLOOKUP(M41,查询!$C$8:$E$15,3,FALSE)="启用",$B$1=N41),L41,"")</f>
        <v/>
      </c>
      <c r="R41" s="6" t="str">
        <f t="array" ref="R41">INDEX(P:P,SMALL(IF(P$1:P$500&lt;&gt;"",ROW($1:$500),1000),ROW(P41)))&amp;""</f>
        <v/>
      </c>
      <c r="S41" s="6" t="str">
        <f t="array" ref="S41">INDEX(Q:Q,SMALL(IF(Q$1:Q$500&lt;&gt;"",ROW($1:$500),1000),ROW(Q41)))&amp;""</f>
        <v/>
      </c>
      <c r="U41" s="8" t="s">
        <v>2300</v>
      </c>
      <c r="V41" s="8" t="s">
        <v>1395</v>
      </c>
      <c r="W41" s="8" t="s">
        <v>494</v>
      </c>
      <c r="X41" s="9">
        <v>2</v>
      </c>
      <c r="Z41" s="8" t="str">
        <f t="shared" si="2"/>
        <v>Mirror Image</v>
      </c>
      <c r="AA41" s="8" t="str">
        <f>IF(AND(VLOOKUP(W41,查询!$C$8:$E$15,3,FALSE)="启用",$B$1=X41),V41,"")</f>
        <v>镜影术</v>
      </c>
      <c r="AB41" s="6" t="str">
        <f t="array" ref="AB41">INDEX(Z:Z,SMALL(IF(Z$1:Z$500&lt;&gt;"",ROW($1:$500),1000),ROW(Z41)))&amp;""</f>
        <v/>
      </c>
      <c r="AC41" s="6" t="str">
        <f t="array" ref="AC41">INDEX(AA:AA,SMALL(IF(AA$1:AA$500&lt;&gt;"",ROW($1:$500),1000),ROW(AA41)))&amp;""</f>
        <v/>
      </c>
      <c r="AE41" s="8" t="s">
        <v>2442</v>
      </c>
      <c r="AF41" s="8" t="s">
        <v>1630</v>
      </c>
      <c r="AG41" s="8" t="s">
        <v>494</v>
      </c>
      <c r="AH41" s="9">
        <v>2</v>
      </c>
      <c r="AJ41" s="8" t="str">
        <f t="shared" si="3"/>
        <v>Prayer of Healing</v>
      </c>
      <c r="AK41" s="8" t="str">
        <f>IF(AND(VLOOKUP(AG41,查询!$C$8:$E$15,3,FALSE)="启用",$B$1=AH41),AF41,"")</f>
        <v>治疗祷言</v>
      </c>
      <c r="AL41" s="6" t="str">
        <f t="array" ref="AL41">INDEX(AJ:AJ,SMALL(IF(AJ$1:AJ$500&lt;&gt;"",ROW($1:$500),1000),ROW(AJ41)))&amp;""</f>
        <v/>
      </c>
      <c r="AM41" s="6" t="str">
        <f t="array" ref="AM41">INDEX(AK:AK,SMALL(IF(AK$1:AK$500&lt;&gt;"",ROW($1:$500),1000),ROW(AK41)))&amp;""</f>
        <v/>
      </c>
      <c r="AO41" s="8" t="s">
        <v>2820</v>
      </c>
      <c r="AP41" s="8" t="s">
        <v>1576</v>
      </c>
      <c r="AQ41" s="8" t="s">
        <v>494</v>
      </c>
      <c r="AR41" s="8">
        <v>4</v>
      </c>
      <c r="AT41" s="8" t="str">
        <f t="shared" si="4"/>
        <v/>
      </c>
      <c r="AU41" s="8" t="str">
        <f>IF(AND(VLOOKUP(AQ41,查询!$C$8:$E$15,3,FALSE)="启用",$B$1=AR41),AP41,"")</f>
        <v/>
      </c>
      <c r="AV41" s="6" t="str">
        <f t="array" ref="AV41">INDEX(AT:AT,SMALL(IF(AT$1:AT$500&lt;&gt;"",ROW($1:$500),1000),ROW(AT41)))&amp;""</f>
        <v/>
      </c>
      <c r="AW41" s="6" t="str">
        <f t="array" ref="AW41">INDEX(AU:AU,SMALL(IF(AU$1:AU$500&lt;&gt;"",ROW($1:$500),1000),ROW(AU41)))&amp;""</f>
        <v/>
      </c>
      <c r="AY41" s="8" t="s">
        <v>2706</v>
      </c>
      <c r="AZ41" s="8" t="s">
        <v>1591</v>
      </c>
      <c r="BA41" s="8" t="s">
        <v>494</v>
      </c>
      <c r="BB41" s="8">
        <v>3</v>
      </c>
      <c r="BD41" s="8" t="str">
        <f t="shared" si="5"/>
        <v/>
      </c>
      <c r="BE41" s="8" t="str">
        <f>IF(AND(VLOOKUP(BA41,查询!$C$8:$E$15,3,FALSE)="启用",$B$1=BB41),AZ41,"")</f>
        <v/>
      </c>
      <c r="BF41" s="6" t="str">
        <f t="array" ref="BF41">INDEX(BD:BD,SMALL(IF(BD$1:BD$500&lt;&gt;"",ROW($1:$500),1000),ROW(BD41)))&amp;""</f>
        <v/>
      </c>
      <c r="BG41" s="6" t="str">
        <f t="array" ref="BG41">INDEX(BE:BE,SMALL(IF(BE$1:BE$500&lt;&gt;"",ROW($1:$500),1000),ROW(BE41)))&amp;""</f>
        <v/>
      </c>
      <c r="BI41" s="8" t="s">
        <v>2194</v>
      </c>
      <c r="BJ41" s="8" t="s">
        <v>1605</v>
      </c>
      <c r="BK41" s="8" t="s">
        <v>494</v>
      </c>
      <c r="BL41" s="9">
        <v>1</v>
      </c>
      <c r="BN41" s="8" t="str">
        <f t="shared" si="6"/>
        <v/>
      </c>
      <c r="BO41" s="8" t="str">
        <f>IF(AND(VLOOKUP(BK41,查询!$C$8:$E$15,3,FALSE)="启用",$B$1=BL41),BJ41,"")</f>
        <v/>
      </c>
      <c r="BP41" s="6" t="str">
        <f t="array" ref="BP41">INDEX(BN:BN,SMALL(IF(BN$1:BN$500&lt;&gt;"",ROW($1:$500),1000),ROW(BN41)))&amp;""</f>
        <v/>
      </c>
      <c r="BQ41" s="6" t="str">
        <f t="array" ref="BQ41">INDEX(BO:BO,SMALL(IF(BO$1:BO$500&lt;&gt;"",ROW($1:$500),1000),ROW(BO41)))&amp;""</f>
        <v/>
      </c>
      <c r="BS41" s="8" t="s">
        <v>2269</v>
      </c>
      <c r="BT41" s="8" t="s">
        <v>1732</v>
      </c>
      <c r="BU41" s="8" t="s">
        <v>578</v>
      </c>
      <c r="BV41" s="9">
        <v>2</v>
      </c>
      <c r="BX41" s="8" t="str">
        <f t="shared" si="7"/>
        <v>Skywrite</v>
      </c>
      <c r="BY41" s="8" t="str">
        <f>IF(AND(VLOOKUP(BU41,查询!$C$8:$E$15,3,FALSE)="启用",$B$1=BV41),BT41,"")</f>
        <v>空中写字E</v>
      </c>
      <c r="BZ41" s="6" t="str">
        <f t="array" ref="BZ41">INDEX(BX:BX,SMALL(IF(BX$1:BX$500&lt;&gt;"",ROW($1:$500),1000),ROW(BX41)))&amp;""</f>
        <v/>
      </c>
      <c r="CA41" s="6" t="str">
        <f t="array" ref="CA41">INDEX(BY:BY,SMALL(IF(BY$1:BY$500&lt;&gt;"",ROW($1:$500),1000),ROW(BY41)))&amp;""</f>
        <v/>
      </c>
    </row>
    <row r="42" spans="1:79">
      <c r="A42" s="8" t="s">
        <v>2030</v>
      </c>
      <c r="B42" s="8" t="s">
        <v>1391</v>
      </c>
      <c r="C42" s="8" t="s">
        <v>494</v>
      </c>
      <c r="D42" s="9">
        <v>1</v>
      </c>
      <c r="F42" s="8" t="str">
        <f t="shared" si="0"/>
        <v/>
      </c>
      <c r="G42" s="8" t="str">
        <f>IF(AND(VLOOKUP(C42,查询!$C$8:$E$15,3,FALSE)="启用",$B$1=D42),B42,"")</f>
        <v/>
      </c>
      <c r="H42" s="6" t="str">
        <f t="array" ref="H42">INDEX(F:F,SMALL(IF($F$1:$F$500&lt;&gt;"",ROW($1:$500),1000),ROW(F42)))&amp;""</f>
        <v>Flaming Sphere</v>
      </c>
      <c r="I42" s="6" t="str">
        <f t="array" ref="I42">INDEX(G:G,SMALL(IF($F$1:$F$500&lt;&gt;"",ROW($1:$500),1000),ROW(G42)))&amp;""</f>
        <v>炽焰法球</v>
      </c>
      <c r="K42" s="8" t="s">
        <v>1928</v>
      </c>
      <c r="L42" s="8" t="s">
        <v>1729</v>
      </c>
      <c r="M42" s="8" t="s">
        <v>578</v>
      </c>
      <c r="N42" s="9">
        <v>1</v>
      </c>
      <c r="P42" s="8" t="str">
        <f t="shared" si="1"/>
        <v/>
      </c>
      <c r="Q42" s="8" t="str">
        <f>IF(AND(VLOOKUP(M42,查询!$C$8:$E$15,3,FALSE)="启用",$B$1=N42),L42,"")</f>
        <v/>
      </c>
      <c r="R42" s="6" t="str">
        <f t="array" ref="R42">INDEX(P:P,SMALL(IF(P$1:P$500&lt;&gt;"",ROW($1:$500),1000),ROW(P42)))&amp;""</f>
        <v/>
      </c>
      <c r="S42" s="6" t="str">
        <f t="array" ref="S42">INDEX(Q:Q,SMALL(IF(Q$1:Q$500&lt;&gt;"",ROW($1:$500),1000),ROW(Q42)))&amp;""</f>
        <v/>
      </c>
      <c r="U42" s="8" t="s">
        <v>2302</v>
      </c>
      <c r="V42" s="8" t="s">
        <v>1396</v>
      </c>
      <c r="W42" s="8" t="s">
        <v>494</v>
      </c>
      <c r="X42" s="9">
        <v>2</v>
      </c>
      <c r="Z42" s="8" t="str">
        <f t="shared" si="2"/>
        <v>Misty Step</v>
      </c>
      <c r="AA42" s="8" t="str">
        <f>IF(AND(VLOOKUP(W42,查询!$C$8:$E$15,3,FALSE)="启用",$B$1=X42),V42,"")</f>
        <v>迷踪步</v>
      </c>
      <c r="AB42" s="6" t="str">
        <f t="array" ref="AB42">INDEX(Z:Z,SMALL(IF(Z$1:Z$500&lt;&gt;"",ROW($1:$500),1000),ROW(Z42)))&amp;""</f>
        <v/>
      </c>
      <c r="AC42" s="6" t="str">
        <f t="array" ref="AC42">INDEX(AA:AA,SMALL(IF(AA$1:AA$500&lt;&gt;"",ROW($1:$500),1000),ROW(AA42)))&amp;""</f>
        <v/>
      </c>
      <c r="AE42" s="8" t="s">
        <v>2444</v>
      </c>
      <c r="AF42" s="8" t="s">
        <v>1635</v>
      </c>
      <c r="AG42" s="8" t="s">
        <v>494</v>
      </c>
      <c r="AH42" s="9">
        <v>2</v>
      </c>
      <c r="AJ42" s="8" t="str">
        <f t="shared" si="3"/>
        <v>Spiritual Weapon</v>
      </c>
      <c r="AK42" s="8" t="str">
        <f>IF(AND(VLOOKUP(AG42,查询!$C$8:$E$15,3,FALSE)="启用",$B$1=AH42),AF42,"")</f>
        <v>灵体武器</v>
      </c>
      <c r="AL42" s="6" t="str">
        <f t="array" ref="AL42">INDEX(AJ:AJ,SMALL(IF(AJ$1:AJ$500&lt;&gt;"",ROW($1:$500),1000),ROW(AJ42)))&amp;""</f>
        <v/>
      </c>
      <c r="AM42" s="6" t="str">
        <f t="array" ref="AM42">INDEX(AK:AK,SMALL(IF(AK$1:AK$500&lt;&gt;"",ROW($1:$500),1000),ROW(AK42)))&amp;""</f>
        <v/>
      </c>
      <c r="AO42" s="8" t="s">
        <v>2825</v>
      </c>
      <c r="AP42" s="8" t="s">
        <v>1581</v>
      </c>
      <c r="AQ42" s="8" t="s">
        <v>494</v>
      </c>
      <c r="AR42" s="8">
        <v>4</v>
      </c>
      <c r="AT42" s="8" t="str">
        <f t="shared" si="4"/>
        <v/>
      </c>
      <c r="AU42" s="8" t="str">
        <f>IF(AND(VLOOKUP(AQ42,查询!$C$8:$E$15,3,FALSE)="启用",$B$1=AR42),AP42,"")</f>
        <v/>
      </c>
      <c r="AV42" s="6" t="str">
        <f t="array" ref="AV42">INDEX(AT:AT,SMALL(IF(AT$1:AT$500&lt;&gt;"",ROW($1:$500),1000),ROW(AT42)))&amp;""</f>
        <v/>
      </c>
      <c r="AW42" s="6" t="str">
        <f t="array" ref="AW42">INDEX(AU:AU,SMALL(IF(AU$1:AU$500&lt;&gt;"",ROW($1:$500),1000),ROW(AU42)))&amp;""</f>
        <v/>
      </c>
      <c r="AY42" s="8" t="s">
        <v>2712</v>
      </c>
      <c r="AZ42" s="8" t="s">
        <v>1597</v>
      </c>
      <c r="BA42" s="8" t="s">
        <v>494</v>
      </c>
      <c r="BB42" s="8">
        <v>3</v>
      </c>
      <c r="BD42" s="8" t="str">
        <f t="shared" si="5"/>
        <v/>
      </c>
      <c r="BE42" s="8" t="str">
        <f>IF(AND(VLOOKUP(BA42,查询!$C$8:$E$15,3,FALSE)="启用",$B$1=BB42),AZ42,"")</f>
        <v/>
      </c>
      <c r="BF42" s="6" t="str">
        <f t="array" ref="BF42">INDEX(BD:BD,SMALL(IF(BD$1:BD$500&lt;&gt;"",ROW($1:$500),1000),ROW(BD42)))&amp;""</f>
        <v/>
      </c>
      <c r="BG42" s="6" t="str">
        <f t="array" ref="BG42">INDEX(BE:BE,SMALL(IF(BE$1:BE$500&lt;&gt;"",ROW($1:$500),1000),ROW(BE42)))&amp;""</f>
        <v/>
      </c>
      <c r="BI42" s="8" t="s">
        <v>1975</v>
      </c>
      <c r="BJ42" s="8" t="s">
        <v>1326</v>
      </c>
      <c r="BK42" s="8" t="s">
        <v>1249</v>
      </c>
      <c r="BL42" s="9">
        <v>1</v>
      </c>
      <c r="BN42" s="8" t="str">
        <f t="shared" si="6"/>
        <v/>
      </c>
      <c r="BO42" s="8" t="str">
        <f>IF(AND(VLOOKUP(BK42,查询!$C$8:$E$15,3,FALSE)="启用",$B$1=BL42),BJ42,"")</f>
        <v/>
      </c>
      <c r="BP42" s="6" t="str">
        <f t="array" ref="BP42">INDEX(BN:BN,SMALL(IF(BN$1:BN$500&lt;&gt;"",ROW($1:$500),1000),ROW(BN42)))&amp;""</f>
        <v/>
      </c>
      <c r="BQ42" s="6" t="str">
        <f t="array" ref="BQ42">INDEX(BO:BO,SMALL(IF(BO$1:BO$500&lt;&gt;"",ROW($1:$500),1000),ROW(BO42)))&amp;""</f>
        <v/>
      </c>
      <c r="BS42" s="8" t="s">
        <v>2269</v>
      </c>
      <c r="BT42" s="8" t="s">
        <v>1300</v>
      </c>
      <c r="BU42" s="8" t="s">
        <v>1249</v>
      </c>
      <c r="BV42" s="9">
        <v>2</v>
      </c>
      <c r="BX42" s="8" t="str">
        <f t="shared" si="7"/>
        <v>Skywrite</v>
      </c>
      <c r="BY42" s="8" t="str">
        <f>IF(AND(VLOOKUP(BU42,查询!$C$8:$E$15,3,FALSE)="启用",$B$1=BV42),BT42,"")</f>
        <v>空中写字</v>
      </c>
      <c r="BZ42" s="6" t="str">
        <f t="array" ref="BZ42">INDEX(BX:BX,SMALL(IF(BX$1:BX$500&lt;&gt;"",ROW($1:$500),1000),ROW(BX42)))&amp;""</f>
        <v/>
      </c>
      <c r="CA42" s="6" t="str">
        <f t="array" ref="CA42">INDEX(BY:BY,SMALL(IF(BY$1:BY$500&lt;&gt;"",ROW($1:$500),1000),ROW(BY42)))&amp;""</f>
        <v/>
      </c>
    </row>
    <row r="43" spans="1:79">
      <c r="A43" s="8" t="s">
        <v>2033</v>
      </c>
      <c r="B43" s="8" t="s">
        <v>1398</v>
      </c>
      <c r="C43" s="8" t="s">
        <v>494</v>
      </c>
      <c r="D43" s="9">
        <v>1</v>
      </c>
      <c r="F43" s="8" t="str">
        <f t="shared" si="0"/>
        <v/>
      </c>
      <c r="G43" s="8" t="str">
        <f>IF(AND(VLOOKUP(C43,查询!$C$8:$E$15,3,FALSE)="启用",$B$1=D43),B43,"")</f>
        <v/>
      </c>
      <c r="H43" s="6" t="str">
        <f t="array" ref="H43">INDEX(F:F,SMALL(IF($F$1:$F$500&lt;&gt;"",ROW($1:$500),1000),ROW(F43)))&amp;""</f>
        <v>Melf’s Acid Arrow</v>
      </c>
      <c r="I43" s="6" t="str">
        <f t="array" ref="I43">INDEX(G:G,SMALL(IF($F$1:$F$500&lt;&gt;"",ROW($1:$500),1000),ROW(G43)))&amp;""</f>
        <v>马友夫强酸箭</v>
      </c>
      <c r="K43" s="8" t="s">
        <v>2037</v>
      </c>
      <c r="L43" s="8" t="s">
        <v>1403</v>
      </c>
      <c r="M43" s="8" t="s">
        <v>494</v>
      </c>
      <c r="N43" s="9">
        <v>1</v>
      </c>
      <c r="P43" s="8" t="str">
        <f t="shared" si="1"/>
        <v/>
      </c>
      <c r="Q43" s="8" t="str">
        <f>IF(AND(VLOOKUP(M43,查询!$C$8:$E$15,3,FALSE)="启用",$B$1=N43),L43,"")</f>
        <v/>
      </c>
      <c r="R43" s="6" t="str">
        <f t="array" ref="R43">INDEX(P:P,SMALL(IF(P$1:P$500&lt;&gt;"",ROW($1:$500),1000),ROW(P43)))&amp;""</f>
        <v/>
      </c>
      <c r="S43" s="6" t="str">
        <f t="array" ref="S43">INDEX(Q:Q,SMALL(IF(Q$1:Q$500&lt;&gt;"",ROW($1:$500),1000),ROW(Q43)))&amp;""</f>
        <v/>
      </c>
      <c r="U43" s="8" t="s">
        <v>2304</v>
      </c>
      <c r="V43" s="8" t="s">
        <v>1397</v>
      </c>
      <c r="W43" s="8" t="s">
        <v>494</v>
      </c>
      <c r="X43" s="9">
        <v>2</v>
      </c>
      <c r="Z43" s="8" t="str">
        <f t="shared" si="2"/>
        <v>Spider Climb</v>
      </c>
      <c r="AA43" s="8" t="str">
        <f>IF(AND(VLOOKUP(W43,查询!$C$8:$E$15,3,FALSE)="启用",$B$1=X43),V43,"")</f>
        <v>蛛行术</v>
      </c>
      <c r="AB43" s="6" t="str">
        <f t="array" ref="AB43">INDEX(Z:Z,SMALL(IF(Z$1:Z$500&lt;&gt;"",ROW($1:$500),1000),ROW(Z43)))&amp;""</f>
        <v/>
      </c>
      <c r="AC43" s="6" t="str">
        <f t="array" ref="AC43">INDEX(AA:AA,SMALL(IF(AA$1:AA$500&lt;&gt;"",ROW($1:$500),1000),ROW(AA43)))&amp;""</f>
        <v/>
      </c>
      <c r="AE43" s="8" t="s">
        <v>2446</v>
      </c>
      <c r="AF43" s="8" t="s">
        <v>1637</v>
      </c>
      <c r="AG43" s="8" t="s">
        <v>494</v>
      </c>
      <c r="AH43" s="9">
        <v>2</v>
      </c>
      <c r="AJ43" s="8" t="str">
        <f t="shared" si="3"/>
        <v>Warding Bond</v>
      </c>
      <c r="AK43" s="8" t="str">
        <f>IF(AND(VLOOKUP(AG43,查询!$C$8:$E$15,3,FALSE)="启用",$B$1=AH43),AF43,"")</f>
        <v>守护之链</v>
      </c>
      <c r="AL43" s="6" t="str">
        <f t="array" ref="AL43">INDEX(AJ:AJ,SMALL(IF(AJ$1:AJ$500&lt;&gt;"",ROW($1:$500),1000),ROW(AJ43)))&amp;""</f>
        <v/>
      </c>
      <c r="AM43" s="6" t="str">
        <f t="array" ref="AM43">INDEX(AK:AK,SMALL(IF(AK$1:AK$500&lt;&gt;"",ROW($1:$500),1000),ROW(AK43)))&amp;""</f>
        <v/>
      </c>
      <c r="AO43" s="8" t="s">
        <v>3004</v>
      </c>
      <c r="AP43" s="8" t="s">
        <v>1487</v>
      </c>
      <c r="AQ43" s="8" t="s">
        <v>494</v>
      </c>
      <c r="AR43" s="8">
        <v>5</v>
      </c>
      <c r="AT43" s="8" t="str">
        <f t="shared" si="4"/>
        <v/>
      </c>
      <c r="AU43" s="8" t="str">
        <f>IF(AND(VLOOKUP(AQ43,查询!$C$8:$E$15,3,FALSE)="启用",$B$1=AR43),AP43,"")</f>
        <v/>
      </c>
      <c r="AV43" s="6" t="str">
        <f t="array" ref="AV43">INDEX(AT:AT,SMALL(IF(AT$1:AT$500&lt;&gt;"",ROW($1:$500),1000),ROW(AT43)))&amp;""</f>
        <v/>
      </c>
      <c r="AW43" s="6" t="str">
        <f t="array" ref="AW43">INDEX(AU:AU,SMALL(IF(AU$1:AU$500&lt;&gt;"",ROW($1:$500),1000),ROW(AU43)))&amp;""</f>
        <v/>
      </c>
      <c r="AY43" s="8" t="s">
        <v>2547</v>
      </c>
      <c r="AZ43" s="8" t="s">
        <v>1325</v>
      </c>
      <c r="BA43" s="8" t="s">
        <v>1249</v>
      </c>
      <c r="BB43" s="8">
        <v>3</v>
      </c>
      <c r="BD43" s="8" t="str">
        <f t="shared" si="5"/>
        <v/>
      </c>
      <c r="BE43" s="8" t="str">
        <f>IF(AND(VLOOKUP(BA43,查询!$C$8:$E$15,3,FALSE)="启用",$B$1=BB43),AZ43,"")</f>
        <v/>
      </c>
      <c r="BF43" s="6" t="str">
        <f t="array" ref="BF43">INDEX(BD:BD,SMALL(IF(BD$1:BD$500&lt;&gt;"",ROW($1:$500),1000),ROW(BD43)))&amp;""</f>
        <v/>
      </c>
      <c r="BG43" s="6" t="str">
        <f t="array" ref="BG43">INDEX(BE:BE,SMALL(IF(BE$1:BE$500&lt;&gt;"",ROW($1:$500),1000),ROW(BE43)))&amp;""</f>
        <v/>
      </c>
      <c r="BI43" s="8" t="s">
        <v>1983</v>
      </c>
      <c r="BJ43" s="8" t="s">
        <v>1327</v>
      </c>
      <c r="BK43" s="8" t="s">
        <v>1249</v>
      </c>
      <c r="BL43" s="9">
        <v>1</v>
      </c>
      <c r="BN43" s="8" t="str">
        <f t="shared" si="6"/>
        <v/>
      </c>
      <c r="BO43" s="8" t="str">
        <f>IF(AND(VLOOKUP(BK43,查询!$C$8:$E$15,3,FALSE)="启用",$B$1=BL43),BJ43,"")</f>
        <v/>
      </c>
      <c r="BP43" s="6" t="str">
        <f t="array" ref="BP43">INDEX(BN:BN,SMALL(IF(BN$1:BN$500&lt;&gt;"",ROW($1:$500),1000),ROW(BN43)))&amp;""</f>
        <v/>
      </c>
      <c r="BQ43" s="6" t="str">
        <f t="array" ref="BQ43">INDEX(BO:BO,SMALL(IF(BO$1:BO$500&lt;&gt;"",ROW($1:$500),1000),ROW(BO43)))&amp;""</f>
        <v/>
      </c>
      <c r="BS43" s="8" t="s">
        <v>2326</v>
      </c>
      <c r="BT43" s="8" t="s">
        <v>1439</v>
      </c>
      <c r="BU43" s="8" t="s">
        <v>494</v>
      </c>
      <c r="BV43" s="9">
        <v>2</v>
      </c>
      <c r="BX43" s="8" t="str">
        <f t="shared" si="7"/>
        <v>Enthrall</v>
      </c>
      <c r="BY43" s="8" t="str">
        <f>IF(AND(VLOOKUP(BU43,查询!$C$8:$E$15,3,FALSE)="启用",$B$1=BV43),BT43,"")</f>
        <v>注目术</v>
      </c>
      <c r="BZ43" s="6" t="str">
        <f t="array" ref="BZ43">INDEX(BX:BX,SMALL(IF(BX$1:BX$500&lt;&gt;"",ROW($1:$500),1000),ROW(BX43)))&amp;""</f>
        <v/>
      </c>
      <c r="CA43" s="6" t="str">
        <f t="array" ref="CA43">INDEX(BY:BY,SMALL(IF(BY$1:BY$500&lt;&gt;"",ROW($1:$500),1000),ROW(BY43)))&amp;""</f>
        <v/>
      </c>
    </row>
    <row r="44" spans="1:79">
      <c r="A44" s="8" t="s">
        <v>1928</v>
      </c>
      <c r="B44" s="8" t="s">
        <v>1729</v>
      </c>
      <c r="C44" s="8" t="s">
        <v>578</v>
      </c>
      <c r="D44" s="9">
        <v>1</v>
      </c>
      <c r="F44" s="8" t="str">
        <f t="shared" si="0"/>
        <v/>
      </c>
      <c r="G44" s="8" t="str">
        <f>IF(AND(VLOOKUP(C44,查询!$C$8:$E$15,3,FALSE)="启用",$B$1=D44),B44,"")</f>
        <v/>
      </c>
      <c r="H44" s="6" t="str">
        <f t="array" ref="H44">INDEX(F:F,SMALL(IF($F$1:$F$500&lt;&gt;"",ROW($1:$500),1000),ROW(F44)))&amp;""</f>
        <v>Nystul’s Magic Aura</v>
      </c>
      <c r="I44" s="6" t="str">
        <f t="array" ref="I44">INDEX(G:G,SMALL(IF($F$1:$F$500&lt;&gt;"",ROW($1:$500),1000),ROW(G44)))&amp;""</f>
        <v>涅斯图魔法灵光</v>
      </c>
      <c r="K44" s="8" t="s">
        <v>2041</v>
      </c>
      <c r="L44" s="8" t="s">
        <v>1405</v>
      </c>
      <c r="M44" s="8" t="s">
        <v>494</v>
      </c>
      <c r="N44" s="9">
        <v>1</v>
      </c>
      <c r="P44" s="8" t="str">
        <f t="shared" si="1"/>
        <v/>
      </c>
      <c r="Q44" s="8" t="str">
        <f>IF(AND(VLOOKUP(M44,查询!$C$8:$E$15,3,FALSE)="启用",$B$1=N44),L44,"")</f>
        <v/>
      </c>
      <c r="R44" s="6" t="str">
        <f t="array" ref="R44">INDEX(P:P,SMALL(IF(P$1:P$500&lt;&gt;"",ROW($1:$500),1000),ROW(P44)))&amp;""</f>
        <v/>
      </c>
      <c r="S44" s="6" t="str">
        <f t="array" ref="S44">INDEX(Q:Q,SMALL(IF(Q$1:Q$500&lt;&gt;"",ROW($1:$500),1000),ROW(Q44)))&amp;""</f>
        <v/>
      </c>
      <c r="U44" s="8" t="s">
        <v>2326</v>
      </c>
      <c r="V44" s="8" t="s">
        <v>1439</v>
      </c>
      <c r="W44" s="8" t="s">
        <v>494</v>
      </c>
      <c r="X44" s="9">
        <v>2</v>
      </c>
      <c r="Z44" s="8" t="str">
        <f t="shared" si="2"/>
        <v>Enthrall</v>
      </c>
      <c r="AA44" s="8" t="str">
        <f>IF(AND(VLOOKUP(W44,查询!$C$8:$E$15,3,FALSE)="启用",$B$1=X44),V44,"")</f>
        <v>注目术</v>
      </c>
      <c r="AB44" s="6" t="str">
        <f t="array" ref="AB44">INDEX(Z:Z,SMALL(IF(Z$1:Z$500&lt;&gt;"",ROW($1:$500),1000),ROW(Z44)))&amp;""</f>
        <v/>
      </c>
      <c r="AC44" s="6" t="str">
        <f t="array" ref="AC44">INDEX(AA:AA,SMALL(IF(AA$1:AA$500&lt;&gt;"",ROW($1:$500),1000),ROW(AA44)))&amp;""</f>
        <v/>
      </c>
      <c r="AE44" s="8" t="s">
        <v>2627</v>
      </c>
      <c r="AF44" s="8" t="s">
        <v>1482</v>
      </c>
      <c r="AG44" s="8" t="s">
        <v>494</v>
      </c>
      <c r="AH44" s="9">
        <v>3</v>
      </c>
      <c r="AJ44" s="8" t="str">
        <f t="shared" si="3"/>
        <v/>
      </c>
      <c r="AK44" s="8" t="str">
        <f>IF(AND(VLOOKUP(AG44,查询!$C$8:$E$15,3,FALSE)="启用",$B$1=AH44),AF44,"")</f>
        <v/>
      </c>
      <c r="AL44" s="6" t="str">
        <f t="array" ref="AL44">INDEX(AJ:AJ,SMALL(IF(AJ$1:AJ$500&lt;&gt;"",ROW($1:$500),1000),ROW(AJ44)))&amp;""</f>
        <v/>
      </c>
      <c r="AM44" s="6" t="str">
        <f t="array" ref="AM44">INDEX(AK:AK,SMALL(IF(AK$1:AK$500&lt;&gt;"",ROW($1:$500),1000),ROW(AK44)))&amp;""</f>
        <v/>
      </c>
      <c r="AO44" s="8" t="s">
        <v>3019</v>
      </c>
      <c r="AP44" s="8" t="s">
        <v>1505</v>
      </c>
      <c r="AQ44" s="8" t="s">
        <v>494</v>
      </c>
      <c r="AR44" s="8">
        <v>5</v>
      </c>
      <c r="AT44" s="8" t="str">
        <f t="shared" si="4"/>
        <v/>
      </c>
      <c r="AU44" s="8" t="str">
        <f>IF(AND(VLOOKUP(AQ44,查询!$C$8:$E$15,3,FALSE)="启用",$B$1=AR44),AP44,"")</f>
        <v/>
      </c>
      <c r="AV44" s="6" t="str">
        <f t="array" ref="AV44">INDEX(AT:AT,SMALL(IF(AT$1:AT$500&lt;&gt;"",ROW($1:$500),1000),ROW(AT44)))&amp;""</f>
        <v/>
      </c>
      <c r="AW44" s="6" t="str">
        <f t="array" ref="AW44">INDEX(AU:AU,SMALL(IF(AU$1:AU$500&lt;&gt;"",ROW($1:$500),1000),ROW(AU44)))&amp;""</f>
        <v/>
      </c>
      <c r="AY44" s="8" t="s">
        <v>2729</v>
      </c>
      <c r="AZ44" s="8" t="s">
        <v>1678</v>
      </c>
      <c r="BA44" s="8" t="s">
        <v>494</v>
      </c>
      <c r="BB44" s="8">
        <v>3</v>
      </c>
      <c r="BD44" s="8" t="str">
        <f t="shared" si="5"/>
        <v/>
      </c>
      <c r="BE44" s="8" t="str">
        <f>IF(AND(VLOOKUP(BA44,查询!$C$8:$E$15,3,FALSE)="启用",$B$1=BB44),AZ44,"")</f>
        <v/>
      </c>
      <c r="BF44" s="6" t="str">
        <f t="array" ref="BF44">INDEX(BD:BD,SMALL(IF(BD$1:BD$500&lt;&gt;"",ROW($1:$500),1000),ROW(BD44)))&amp;""</f>
        <v/>
      </c>
      <c r="BG44" s="6" t="str">
        <f t="array" ref="BG44">INDEX(BE:BE,SMALL(IF(BE$1:BE$500&lt;&gt;"",ROW($1:$500),1000),ROW(BE44)))&amp;""</f>
        <v/>
      </c>
      <c r="BI44" s="8" t="s">
        <v>1991</v>
      </c>
      <c r="BJ44" s="8" t="s">
        <v>1744</v>
      </c>
      <c r="BK44" s="8" t="s">
        <v>578</v>
      </c>
      <c r="BL44" s="9">
        <v>1</v>
      </c>
      <c r="BN44" s="8" t="str">
        <f t="shared" si="6"/>
        <v/>
      </c>
      <c r="BO44" s="8" t="str">
        <f>IF(AND(VLOOKUP(BK44,查询!$C$8:$E$15,3,FALSE)="启用",$B$1=BL44),BJ44,"")</f>
        <v/>
      </c>
      <c r="BP44" s="6" t="str">
        <f t="array" ref="BP44">INDEX(BN:BN,SMALL(IF(BN$1:BN$500&lt;&gt;"",ROW($1:$500),1000),ROW(BN44)))&amp;""</f>
        <v/>
      </c>
      <c r="BQ44" s="6" t="str">
        <f t="array" ref="BQ44">INDEX(BO:BO,SMALL(IF(BO$1:BO$500&lt;&gt;"",ROW($1:$500),1000),ROW(BO44)))&amp;""</f>
        <v/>
      </c>
      <c r="BS44" s="8" t="s">
        <v>2330</v>
      </c>
      <c r="BT44" s="8" t="s">
        <v>1442</v>
      </c>
      <c r="BU44" s="8" t="s">
        <v>494</v>
      </c>
      <c r="BV44" s="9">
        <v>2</v>
      </c>
      <c r="BX44" s="8" t="str">
        <f t="shared" si="7"/>
        <v>Cloud of Daggers</v>
      </c>
      <c r="BY44" s="8" t="str">
        <f>IF(AND(VLOOKUP(BU44,查询!$C$8:$E$15,3,FALSE)="启用",$B$1=BV44),BT44,"")</f>
        <v>匕首之云</v>
      </c>
      <c r="BZ44" s="6" t="str">
        <f t="array" ref="BZ44">INDEX(BX:BX,SMALL(IF(BX$1:BX$500&lt;&gt;"",ROW($1:$500),1000),ROW(BX44)))&amp;""</f>
        <v/>
      </c>
      <c r="CA44" s="6" t="str">
        <f t="array" ref="CA44">INDEX(BY:BY,SMALL(IF(BY$1:BY$500&lt;&gt;"",ROW($1:$500),1000),ROW(BY44)))&amp;""</f>
        <v/>
      </c>
    </row>
    <row r="45" spans="1:79">
      <c r="A45" s="8" t="s">
        <v>2037</v>
      </c>
      <c r="B45" s="8" t="s">
        <v>1403</v>
      </c>
      <c r="C45" s="8" t="s">
        <v>494</v>
      </c>
      <c r="D45" s="9">
        <v>1</v>
      </c>
      <c r="F45" s="8" t="str">
        <f t="shared" si="0"/>
        <v/>
      </c>
      <c r="G45" s="8" t="str">
        <f>IF(AND(VLOOKUP(C45,查询!$C$8:$E$15,3,FALSE)="启用",$B$1=D45),B45,"")</f>
        <v/>
      </c>
      <c r="H45" s="6" t="str">
        <f t="array" ref="H45">INDEX(F:F,SMALL(IF($F$1:$F$500&lt;&gt;"",ROW($1:$500),1000),ROW(F45)))&amp;""</f>
        <v>Rope Trick</v>
      </c>
      <c r="I45" s="6" t="str">
        <f t="array" ref="I45">INDEX(G:G,SMALL(IF($F$1:$F$500&lt;&gt;"",ROW($1:$500),1000),ROW(G45)))&amp;""</f>
        <v>魔绳术</v>
      </c>
      <c r="K45" s="8" t="s">
        <v>2045</v>
      </c>
      <c r="L45" s="8" t="s">
        <v>1407</v>
      </c>
      <c r="M45" s="8" t="s">
        <v>494</v>
      </c>
      <c r="N45" s="9">
        <v>1</v>
      </c>
      <c r="P45" s="8" t="str">
        <f t="shared" si="1"/>
        <v/>
      </c>
      <c r="Q45" s="8" t="str">
        <f>IF(AND(VLOOKUP(M45,查询!$C$8:$E$15,3,FALSE)="启用",$B$1=N45),L45,"")</f>
        <v/>
      </c>
      <c r="R45" s="6" t="str">
        <f t="array" ref="R45">INDEX(P:P,SMALL(IF(P$1:P$500&lt;&gt;"",ROW($1:$500),1000),ROW(P45)))&amp;""</f>
        <v/>
      </c>
      <c r="S45" s="6" t="str">
        <f t="array" ref="S45">INDEX(Q:Q,SMALL(IF(Q$1:Q$500&lt;&gt;"",ROW($1:$500),1000),ROW(Q45)))&amp;""</f>
        <v/>
      </c>
      <c r="U45" s="8" t="s">
        <v>2330</v>
      </c>
      <c r="V45" s="8" t="s">
        <v>1442</v>
      </c>
      <c r="W45" s="8" t="s">
        <v>494</v>
      </c>
      <c r="X45" s="9">
        <v>2</v>
      </c>
      <c r="Z45" s="8" t="str">
        <f t="shared" si="2"/>
        <v>Cloud of Daggers</v>
      </c>
      <c r="AA45" s="8" t="str">
        <f>IF(AND(VLOOKUP(W45,查询!$C$8:$E$15,3,FALSE)="启用",$B$1=X45),V45,"")</f>
        <v>匕首之云</v>
      </c>
      <c r="AB45" s="6" t="str">
        <f t="array" ref="AB45">INDEX(Z:Z,SMALL(IF(Z$1:Z$500&lt;&gt;"",ROW($1:$500),1000),ROW(Z45)))&amp;""</f>
        <v/>
      </c>
      <c r="AC45" s="6" t="str">
        <f t="array" ref="AC45">INDEX(AA:AA,SMALL(IF(AA$1:AA$500&lt;&gt;"",ROW($1:$500),1000),ROW(AA45)))&amp;""</f>
        <v/>
      </c>
      <c r="AE45" s="8" t="s">
        <v>2633</v>
      </c>
      <c r="AF45" s="8" t="s">
        <v>1485</v>
      </c>
      <c r="AG45" s="8" t="s">
        <v>494</v>
      </c>
      <c r="AH45" s="9">
        <v>3</v>
      </c>
      <c r="AJ45" s="8" t="str">
        <f t="shared" si="3"/>
        <v/>
      </c>
      <c r="AK45" s="8" t="str">
        <f>IF(AND(VLOOKUP(AG45,查询!$C$8:$E$15,3,FALSE)="启用",$B$1=AH45),AF45,"")</f>
        <v/>
      </c>
      <c r="AL45" s="6" t="str">
        <f t="array" ref="AL45">INDEX(AJ:AJ,SMALL(IF(AJ$1:AJ$500&lt;&gt;"",ROW($1:$500),1000),ROW(AJ45)))&amp;""</f>
        <v/>
      </c>
      <c r="AM45" s="6" t="str">
        <f t="array" ref="AM45">INDEX(AK:AK,SMALL(IF(AK$1:AK$500&lt;&gt;"",ROW($1:$500),1000),ROW(AK45)))&amp;""</f>
        <v/>
      </c>
      <c r="AO45" s="8" t="s">
        <v>3042</v>
      </c>
      <c r="AP45" s="8" t="s">
        <v>1556</v>
      </c>
      <c r="AQ45" s="8" t="s">
        <v>494</v>
      </c>
      <c r="AR45" s="8">
        <v>5</v>
      </c>
      <c r="AT45" s="8" t="str">
        <f t="shared" si="4"/>
        <v/>
      </c>
      <c r="AU45" s="8" t="str">
        <f>IF(AND(VLOOKUP(AQ45,查询!$C$8:$E$15,3,FALSE)="启用",$B$1=AR45),AP45,"")</f>
        <v/>
      </c>
      <c r="AV45" s="6" t="str">
        <f t="array" ref="AV45">INDEX(AT:AT,SMALL(IF(AT$1:AT$500&lt;&gt;"",ROW($1:$500),1000),ROW(AT45)))&amp;""</f>
        <v/>
      </c>
      <c r="AW45" s="6" t="str">
        <f t="array" ref="AW45">INDEX(AU:AU,SMALL(IF(AU$1:AU$500&lt;&gt;"",ROW($1:$500),1000),ROW(AU45)))&amp;""</f>
        <v/>
      </c>
      <c r="AY45" s="8" t="s">
        <v>2733</v>
      </c>
      <c r="AZ45" s="8" t="s">
        <v>1682</v>
      </c>
      <c r="BA45" s="8" t="s">
        <v>494</v>
      </c>
      <c r="BB45" s="8">
        <v>3</v>
      </c>
      <c r="BD45" s="8" t="str">
        <f t="shared" si="5"/>
        <v/>
      </c>
      <c r="BE45" s="8" t="str">
        <f>IF(AND(VLOOKUP(BA45,查询!$C$8:$E$15,3,FALSE)="启用",$B$1=BB45),AZ45,"")</f>
        <v/>
      </c>
      <c r="BF45" s="6" t="str">
        <f t="array" ref="BF45">INDEX(BD:BD,SMALL(IF(BD$1:BD$500&lt;&gt;"",ROW($1:$500),1000),ROW(BD45)))&amp;""</f>
        <v/>
      </c>
      <c r="BG45" s="6" t="str">
        <f t="array" ref="BG45">INDEX(BE:BE,SMALL(IF(BE$1:BE$500&lt;&gt;"",ROW($1:$500),1000),ROW(BE45)))&amp;""</f>
        <v/>
      </c>
      <c r="BI45" s="8" t="s">
        <v>1991</v>
      </c>
      <c r="BJ45" s="8" t="s">
        <v>1343</v>
      </c>
      <c r="BK45" s="8" t="s">
        <v>1249</v>
      </c>
      <c r="BL45" s="9">
        <v>1</v>
      </c>
      <c r="BN45" s="8" t="str">
        <f t="shared" si="6"/>
        <v/>
      </c>
      <c r="BO45" s="8" t="str">
        <f>IF(AND(VLOOKUP(BK45,查询!$C$8:$E$15,3,FALSE)="启用",$B$1=BL45),BJ45,"")</f>
        <v/>
      </c>
      <c r="BP45" s="6" t="str">
        <f t="array" ref="BP45">INDEX(BN:BN,SMALL(IF(BN$1:BN$500&lt;&gt;"",ROW($1:$500),1000),ROW(BN45)))&amp;""</f>
        <v/>
      </c>
      <c r="BQ45" s="6" t="str">
        <f t="array" ref="BQ45">INDEX(BO:BO,SMALL(IF(BO$1:BO$500&lt;&gt;"",ROW($1:$500),1000),ROW(BO45)))&amp;""</f>
        <v/>
      </c>
      <c r="BS45" s="8" t="s">
        <v>2334</v>
      </c>
      <c r="BT45" s="8" t="s">
        <v>1444</v>
      </c>
      <c r="BU45" s="8" t="s">
        <v>494</v>
      </c>
      <c r="BV45" s="9">
        <v>2</v>
      </c>
      <c r="BX45" s="8" t="str">
        <f t="shared" si="7"/>
        <v>Crown of Madness</v>
      </c>
      <c r="BY45" s="8" t="str">
        <f>IF(AND(VLOOKUP(BU45,查询!$C$8:$E$15,3,FALSE)="启用",$B$1=BV45),BT45,"")</f>
        <v>疯狂冠冕</v>
      </c>
      <c r="BZ45" s="6" t="str">
        <f t="array" ref="BZ45">INDEX(BX:BX,SMALL(IF(BX$1:BX$500&lt;&gt;"",ROW($1:$500),1000),ROW(BX45)))&amp;""</f>
        <v/>
      </c>
      <c r="CA45" s="6" t="str">
        <f t="array" ref="CA45">INDEX(BY:BY,SMALL(IF(BY$1:BY$500&lt;&gt;"",ROW($1:$500),1000),ROW(BY45)))&amp;""</f>
        <v/>
      </c>
    </row>
    <row r="46" spans="1:79">
      <c r="A46" s="8" t="s">
        <v>2041</v>
      </c>
      <c r="B46" s="8" t="s">
        <v>1405</v>
      </c>
      <c r="C46" s="8" t="s">
        <v>494</v>
      </c>
      <c r="D46" s="9">
        <v>1</v>
      </c>
      <c r="F46" s="8" t="str">
        <f t="shared" si="0"/>
        <v/>
      </c>
      <c r="G46" s="8" t="str">
        <f>IF(AND(VLOOKUP(C46,查询!$C$8:$E$15,3,FALSE)="启用",$B$1=D46),B46,"")</f>
        <v/>
      </c>
      <c r="H46" s="6" t="str">
        <f t="array" ref="H46">INDEX(F:F,SMALL(IF($F$1:$F$500&lt;&gt;"",ROW($1:$500),1000),ROW(F46)))&amp;""</f>
        <v>Earthbind</v>
      </c>
      <c r="I46" s="6" t="str">
        <f t="array" ref="I46">INDEX(G:G,SMALL(IF($F$1:$F$500&lt;&gt;"",ROW($1:$500),1000),ROW(G46)))&amp;""</f>
        <v>地缚</v>
      </c>
      <c r="K46" s="8" t="s">
        <v>2051</v>
      </c>
      <c r="L46" s="8" t="s">
        <v>1412</v>
      </c>
      <c r="M46" s="8" t="s">
        <v>494</v>
      </c>
      <c r="N46" s="9">
        <v>1</v>
      </c>
      <c r="P46" s="8" t="str">
        <f t="shared" si="1"/>
        <v/>
      </c>
      <c r="Q46" s="8" t="str">
        <f>IF(AND(VLOOKUP(M46,查询!$C$8:$E$15,3,FALSE)="启用",$B$1=N46),L46,"")</f>
        <v/>
      </c>
      <c r="R46" s="6" t="str">
        <f t="array" ref="R46">INDEX(P:P,SMALL(IF(P$1:P$500&lt;&gt;"",ROW($1:$500),1000),ROW(P46)))&amp;""</f>
        <v/>
      </c>
      <c r="S46" s="6" t="str">
        <f t="array" ref="S46">INDEX(Q:Q,SMALL(IF(Q$1:Q$500&lt;&gt;"",ROW($1:$500),1000),ROW(Q46)))&amp;""</f>
        <v/>
      </c>
      <c r="U46" s="8" t="s">
        <v>2334</v>
      </c>
      <c r="V46" s="8" t="s">
        <v>1444</v>
      </c>
      <c r="W46" s="8" t="s">
        <v>494</v>
      </c>
      <c r="X46" s="9">
        <v>2</v>
      </c>
      <c r="Z46" s="8" t="str">
        <f t="shared" si="2"/>
        <v>Crown of Madness</v>
      </c>
      <c r="AA46" s="8" t="str">
        <f>IF(AND(VLOOKUP(W46,查询!$C$8:$E$15,3,FALSE)="启用",$B$1=X46),V46,"")</f>
        <v>疯狂冠冕</v>
      </c>
      <c r="AB46" s="6" t="str">
        <f t="array" ref="AB46">INDEX(Z:Z,SMALL(IF(Z$1:Z$500&lt;&gt;"",ROW($1:$500),1000),ROW(Z46)))&amp;""</f>
        <v/>
      </c>
      <c r="AC46" s="6" t="str">
        <f t="array" ref="AC46">INDEX(AA:AA,SMALL(IF(AA$1:AA$500&lt;&gt;"",ROW($1:$500),1000),ROW(AA46)))&amp;""</f>
        <v/>
      </c>
      <c r="AE46" s="8" t="s">
        <v>2638</v>
      </c>
      <c r="AF46" s="8" t="s">
        <v>1489</v>
      </c>
      <c r="AG46" s="8" t="s">
        <v>494</v>
      </c>
      <c r="AH46" s="9">
        <v>3</v>
      </c>
      <c r="AJ46" s="8" t="str">
        <f t="shared" si="3"/>
        <v/>
      </c>
      <c r="AK46" s="8" t="str">
        <f>IF(AND(VLOOKUP(AG46,查询!$C$8:$E$15,3,FALSE)="启用",$B$1=AH46),AF46,"")</f>
        <v/>
      </c>
      <c r="AL46" s="6" t="str">
        <f t="array" ref="AL46">INDEX(AJ:AJ,SMALL(IF(AJ$1:AJ$500&lt;&gt;"",ROW($1:$500),1000),ROW(AJ46)))&amp;""</f>
        <v/>
      </c>
      <c r="AM46" s="6" t="str">
        <f t="array" ref="AM46">INDEX(AK:AK,SMALL(IF(AK$1:AK$500&lt;&gt;"",ROW($1:$500),1000),ROW(AK46)))&amp;""</f>
        <v/>
      </c>
      <c r="AO46" s="8" t="s">
        <v>3044</v>
      </c>
      <c r="AP46" s="8" t="s">
        <v>1559</v>
      </c>
      <c r="AQ46" s="8" t="s">
        <v>494</v>
      </c>
      <c r="AR46" s="8">
        <v>5</v>
      </c>
      <c r="AT46" s="8" t="str">
        <f t="shared" si="4"/>
        <v/>
      </c>
      <c r="AU46" s="8" t="str">
        <f>IF(AND(VLOOKUP(AQ46,查询!$C$8:$E$15,3,FALSE)="启用",$B$1=AR46),AP46,"")</f>
        <v/>
      </c>
      <c r="AV46" s="6" t="str">
        <f t="array" ref="AV46">INDEX(AT:AT,SMALL(IF(AT$1:AT$500&lt;&gt;"",ROW($1:$500),1000),ROW(AT46)))&amp;""</f>
        <v/>
      </c>
      <c r="AW46" s="6" t="str">
        <f t="array" ref="AW46">INDEX(AU:AU,SMALL(IF(AU$1:AU$500&lt;&gt;"",ROW($1:$500),1000),ROW(AU46)))&amp;""</f>
        <v/>
      </c>
      <c r="AY46" s="8" t="s">
        <v>2735</v>
      </c>
      <c r="AZ46" s="8" t="s">
        <v>1689</v>
      </c>
      <c r="BA46" s="8" t="s">
        <v>494</v>
      </c>
      <c r="BB46" s="8">
        <v>3</v>
      </c>
      <c r="BD46" s="8" t="str">
        <f t="shared" si="5"/>
        <v/>
      </c>
      <c r="BE46" s="8" t="str">
        <f>IF(AND(VLOOKUP(BA46,查询!$C$8:$E$15,3,FALSE)="启用",$B$1=BB46),AZ46,"")</f>
        <v/>
      </c>
      <c r="BF46" s="6" t="str">
        <f t="array" ref="BF46">INDEX(BD:BD,SMALL(IF(BD$1:BD$500&lt;&gt;"",ROW($1:$500),1000),ROW(BD46)))&amp;""</f>
        <v/>
      </c>
      <c r="BG46" s="6" t="str">
        <f t="array" ref="BG46">INDEX(BE:BE,SMALL(IF(BE$1:BE$500&lt;&gt;"",ROW($1:$500),1000),ROW(BE46)))&amp;""</f>
        <v/>
      </c>
      <c r="BI46" s="8" t="s">
        <v>2219</v>
      </c>
      <c r="BJ46" s="8" t="s">
        <v>1675</v>
      </c>
      <c r="BK46" s="8" t="s">
        <v>494</v>
      </c>
      <c r="BL46" s="9">
        <v>1</v>
      </c>
      <c r="BN46" s="8" t="str">
        <f t="shared" si="6"/>
        <v/>
      </c>
      <c r="BO46" s="8" t="str">
        <f>IF(AND(VLOOKUP(BK46,查询!$C$8:$E$15,3,FALSE)="启用",$B$1=BL46),BJ46,"")</f>
        <v/>
      </c>
      <c r="BP46" s="6" t="str">
        <f t="array" ref="BP46">INDEX(BN:BN,SMALL(IF(BN$1:BN$500&lt;&gt;"",ROW($1:$500),1000),ROW(BN46)))&amp;""</f>
        <v/>
      </c>
      <c r="BQ46" s="6" t="str">
        <f t="array" ref="BQ46">INDEX(BO:BO,SMALL(IF(BO$1:BO$500&lt;&gt;"",ROW($1:$500),1000),ROW(BO46)))&amp;""</f>
        <v/>
      </c>
      <c r="BS46" s="8" t="s">
        <v>2336</v>
      </c>
      <c r="BT46" s="8" t="s">
        <v>1452</v>
      </c>
      <c r="BU46" s="8" t="s">
        <v>494</v>
      </c>
      <c r="BV46" s="9">
        <v>2</v>
      </c>
      <c r="BX46" s="8" t="str">
        <f t="shared" si="7"/>
        <v>Invisibility</v>
      </c>
      <c r="BY46" s="8" t="str">
        <f>IF(AND(VLOOKUP(BU46,查询!$C$8:$E$15,3,FALSE)="启用",$B$1=BV46),BT46,"")</f>
        <v>隐形术</v>
      </c>
      <c r="BZ46" s="6" t="str">
        <f t="array" ref="BZ46">INDEX(BX:BX,SMALL(IF(BX$1:BX$500&lt;&gt;"",ROW($1:$500),1000),ROW(BX46)))&amp;""</f>
        <v/>
      </c>
      <c r="CA46" s="6" t="str">
        <f t="array" ref="CA46">INDEX(BY:BY,SMALL(IF(BY$1:BY$500&lt;&gt;"",ROW($1:$500),1000),ROW(BY46)))&amp;""</f>
        <v/>
      </c>
    </row>
    <row r="47" spans="1:79">
      <c r="A47" s="8" t="s">
        <v>2045</v>
      </c>
      <c r="B47" s="8" t="s">
        <v>1407</v>
      </c>
      <c r="C47" s="8" t="s">
        <v>494</v>
      </c>
      <c r="D47" s="9">
        <v>1</v>
      </c>
      <c r="F47" s="8" t="str">
        <f t="shared" si="0"/>
        <v/>
      </c>
      <c r="G47" s="8" t="str">
        <f>IF(AND(VLOOKUP(C47,查询!$C$8:$E$15,3,FALSE)="启用",$B$1=D47),B47,"")</f>
        <v/>
      </c>
      <c r="H47" s="6" t="str">
        <f t="array" ref="H47">INDEX(F:F,SMALL(IF($F$1:$F$500&lt;&gt;"",ROW($1:$500),1000),ROW(F47)))&amp;""</f>
        <v>Earthbind</v>
      </c>
      <c r="I47" s="6" t="str">
        <f t="array" ref="I47">INDEX(G:G,SMALL(IF($F$1:$F$500&lt;&gt;"",ROW($1:$500),1000),ROW(G47)))&amp;""</f>
        <v>地缚</v>
      </c>
      <c r="K47" s="8" t="s">
        <v>2055</v>
      </c>
      <c r="L47" s="8" t="s">
        <v>1420</v>
      </c>
      <c r="M47" s="8" t="s">
        <v>494</v>
      </c>
      <c r="N47" s="9">
        <v>1</v>
      </c>
      <c r="P47" s="8" t="str">
        <f t="shared" si="1"/>
        <v/>
      </c>
      <c r="Q47" s="8" t="str">
        <f>IF(AND(VLOOKUP(M47,查询!$C$8:$E$15,3,FALSE)="启用",$B$1=N47),L47,"")</f>
        <v/>
      </c>
      <c r="R47" s="6" t="str">
        <f t="array" ref="R47">INDEX(P:P,SMALL(IF(P$1:P$500&lt;&gt;"",ROW($1:$500),1000),ROW(P47)))&amp;""</f>
        <v/>
      </c>
      <c r="S47" s="6" t="str">
        <f t="array" ref="S47">INDEX(Q:Q,SMALL(IF(Q$1:Q$500&lt;&gt;"",ROW($1:$500),1000),ROW(Q47)))&amp;""</f>
        <v/>
      </c>
      <c r="U47" s="8" t="s">
        <v>2336</v>
      </c>
      <c r="V47" s="8" t="s">
        <v>1452</v>
      </c>
      <c r="W47" s="8" t="s">
        <v>494</v>
      </c>
      <c r="X47" s="9">
        <v>2</v>
      </c>
      <c r="Z47" s="8" t="str">
        <f t="shared" si="2"/>
        <v>Invisibility</v>
      </c>
      <c r="AA47" s="8" t="str">
        <f>IF(AND(VLOOKUP(W47,查询!$C$8:$E$15,3,FALSE)="启用",$B$1=X47),V47,"")</f>
        <v>隐形术</v>
      </c>
      <c r="AB47" s="6" t="str">
        <f t="array" ref="AB47">INDEX(Z:Z,SMALL(IF(Z$1:Z$500&lt;&gt;"",ROW($1:$500),1000),ROW(Z47)))&amp;""</f>
        <v/>
      </c>
      <c r="AC47" s="6" t="str">
        <f t="array" ref="AC47">INDEX(AA:AA,SMALL(IF(AA$1:AA$500&lt;&gt;"",ROW($1:$500),1000),ROW(AA47)))&amp;""</f>
        <v/>
      </c>
      <c r="AE47" s="8" t="s">
        <v>2641</v>
      </c>
      <c r="AF47" s="8" t="s">
        <v>1490</v>
      </c>
      <c r="AG47" s="8" t="s">
        <v>494</v>
      </c>
      <c r="AH47" s="9">
        <v>3</v>
      </c>
      <c r="AJ47" s="8" t="str">
        <f t="shared" si="3"/>
        <v/>
      </c>
      <c r="AK47" s="8" t="str">
        <f>IF(AND(VLOOKUP(AG47,查询!$C$8:$E$15,3,FALSE)="启用",$B$1=AH47),AF47,"")</f>
        <v/>
      </c>
      <c r="AL47" s="6" t="str">
        <f t="array" ref="AL47">INDEX(AJ:AJ,SMALL(IF(AJ$1:AJ$500&lt;&gt;"",ROW($1:$500),1000),ROW(AJ47)))&amp;""</f>
        <v/>
      </c>
      <c r="AM47" s="6" t="str">
        <f t="array" ref="AM47">INDEX(AK:AK,SMALL(IF(AK$1:AK$500&lt;&gt;"",ROW($1:$500),1000),ROW(AK47)))&amp;""</f>
        <v/>
      </c>
      <c r="AO47" s="8" t="s">
        <v>3046</v>
      </c>
      <c r="AP47" s="8" t="s">
        <v>1562</v>
      </c>
      <c r="AQ47" s="8" t="s">
        <v>494</v>
      </c>
      <c r="AR47" s="8">
        <v>5</v>
      </c>
      <c r="AT47" s="8" t="str">
        <f t="shared" si="4"/>
        <v/>
      </c>
      <c r="AU47" s="8" t="str">
        <f>IF(AND(VLOOKUP(AQ47,查询!$C$8:$E$15,3,FALSE)="启用",$B$1=AR47),AP47,"")</f>
        <v/>
      </c>
      <c r="AV47" s="6" t="str">
        <f t="array" ref="AV47">INDEX(AT:AT,SMALL(IF(AT$1:AT$500&lt;&gt;"",ROW($1:$500),1000),ROW(AT47)))&amp;""</f>
        <v/>
      </c>
      <c r="AW47" s="6" t="str">
        <f t="array" ref="AW47">INDEX(AU:AU,SMALL(IF(AU$1:AU$500&lt;&gt;"",ROW($1:$500),1000),ROW(AU47)))&amp;""</f>
        <v/>
      </c>
      <c r="AY47" s="8" t="s">
        <v>2547</v>
      </c>
      <c r="AZ47" s="8" t="s">
        <v>1759</v>
      </c>
      <c r="BA47" s="8" t="s">
        <v>578</v>
      </c>
      <c r="BB47" s="8">
        <v>3</v>
      </c>
      <c r="BD47" s="8" t="str">
        <f t="shared" si="5"/>
        <v/>
      </c>
      <c r="BE47" s="8" t="str">
        <f>IF(AND(VLOOKUP(BA47,查询!$C$8:$E$15,3,FALSE)="启用",$B$1=BB47),AZ47,"")</f>
        <v/>
      </c>
      <c r="BF47" s="6" t="str">
        <f t="array" ref="BF47">INDEX(BD:BD,SMALL(IF(BD$1:BD$500&lt;&gt;"",ROW($1:$500),1000),ROW(BD47)))&amp;""</f>
        <v/>
      </c>
      <c r="BG47" s="6" t="str">
        <f t="array" ref="BG47">INDEX(BE:BE,SMALL(IF(BE$1:BE$500&lt;&gt;"",ROW($1:$500),1000),ROW(BE47)))&amp;""</f>
        <v/>
      </c>
      <c r="BI47" s="8" t="s">
        <v>2222</v>
      </c>
      <c r="BJ47" s="8" t="s">
        <v>1676</v>
      </c>
      <c r="BK47" s="8" t="s">
        <v>494</v>
      </c>
      <c r="BL47" s="9">
        <v>1</v>
      </c>
      <c r="BN47" s="8" t="str">
        <f t="shared" si="6"/>
        <v/>
      </c>
      <c r="BO47" s="8" t="str">
        <f>IF(AND(VLOOKUP(BK47,查询!$C$8:$E$15,3,FALSE)="启用",$B$1=BL47),BJ47,"")</f>
        <v/>
      </c>
      <c r="BP47" s="6" t="str">
        <f t="array" ref="BP47">INDEX(BN:BN,SMALL(IF(BN$1:BN$500&lt;&gt;"",ROW($1:$500),1000),ROW(BN47)))&amp;""</f>
        <v/>
      </c>
      <c r="BQ47" s="6" t="str">
        <f t="array" ref="BQ47">INDEX(BO:BO,SMALL(IF(BO$1:BO$500&lt;&gt;"",ROW($1:$500),1000),ROW(BO47)))&amp;""</f>
        <v/>
      </c>
      <c r="BS47" s="8" t="s">
        <v>2340</v>
      </c>
      <c r="BT47" s="8" t="s">
        <v>1460</v>
      </c>
      <c r="BU47" s="8" t="s">
        <v>494</v>
      </c>
      <c r="BV47" s="9">
        <v>2</v>
      </c>
      <c r="BX47" s="8" t="str">
        <f t="shared" si="7"/>
        <v>Shatter</v>
      </c>
      <c r="BY47" s="8" t="str">
        <f>IF(AND(VLOOKUP(BU47,查询!$C$8:$E$15,3,FALSE)="启用",$B$1=BV47),BT47,"")</f>
        <v>粉碎音波</v>
      </c>
      <c r="BZ47" s="6" t="str">
        <f t="array" ref="BZ47">INDEX(BX:BX,SMALL(IF(BX$1:BX$500&lt;&gt;"",ROW($1:$500),1000),ROW(BX47)))&amp;""</f>
        <v/>
      </c>
      <c r="CA47" s="6" t="str">
        <f t="array" ref="CA47">INDEX(BY:BY,SMALL(IF(BY$1:BY$500&lt;&gt;"",ROW($1:$500),1000),ROW(BY47)))&amp;""</f>
        <v/>
      </c>
    </row>
    <row r="48" spans="1:79">
      <c r="A48" s="8" t="s">
        <v>2051</v>
      </c>
      <c r="B48" s="8" t="s">
        <v>1412</v>
      </c>
      <c r="C48" s="8" t="s">
        <v>494</v>
      </c>
      <c r="D48" s="9">
        <v>1</v>
      </c>
      <c r="F48" s="8" t="str">
        <f t="shared" si="0"/>
        <v/>
      </c>
      <c r="G48" s="8" t="str">
        <f>IF(AND(VLOOKUP(C48,查询!$C$8:$E$15,3,FALSE)="启用",$B$1=D48),B48,"")</f>
        <v/>
      </c>
      <c r="H48" s="6" t="str">
        <f t="array" ref="H48">INDEX(F:F,SMALL(IF($F$1:$F$500&lt;&gt;"",ROW($1:$500),1000),ROW(F48)))&amp;""</f>
        <v>Dust Devil</v>
      </c>
      <c r="I48" s="6" t="str">
        <f t="array" ref="I48">INDEX(G:G,SMALL(IF($F$1:$F$500&lt;&gt;"",ROW($1:$500),1000),ROW(G48)))&amp;""</f>
        <v>尘土恶魔E</v>
      </c>
      <c r="K48" s="8" t="s">
        <v>2060</v>
      </c>
      <c r="L48" s="8" t="s">
        <v>1421</v>
      </c>
      <c r="M48" s="8" t="s">
        <v>494</v>
      </c>
      <c r="N48" s="9">
        <v>1</v>
      </c>
      <c r="P48" s="8" t="str">
        <f t="shared" si="1"/>
        <v/>
      </c>
      <c r="Q48" s="8" t="str">
        <f>IF(AND(VLOOKUP(M48,查询!$C$8:$E$15,3,FALSE)="启用",$B$1=N48),L48,"")</f>
        <v/>
      </c>
      <c r="R48" s="6" t="str">
        <f t="array" ref="R48">INDEX(P:P,SMALL(IF(P$1:P$500&lt;&gt;"",ROW($1:$500),1000),ROW(P48)))&amp;""</f>
        <v/>
      </c>
      <c r="S48" s="6" t="str">
        <f t="array" ref="S48">INDEX(Q:Q,SMALL(IF(Q$1:Q$500&lt;&gt;"",ROW($1:$500),1000),ROW(Q48)))&amp;""</f>
        <v/>
      </c>
      <c r="U48" s="8" t="s">
        <v>2340</v>
      </c>
      <c r="V48" s="8" t="s">
        <v>1460</v>
      </c>
      <c r="W48" s="8" t="s">
        <v>494</v>
      </c>
      <c r="X48" s="9">
        <v>2</v>
      </c>
      <c r="Z48" s="8" t="str">
        <f t="shared" si="2"/>
        <v>Shatter</v>
      </c>
      <c r="AA48" s="8" t="str">
        <f>IF(AND(VLOOKUP(W48,查询!$C$8:$E$15,3,FALSE)="启用",$B$1=X48),V48,"")</f>
        <v>粉碎音波</v>
      </c>
      <c r="AB48" s="6" t="str">
        <f t="array" ref="AB48">INDEX(Z:Z,SMALL(IF(Z$1:Z$500&lt;&gt;"",ROW($1:$500),1000),ROW(Z48)))&amp;""</f>
        <v/>
      </c>
      <c r="AC48" s="6" t="str">
        <f t="array" ref="AC48">INDEX(AA:AA,SMALL(IF(AA$1:AA$500&lt;&gt;"",ROW($1:$500),1000),ROW(AA48)))&amp;""</f>
        <v/>
      </c>
      <c r="AE48" s="8" t="s">
        <v>2646</v>
      </c>
      <c r="AF48" s="8" t="s">
        <v>1492</v>
      </c>
      <c r="AG48" s="8" t="s">
        <v>494</v>
      </c>
      <c r="AH48" s="9">
        <v>3</v>
      </c>
      <c r="AJ48" s="8" t="str">
        <f t="shared" si="3"/>
        <v/>
      </c>
      <c r="AK48" s="8" t="str">
        <f>IF(AND(VLOOKUP(AG48,查询!$C$8:$E$15,3,FALSE)="启用",$B$1=AH48),AF48,"")</f>
        <v/>
      </c>
      <c r="AL48" s="6" t="str">
        <f t="array" ref="AL48">INDEX(AJ:AJ,SMALL(IF(AJ$1:AJ$500&lt;&gt;"",ROW($1:$500),1000),ROW(AJ48)))&amp;""</f>
        <v/>
      </c>
      <c r="AM48" s="6" t="str">
        <f t="array" ref="AM48">INDEX(AK:AK,SMALL(IF(AK$1:AK$500&lt;&gt;"",ROW($1:$500),1000),ROW(AK48)))&amp;""</f>
        <v/>
      </c>
      <c r="AO48" s="8" t="s">
        <v>2938</v>
      </c>
      <c r="AP48" s="8" t="s">
        <v>1303</v>
      </c>
      <c r="AQ48" s="8" t="s">
        <v>1249</v>
      </c>
      <c r="AR48" s="8">
        <v>5</v>
      </c>
      <c r="AT48" s="8" t="str">
        <f t="shared" si="4"/>
        <v/>
      </c>
      <c r="AU48" s="8" t="str">
        <f>IF(AND(VLOOKUP(AQ48,查询!$C$8:$E$15,3,FALSE)="启用",$B$1=AR48),AP48,"")</f>
        <v/>
      </c>
      <c r="AV48" s="6" t="str">
        <f t="array" ref="AV48">INDEX(AT:AT,SMALL(IF(AT$1:AT$500&lt;&gt;"",ROW($1:$500),1000),ROW(AT48)))&amp;""</f>
        <v/>
      </c>
      <c r="AW48" s="6" t="str">
        <f t="array" ref="AW48">INDEX(AU:AU,SMALL(IF(AU$1:AU$500&lt;&gt;"",ROW($1:$500),1000),ROW(AU48)))&amp;""</f>
        <v/>
      </c>
      <c r="AY48" s="8" t="s">
        <v>2790</v>
      </c>
      <c r="AZ48" s="8" t="s">
        <v>1494</v>
      </c>
      <c r="BA48" s="8" t="s">
        <v>494</v>
      </c>
      <c r="BB48" s="8">
        <v>4</v>
      </c>
      <c r="BD48" s="8" t="str">
        <f t="shared" si="5"/>
        <v/>
      </c>
      <c r="BE48" s="8" t="str">
        <f>IF(AND(VLOOKUP(BA48,查询!$C$8:$E$15,3,FALSE)="启用",$B$1=BB48),AZ48,"")</f>
        <v/>
      </c>
      <c r="BF48" s="6" t="str">
        <f t="array" ref="BF48">INDEX(BD:BD,SMALL(IF(BD$1:BD$500&lt;&gt;"",ROW($1:$500),1000),ROW(BD48)))&amp;""</f>
        <v/>
      </c>
      <c r="BG48" s="6" t="str">
        <f t="array" ref="BG48">INDEX(BE:BE,SMALL(IF(BE$1:BE$500&lt;&gt;"",ROW($1:$500),1000),ROW(BE48)))&amp;""</f>
        <v/>
      </c>
      <c r="BI48" s="8" t="s">
        <v>1963</v>
      </c>
      <c r="BJ48" s="8" t="s">
        <v>1309</v>
      </c>
      <c r="BK48" s="8" t="s">
        <v>578</v>
      </c>
      <c r="BL48" s="9">
        <v>1</v>
      </c>
      <c r="BN48" s="8" t="str">
        <f t="shared" si="6"/>
        <v/>
      </c>
      <c r="BO48" s="8" t="str">
        <f>IF(AND(VLOOKUP(BK48,查询!$C$8:$E$15,3,FALSE)="启用",$B$1=BL48),BJ48,"")</f>
        <v/>
      </c>
      <c r="BP48" s="6" t="str">
        <f t="array" ref="BP48">INDEX(BN:BN,SMALL(IF(BN$1:BN$500&lt;&gt;"",ROW($1:$500),1000),ROW(BN48)))&amp;""</f>
        <v/>
      </c>
      <c r="BQ48" s="6" t="str">
        <f t="array" ref="BQ48">INDEX(BO:BO,SMALL(IF(BO$1:BO$500&lt;&gt;"",ROW($1:$500),1000),ROW(BO48)))&amp;""</f>
        <v/>
      </c>
      <c r="BS48" s="8" t="s">
        <v>2344</v>
      </c>
      <c r="BT48" s="8" t="s">
        <v>1461</v>
      </c>
      <c r="BU48" s="8" t="s">
        <v>494</v>
      </c>
      <c r="BV48" s="9">
        <v>2</v>
      </c>
      <c r="BX48" s="8" t="str">
        <f t="shared" si="7"/>
        <v>Suggestion</v>
      </c>
      <c r="BY48" s="8" t="str">
        <f>IF(AND(VLOOKUP(BU48,查询!$C$8:$E$15,3,FALSE)="启用",$B$1=BV48),BT48,"")</f>
        <v>暗示术</v>
      </c>
      <c r="BZ48" s="6" t="str">
        <f t="array" ref="BZ48">INDEX(BX:BX,SMALL(IF(BX$1:BX$500&lt;&gt;"",ROW($1:$500),1000),ROW(BX48)))&amp;""</f>
        <v/>
      </c>
      <c r="CA48" s="6" t="str">
        <f t="array" ref="CA48">INDEX(BY:BY,SMALL(IF(BY$1:BY$500&lt;&gt;"",ROW($1:$500),1000),ROW(BY48)))&amp;""</f>
        <v/>
      </c>
    </row>
    <row r="49" spans="1:79">
      <c r="A49" s="8" t="s">
        <v>2055</v>
      </c>
      <c r="B49" s="8" t="s">
        <v>1420</v>
      </c>
      <c r="C49" s="8" t="s">
        <v>494</v>
      </c>
      <c r="D49" s="9">
        <v>1</v>
      </c>
      <c r="F49" s="8" t="str">
        <f t="shared" si="0"/>
        <v/>
      </c>
      <c r="G49" s="8" t="str">
        <f>IF(AND(VLOOKUP(C49,查询!$C$8:$E$15,3,FALSE)="启用",$B$1=D49),B49,"")</f>
        <v/>
      </c>
      <c r="H49" s="6" t="str">
        <f t="array" ref="H49">INDEX(F:F,SMALL(IF($F$1:$F$500&lt;&gt;"",ROW($1:$500),1000),ROW(F49)))&amp;""</f>
        <v>Dust Devil</v>
      </c>
      <c r="I49" s="6" t="str">
        <f t="array" ref="I49">INDEX(G:G,SMALL(IF($F$1:$F$500&lt;&gt;"",ROW($1:$500),1000),ROW(G49)))&amp;""</f>
        <v>尘土恶魔</v>
      </c>
      <c r="K49" s="8" t="s">
        <v>2062</v>
      </c>
      <c r="L49" s="8" t="s">
        <v>1425</v>
      </c>
      <c r="M49" s="8" t="s">
        <v>494</v>
      </c>
      <c r="N49" s="9">
        <v>1</v>
      </c>
      <c r="P49" s="8" t="str">
        <f t="shared" si="1"/>
        <v/>
      </c>
      <c r="Q49" s="8" t="str">
        <f>IF(AND(VLOOKUP(M49,查询!$C$8:$E$15,3,FALSE)="启用",$B$1=N49),L49,"")</f>
        <v/>
      </c>
      <c r="R49" s="6" t="str">
        <f t="array" ref="R49">INDEX(P:P,SMALL(IF(P$1:P$500&lt;&gt;"",ROW($1:$500),1000),ROW(P49)))&amp;""</f>
        <v/>
      </c>
      <c r="S49" s="6" t="str">
        <f t="array" ref="S49">INDEX(Q:Q,SMALL(IF(Q$1:Q$500&lt;&gt;"",ROW($1:$500),1000),ROW(Q49)))&amp;""</f>
        <v/>
      </c>
      <c r="U49" s="8" t="s">
        <v>2344</v>
      </c>
      <c r="V49" s="8" t="s">
        <v>1461</v>
      </c>
      <c r="W49" s="8" t="s">
        <v>494</v>
      </c>
      <c r="X49" s="9">
        <v>2</v>
      </c>
      <c r="Z49" s="8" t="str">
        <f t="shared" si="2"/>
        <v>Suggestion</v>
      </c>
      <c r="AA49" s="8" t="str">
        <f>IF(AND(VLOOKUP(W49,查询!$C$8:$E$15,3,FALSE)="启用",$B$1=X49),V49,"")</f>
        <v>暗示术</v>
      </c>
      <c r="AB49" s="6" t="str">
        <f t="array" ref="AB49">INDEX(Z:Z,SMALL(IF(Z$1:Z$500&lt;&gt;"",ROW($1:$500),1000),ROW(Z49)))&amp;""</f>
        <v/>
      </c>
      <c r="AC49" s="6" t="str">
        <f t="array" ref="AC49">INDEX(AA:AA,SMALL(IF(AA$1:AA$500&lt;&gt;"",ROW($1:$500),1000),ROW(AA49)))&amp;""</f>
        <v/>
      </c>
      <c r="AE49" s="8" t="s">
        <v>2651</v>
      </c>
      <c r="AF49" s="8" t="s">
        <v>1504</v>
      </c>
      <c r="AG49" s="8" t="s">
        <v>494</v>
      </c>
      <c r="AH49" s="9">
        <v>3</v>
      </c>
      <c r="AJ49" s="8" t="str">
        <f t="shared" si="3"/>
        <v/>
      </c>
      <c r="AK49" s="8" t="str">
        <f>IF(AND(VLOOKUP(AG49,查询!$C$8:$E$15,3,FALSE)="启用",$B$1=AH49),AF49,"")</f>
        <v/>
      </c>
      <c r="AL49" s="6" t="str">
        <f t="array" ref="AL49">INDEX(AJ:AJ,SMALL(IF(AJ$1:AJ$500&lt;&gt;"",ROW($1:$500),1000),ROW(AJ49)))&amp;""</f>
        <v/>
      </c>
      <c r="AM49" s="6" t="str">
        <f t="array" ref="AM49">INDEX(AK:AK,SMALL(IF(AK$1:AK$500&lt;&gt;"",ROW($1:$500),1000),ROW(AK49)))&amp;""</f>
        <v/>
      </c>
      <c r="AO49" s="8" t="s">
        <v>3048</v>
      </c>
      <c r="AP49" s="8" t="s">
        <v>1583</v>
      </c>
      <c r="AQ49" s="8" t="s">
        <v>494</v>
      </c>
      <c r="AR49" s="8">
        <v>5</v>
      </c>
      <c r="AT49" s="8" t="str">
        <f t="shared" si="4"/>
        <v/>
      </c>
      <c r="AU49" s="8" t="str">
        <f>IF(AND(VLOOKUP(AQ49,查询!$C$8:$E$15,3,FALSE)="启用",$B$1=AR49),AP49,"")</f>
        <v/>
      </c>
      <c r="AV49" s="6" t="str">
        <f t="array" ref="AV49">INDEX(AT:AT,SMALL(IF(AT$1:AT$500&lt;&gt;"",ROW($1:$500),1000),ROW(AT49)))&amp;""</f>
        <v/>
      </c>
      <c r="AW49" s="6" t="str">
        <f t="array" ref="AW49">INDEX(AU:AU,SMALL(IF(AU$1:AU$500&lt;&gt;"",ROW($1:$500),1000),ROW(AU49)))&amp;""</f>
        <v/>
      </c>
      <c r="AY49" s="8" t="s">
        <v>2796</v>
      </c>
      <c r="AZ49" s="8" t="s">
        <v>1500</v>
      </c>
      <c r="BA49" s="8" t="s">
        <v>494</v>
      </c>
      <c r="BB49" s="8">
        <v>4</v>
      </c>
      <c r="BD49" s="8" t="str">
        <f t="shared" si="5"/>
        <v/>
      </c>
      <c r="BE49" s="8" t="str">
        <f>IF(AND(VLOOKUP(BA49,查询!$C$8:$E$15,3,FALSE)="启用",$B$1=BB49),AZ49,"")</f>
        <v/>
      </c>
      <c r="BF49" s="6" t="str">
        <f t="array" ref="BF49">INDEX(BD:BD,SMALL(IF(BD$1:BD$500&lt;&gt;"",ROW($1:$500),1000),ROW(BD49)))&amp;""</f>
        <v/>
      </c>
      <c r="BG49" s="6" t="str">
        <f t="array" ref="BG49">INDEX(BE:BE,SMALL(IF(BE$1:BE$500&lt;&gt;"",ROW($1:$500),1000),ROW(BE49)))&amp;""</f>
        <v/>
      </c>
      <c r="BI49" s="8" t="s">
        <v>1983</v>
      </c>
      <c r="BJ49" s="8" t="s">
        <v>1757</v>
      </c>
      <c r="BK49" s="8" t="s">
        <v>578</v>
      </c>
      <c r="BL49" s="9">
        <v>1</v>
      </c>
      <c r="BN49" s="8" t="str">
        <f t="shared" si="6"/>
        <v/>
      </c>
      <c r="BO49" s="8" t="str">
        <f>IF(AND(VLOOKUP(BK49,查询!$C$8:$E$15,3,FALSE)="启用",$B$1=BL49),BJ49,"")</f>
        <v/>
      </c>
      <c r="BP49" s="6" t="str">
        <f t="array" ref="BP49">INDEX(BN:BN,SMALL(IF(BN$1:BN$500&lt;&gt;"",ROW($1:$500),1000),ROW(BN49)))&amp;""</f>
        <v/>
      </c>
      <c r="BQ49" s="6" t="str">
        <f t="array" ref="BQ49">INDEX(BO:BO,SMALL(IF(BO$1:BO$500&lt;&gt;"",ROW($1:$500),1000),ROW(BO49)))&amp;""</f>
        <v/>
      </c>
      <c r="BS49" s="8" t="s">
        <v>1255</v>
      </c>
      <c r="BT49" s="8" t="s">
        <v>1253</v>
      </c>
      <c r="BU49" s="8" t="s">
        <v>494</v>
      </c>
      <c r="BV49" s="9">
        <v>2</v>
      </c>
      <c r="BX49" s="8" t="str">
        <f t="shared" si="7"/>
        <v>Detect Thoughts</v>
      </c>
      <c r="BY49" s="8" t="str">
        <f>IF(AND(VLOOKUP(BU49,查询!$C$8:$E$15,3,FALSE)="启用",$B$1=BV49),BT49,"")</f>
        <v>侦测思想</v>
      </c>
      <c r="BZ49" s="6" t="str">
        <f t="array" ref="BZ49">INDEX(BX:BX,SMALL(IF(BX$1:BX$500&lt;&gt;"",ROW($1:$500),1000),ROW(BX49)))&amp;""</f>
        <v/>
      </c>
      <c r="CA49" s="6" t="str">
        <f t="array" ref="CA49">INDEX(BY:BY,SMALL(IF(BY$1:BY$500&lt;&gt;"",ROW($1:$500),1000),ROW(BY49)))&amp;""</f>
        <v/>
      </c>
    </row>
    <row r="50" spans="1:79">
      <c r="A50" s="8" t="s">
        <v>2060</v>
      </c>
      <c r="B50" s="8" t="s">
        <v>1421</v>
      </c>
      <c r="C50" s="8" t="s">
        <v>494</v>
      </c>
      <c r="D50" s="9">
        <v>1</v>
      </c>
      <c r="F50" s="8" t="str">
        <f t="shared" si="0"/>
        <v/>
      </c>
      <c r="G50" s="8" t="str">
        <f>IF(AND(VLOOKUP(C50,查询!$C$8:$E$15,3,FALSE)="启用",$B$1=D50),B50,"")</f>
        <v/>
      </c>
      <c r="H50" s="6" t="str">
        <f t="array" ref="H50">INDEX(F:F,SMALL(IF($F$1:$F$500&lt;&gt;"",ROW($1:$500),1000),ROW(F50)))&amp;""</f>
        <v>Darkvision</v>
      </c>
      <c r="I50" s="6" t="str">
        <f t="array" ref="I50">INDEX(G:G,SMALL(IF($F$1:$F$500&lt;&gt;"",ROW($1:$500),1000),ROW(G50)))&amp;""</f>
        <v>黑暗视觉</v>
      </c>
      <c r="K50" s="8" t="s">
        <v>2064</v>
      </c>
      <c r="L50" s="8" t="s">
        <v>1426</v>
      </c>
      <c r="M50" s="8" t="s">
        <v>494</v>
      </c>
      <c r="N50" s="9">
        <v>1</v>
      </c>
      <c r="P50" s="8" t="str">
        <f t="shared" si="1"/>
        <v/>
      </c>
      <c r="Q50" s="8" t="str">
        <f>IF(AND(VLOOKUP(M50,查询!$C$8:$E$15,3,FALSE)="启用",$B$1=N50),L50,"")</f>
        <v/>
      </c>
      <c r="R50" s="6" t="str">
        <f t="array" ref="R50">INDEX(P:P,SMALL(IF(P$1:P$500&lt;&gt;"",ROW($1:$500),1000),ROW(P50)))&amp;""</f>
        <v/>
      </c>
      <c r="S50" s="6" t="str">
        <f t="array" ref="S50">INDEX(Q:Q,SMALL(IF(Q$1:Q$500&lt;&gt;"",ROW($1:$500),1000),ROW(Q50)))&amp;""</f>
        <v/>
      </c>
      <c r="U50" s="8" t="s">
        <v>2372</v>
      </c>
      <c r="V50" s="8" t="s">
        <v>1496</v>
      </c>
      <c r="W50" s="8" t="s">
        <v>494</v>
      </c>
      <c r="X50" s="9">
        <v>2</v>
      </c>
      <c r="Z50" s="8" t="str">
        <f t="shared" si="2"/>
        <v>Hold Person</v>
      </c>
      <c r="AA50" s="8" t="str">
        <f>IF(AND(VLOOKUP(W50,查询!$C$8:$E$15,3,FALSE)="启用",$B$1=X50),V50,"")</f>
        <v>人类定身术</v>
      </c>
      <c r="AB50" s="6" t="str">
        <f t="array" ref="AB50">INDEX(Z:Z,SMALL(IF(Z$1:Z$500&lt;&gt;"",ROW($1:$500),1000),ROW(Z50)))&amp;""</f>
        <v/>
      </c>
      <c r="AC50" s="6" t="str">
        <f t="array" ref="AC50">INDEX(AA:AA,SMALL(IF(AA$1:AA$500&lt;&gt;"",ROW($1:$500),1000),ROW(AA50)))&amp;""</f>
        <v/>
      </c>
      <c r="AE50" s="8" t="s">
        <v>2654</v>
      </c>
      <c r="AF50" s="8" t="s">
        <v>1506</v>
      </c>
      <c r="AG50" s="8" t="s">
        <v>494</v>
      </c>
      <c r="AH50" s="9">
        <v>3</v>
      </c>
      <c r="AJ50" s="8" t="str">
        <f t="shared" si="3"/>
        <v/>
      </c>
      <c r="AK50" s="8" t="str">
        <f>IF(AND(VLOOKUP(AG50,查询!$C$8:$E$15,3,FALSE)="启用",$B$1=AH50),AF50,"")</f>
        <v/>
      </c>
      <c r="AL50" s="6" t="str">
        <f t="array" ref="AL50">INDEX(AJ:AJ,SMALL(IF(AJ$1:AJ$500&lt;&gt;"",ROW($1:$500),1000),ROW(AJ50)))&amp;""</f>
        <v/>
      </c>
      <c r="AM50" s="6" t="str">
        <f t="array" ref="AM50">INDEX(AK:AK,SMALL(IF(AK$1:AK$500&lt;&gt;"",ROW($1:$500),1000),ROW(AK50)))&amp;""</f>
        <v/>
      </c>
      <c r="AV50" s="6" t="str">
        <f t="array" ref="AV50">INDEX(AT:AT,SMALL(IF(AT$1:AT$500&lt;&gt;"",ROW($1:$500),1000),ROW(AT50)))&amp;""</f>
        <v/>
      </c>
      <c r="AW50" s="6" t="str">
        <f t="array" ref="AW50">INDEX(AU:AU,SMALL(IF(AU$1:AU$500&lt;&gt;"",ROW($1:$500),1000),ROW(AU50)))&amp;""</f>
        <v/>
      </c>
      <c r="AY50" s="8" t="s">
        <v>2776</v>
      </c>
      <c r="AZ50" s="8" t="s">
        <v>1328</v>
      </c>
      <c r="BA50" s="8" t="s">
        <v>1249</v>
      </c>
      <c r="BB50" s="8">
        <v>4</v>
      </c>
      <c r="BD50" s="8" t="str">
        <f t="shared" si="5"/>
        <v/>
      </c>
      <c r="BE50" s="8" t="str">
        <f>IF(AND(VLOOKUP(BA50,查询!$C$8:$E$15,3,FALSE)="启用",$B$1=BB50),AZ50,"")</f>
        <v/>
      </c>
      <c r="BF50" s="6" t="str">
        <f t="array" ref="BF50">INDEX(BD:BD,SMALL(IF(BD$1:BD$500&lt;&gt;"",ROW($1:$500),1000),ROW(BD50)))&amp;""</f>
        <v/>
      </c>
      <c r="BG50" s="6" t="str">
        <f t="array" ref="BG50">INDEX(BE:BE,SMALL(IF(BE$1:BE$500&lt;&gt;"",ROW($1:$500),1000),ROW(BE50)))&amp;""</f>
        <v/>
      </c>
      <c r="BI50" s="8" t="s">
        <v>2226</v>
      </c>
      <c r="BJ50" s="8" t="s">
        <v>1684</v>
      </c>
      <c r="BK50" s="8" t="s">
        <v>494</v>
      </c>
      <c r="BL50" s="9">
        <v>1</v>
      </c>
      <c r="BN50" s="8" t="str">
        <f t="shared" si="6"/>
        <v/>
      </c>
      <c r="BO50" s="8" t="str">
        <f>IF(AND(VLOOKUP(BK50,查询!$C$8:$E$15,3,FALSE)="启用",$B$1=BL50),BJ50,"")</f>
        <v/>
      </c>
      <c r="BP50" s="6" t="str">
        <f t="array" ref="BP50">INDEX(BN:BN,SMALL(IF(BN$1:BN$500&lt;&gt;"",ROW($1:$500),1000),ROW(BN50)))&amp;""</f>
        <v/>
      </c>
      <c r="BQ50" s="6" t="str">
        <f t="array" ref="BQ50">INDEX(BO:BO,SMALL(IF(BO$1:BO$500&lt;&gt;"",ROW($1:$500),1000),ROW(BO50)))&amp;""</f>
        <v/>
      </c>
      <c r="BS50" s="8" t="s">
        <v>2352</v>
      </c>
      <c r="BT50" s="8" t="s">
        <v>1469</v>
      </c>
      <c r="BU50" s="8" t="s">
        <v>494</v>
      </c>
      <c r="BV50" s="9">
        <v>2</v>
      </c>
      <c r="BX50" s="8" t="str">
        <f t="shared" si="7"/>
        <v>Knock</v>
      </c>
      <c r="BY50" s="8" t="str">
        <f>IF(AND(VLOOKUP(BU50,查询!$C$8:$E$15,3,FALSE)="启用",$B$1=BV50),BT50,"")</f>
        <v>敲击术</v>
      </c>
      <c r="BZ50" s="6" t="str">
        <f t="array" ref="BZ50">INDEX(BX:BX,SMALL(IF(BX$1:BX$500&lt;&gt;"",ROW($1:$500),1000),ROW(BX50)))&amp;""</f>
        <v/>
      </c>
      <c r="CA50" s="6" t="str">
        <f t="array" ref="CA50">INDEX(BY:BY,SMALL(IF(BY$1:BY$500&lt;&gt;"",ROW($1:$500),1000),ROW(BY50)))&amp;""</f>
        <v/>
      </c>
    </row>
    <row r="51" spans="1:79">
      <c r="A51" s="8" t="s">
        <v>2062</v>
      </c>
      <c r="B51" s="8" t="s">
        <v>1425</v>
      </c>
      <c r="C51" s="8" t="s">
        <v>494</v>
      </c>
      <c r="D51" s="9">
        <v>1</v>
      </c>
      <c r="F51" s="8" t="str">
        <f t="shared" si="0"/>
        <v/>
      </c>
      <c r="G51" s="8" t="str">
        <f>IF(AND(VLOOKUP(C51,查询!$C$8:$E$15,3,FALSE)="启用",$B$1=D51),B51,"")</f>
        <v/>
      </c>
      <c r="H51" s="6" t="str">
        <f t="array" ref="H51">INDEX(F:F,SMALL(IF($F$1:$F$500&lt;&gt;"",ROW($1:$500),1000),ROW(F51)))&amp;""</f>
        <v>Gust of Wind</v>
      </c>
      <c r="I51" s="6" t="str">
        <f t="array" ref="I51">INDEX(G:G,SMALL(IF($F$1:$F$500&lt;&gt;"",ROW($1:$500),1000),ROW(G51)))&amp;""</f>
        <v>造风术</v>
      </c>
      <c r="K51" s="8" t="s">
        <v>1945</v>
      </c>
      <c r="L51" s="8" t="s">
        <v>1289</v>
      </c>
      <c r="M51" s="8" t="s">
        <v>1249</v>
      </c>
      <c r="N51" s="9">
        <v>1</v>
      </c>
      <c r="P51" s="8" t="str">
        <f t="shared" si="1"/>
        <v/>
      </c>
      <c r="Q51" s="8" t="str">
        <f>IF(AND(VLOOKUP(M51,查询!$C$8:$E$15,3,FALSE)="启用",$B$1=N51),L51,"")</f>
        <v/>
      </c>
      <c r="R51" s="6" t="str">
        <f t="array" ref="R51">INDEX(P:P,SMALL(IF(P$1:P$500&lt;&gt;"",ROW($1:$500),1000),ROW(P51)))&amp;""</f>
        <v/>
      </c>
      <c r="S51" s="6" t="str">
        <f t="array" ref="S51">INDEX(Q:Q,SMALL(IF(Q$1:Q$500&lt;&gt;"",ROW($1:$500),1000),ROW(Q51)))&amp;""</f>
        <v/>
      </c>
      <c r="U51" s="8" t="s">
        <v>2277</v>
      </c>
      <c r="V51" s="8" t="s">
        <v>1333</v>
      </c>
      <c r="W51" s="8" t="s">
        <v>578</v>
      </c>
      <c r="X51" s="9">
        <v>2</v>
      </c>
      <c r="Z51" s="8" t="str">
        <f t="shared" si="2"/>
        <v>Earthbind</v>
      </c>
      <c r="AA51" s="8" t="str">
        <f>IF(AND(VLOOKUP(W51,查询!$C$8:$E$15,3,FALSE)="启用",$B$1=X51),V51,"")</f>
        <v>地缚</v>
      </c>
      <c r="AB51" s="6" t="str">
        <f t="array" ref="AB51">INDEX(Z:Z,SMALL(IF(Z$1:Z$500&lt;&gt;"",ROW($1:$500),1000),ROW(Z51)))&amp;""</f>
        <v/>
      </c>
      <c r="AC51" s="6" t="str">
        <f t="array" ref="AC51">INDEX(AA:AA,SMALL(IF(AA$1:AA$500&lt;&gt;"",ROW($1:$500),1000),ROW(AA51)))&amp;""</f>
        <v/>
      </c>
      <c r="AE51" s="8" t="s">
        <v>2660</v>
      </c>
      <c r="AF51" s="8" t="s">
        <v>1516</v>
      </c>
      <c r="AG51" s="8" t="s">
        <v>494</v>
      </c>
      <c r="AH51" s="9">
        <v>3</v>
      </c>
      <c r="AJ51" s="8" t="str">
        <f t="shared" si="3"/>
        <v/>
      </c>
      <c r="AK51" s="8" t="str">
        <f>IF(AND(VLOOKUP(AG51,查询!$C$8:$E$15,3,FALSE)="启用",$B$1=AH51),AF51,"")</f>
        <v/>
      </c>
      <c r="AL51" s="6" t="str">
        <f t="array" ref="AL51">INDEX(AJ:AJ,SMALL(IF(AJ$1:AJ$500&lt;&gt;"",ROW($1:$500),1000),ROW(AJ51)))&amp;""</f>
        <v/>
      </c>
      <c r="AM51" s="6" t="str">
        <f t="array" ref="AM51">INDEX(AK:AK,SMALL(IF(AK$1:AK$500&lt;&gt;"",ROW($1:$500),1000),ROW(AK51)))&amp;""</f>
        <v/>
      </c>
      <c r="AV51" s="6" t="str">
        <f t="array" ref="AV51">INDEX(AT:AT,SMALL(IF(AT$1:AT$500&lt;&gt;"",ROW($1:$500),1000),ROW(AT51)))&amp;""</f>
        <v/>
      </c>
      <c r="AW51" s="6" t="str">
        <f t="array" ref="AW51">INDEX(AU:AU,SMALL(IF(AU$1:AU$500&lt;&gt;"",ROW($1:$500),1000),ROW(AU51)))&amp;""</f>
        <v/>
      </c>
      <c r="AY51" s="8" t="s">
        <v>2876</v>
      </c>
      <c r="AZ51" s="8" t="s">
        <v>1677</v>
      </c>
      <c r="BA51" s="8" t="s">
        <v>494</v>
      </c>
      <c r="BB51" s="8">
        <v>4</v>
      </c>
      <c r="BD51" s="8" t="str">
        <f t="shared" si="5"/>
        <v/>
      </c>
      <c r="BE51" s="8" t="str">
        <f>IF(AND(VLOOKUP(BA51,查询!$C$8:$E$15,3,FALSE)="启用",$B$1=BB51),AZ51,"")</f>
        <v/>
      </c>
      <c r="BF51" s="6" t="str">
        <f t="array" ref="BF51">INDEX(BD:BD,SMALL(IF(BD$1:BD$500&lt;&gt;"",ROW($1:$500),1000),ROW(BD51)))&amp;""</f>
        <v/>
      </c>
      <c r="BG51" s="6" t="str">
        <f t="array" ref="BG51">INDEX(BE:BE,SMALL(IF(BE$1:BE$500&lt;&gt;"",ROW($1:$500),1000),ROW(BE51)))&amp;""</f>
        <v/>
      </c>
      <c r="BI51" s="8" t="s">
        <v>2230</v>
      </c>
      <c r="BJ51" s="8" t="s">
        <v>1710</v>
      </c>
      <c r="BK51" s="8" t="s">
        <v>494</v>
      </c>
      <c r="BL51" s="9">
        <v>1</v>
      </c>
      <c r="BN51" s="8" t="str">
        <f t="shared" si="6"/>
        <v/>
      </c>
      <c r="BO51" s="8" t="str">
        <f>IF(AND(VLOOKUP(BK51,查询!$C$8:$E$15,3,FALSE)="启用",$B$1=BL51),BJ51,"")</f>
        <v/>
      </c>
      <c r="BP51" s="6" t="str">
        <f t="array" ref="BP51">INDEX(BN:BN,SMALL(IF(BN$1:BN$500&lt;&gt;"",ROW($1:$500),1000),ROW(BN51)))&amp;""</f>
        <v/>
      </c>
      <c r="BQ51" s="6" t="str">
        <f t="array" ref="BQ51">INDEX(BO:BO,SMALL(IF(BO$1:BO$500&lt;&gt;"",ROW($1:$500),1000),ROW(BO51)))&amp;""</f>
        <v/>
      </c>
      <c r="BS51" s="8" t="s">
        <v>2354</v>
      </c>
      <c r="BT51" s="8" t="s">
        <v>1471</v>
      </c>
      <c r="BU51" s="8" t="s">
        <v>494</v>
      </c>
      <c r="BV51" s="9">
        <v>2</v>
      </c>
      <c r="BX51" s="8" t="str">
        <f t="shared" si="7"/>
        <v>Phantasmal Force</v>
      </c>
      <c r="BY51" s="8" t="str">
        <f>IF(AND(VLOOKUP(BU51,查询!$C$8:$E$15,3,FALSE)="启用",$B$1=BV51),BT51,"")</f>
        <v>魅影之力</v>
      </c>
      <c r="BZ51" s="6" t="str">
        <f t="array" ref="BZ51">INDEX(BX:BX,SMALL(IF(BX$1:BX$500&lt;&gt;"",ROW($1:$500),1000),ROW(BX51)))&amp;""</f>
        <v/>
      </c>
      <c r="CA51" s="6" t="str">
        <f t="array" ref="CA51">INDEX(BY:BY,SMALL(IF(BY$1:BY$500&lt;&gt;"",ROW($1:$500),1000),ROW(BY51)))&amp;""</f>
        <v/>
      </c>
    </row>
    <row r="52" spans="1:79">
      <c r="A52" s="8" t="s">
        <v>2064</v>
      </c>
      <c r="B52" s="8" t="s">
        <v>1426</v>
      </c>
      <c r="C52" s="8" t="s">
        <v>494</v>
      </c>
      <c r="D52" s="9">
        <v>1</v>
      </c>
      <c r="F52" s="8" t="str">
        <f t="shared" si="0"/>
        <v/>
      </c>
      <c r="G52" s="8" t="str">
        <f>IF(AND(VLOOKUP(C52,查询!$C$8:$E$15,3,FALSE)="启用",$B$1=D52),B52,"")</f>
        <v/>
      </c>
      <c r="H52" s="6" t="str">
        <f t="array" ref="H52">INDEX(F:F,SMALL(IF($F$1:$F$500&lt;&gt;"",ROW($1:$500),1000),ROW(F52)))&amp;""</f>
        <v/>
      </c>
      <c r="I52" s="6" t="str">
        <f t="array" ref="I52">INDEX(G:G,SMALL(IF($F$1:$F$500&lt;&gt;"",ROW($1:$500),1000),ROW(G52)))&amp;""</f>
        <v/>
      </c>
      <c r="K52" s="8" t="s">
        <v>1950</v>
      </c>
      <c r="L52" s="8" t="s">
        <v>1731</v>
      </c>
      <c r="M52" s="8" t="s">
        <v>578</v>
      </c>
      <c r="N52" s="9">
        <v>1</v>
      </c>
      <c r="P52" s="8" t="str">
        <f t="shared" si="1"/>
        <v/>
      </c>
      <c r="Q52" s="8" t="str">
        <f>IF(AND(VLOOKUP(M52,查询!$C$8:$E$15,3,FALSE)="启用",$B$1=N52),L52,"")</f>
        <v/>
      </c>
      <c r="R52" s="6" t="str">
        <f t="array" ref="R52">INDEX(P:P,SMALL(IF(P$1:P$500&lt;&gt;"",ROW($1:$500),1000),ROW(P52)))&amp;""</f>
        <v/>
      </c>
      <c r="S52" s="6" t="str">
        <f t="array" ref="S52">INDEX(Q:Q,SMALL(IF(Q$1:Q$500&lt;&gt;"",ROW($1:$500),1000),ROW(Q52)))&amp;""</f>
        <v/>
      </c>
      <c r="U52" s="8" t="s">
        <v>2277</v>
      </c>
      <c r="V52" s="8" t="s">
        <v>1333</v>
      </c>
      <c r="W52" s="8" t="s">
        <v>1249</v>
      </c>
      <c r="X52" s="9">
        <v>2</v>
      </c>
      <c r="Z52" s="8" t="str">
        <f t="shared" si="2"/>
        <v>Earthbind</v>
      </c>
      <c r="AA52" s="8" t="str">
        <f>IF(AND(VLOOKUP(W52,查询!$C$8:$E$15,3,FALSE)="启用",$B$1=X52),V52,"")</f>
        <v>地缚</v>
      </c>
      <c r="AB52" s="6" t="str">
        <f t="array" ref="AB52">INDEX(Z:Z,SMALL(IF(Z$1:Z$500&lt;&gt;"",ROW($1:$500),1000),ROW(Z52)))&amp;""</f>
        <v/>
      </c>
      <c r="AC52" s="6" t="str">
        <f t="array" ref="AC52">INDEX(AA:AA,SMALL(IF(AA$1:AA$500&lt;&gt;"",ROW($1:$500),1000),ROW(AA52)))&amp;""</f>
        <v/>
      </c>
      <c r="AE52" s="8" t="s">
        <v>2533</v>
      </c>
      <c r="AF52" s="8" t="s">
        <v>1306</v>
      </c>
      <c r="AG52" s="8" t="s">
        <v>1249</v>
      </c>
      <c r="AH52" s="9">
        <v>3</v>
      </c>
      <c r="AJ52" s="8" t="str">
        <f t="shared" si="3"/>
        <v/>
      </c>
      <c r="AK52" s="8" t="str">
        <f>IF(AND(VLOOKUP(AG52,查询!$C$8:$E$15,3,FALSE)="启用",$B$1=AH52),AF52,"")</f>
        <v/>
      </c>
      <c r="AL52" s="6" t="str">
        <f t="array" ref="AL52">INDEX(AJ:AJ,SMALL(IF(AJ$1:AJ$500&lt;&gt;"",ROW($1:$500),1000),ROW(AJ52)))&amp;""</f>
        <v/>
      </c>
      <c r="AM52" s="6" t="str">
        <f t="array" ref="AM52">INDEX(AK:AK,SMALL(IF(AK$1:AK$500&lt;&gt;"",ROW($1:$500),1000),ROW(AK52)))&amp;""</f>
        <v/>
      </c>
      <c r="AV52" s="6" t="str">
        <f t="array" ref="AV52">INDEX(AT:AT,SMALL(IF(AT$1:AT$500&lt;&gt;"",ROW($1:$500),1000),ROW(AT52)))&amp;""</f>
        <v/>
      </c>
      <c r="AW52" s="6" t="str">
        <f t="array" ref="AW52">INDEX(AU:AU,SMALL(IF(AU$1:AU$500&lt;&gt;"",ROW($1:$500),1000),ROW(AU52)))&amp;""</f>
        <v/>
      </c>
      <c r="AY52" s="8" t="s">
        <v>2880</v>
      </c>
      <c r="AZ52" s="8" t="s">
        <v>1683</v>
      </c>
      <c r="BA52" s="8" t="s">
        <v>494</v>
      </c>
      <c r="BB52" s="8">
        <v>4</v>
      </c>
      <c r="BD52" s="8" t="str">
        <f t="shared" si="5"/>
        <v/>
      </c>
      <c r="BE52" s="8" t="str">
        <f>IF(AND(VLOOKUP(BA52,查询!$C$8:$E$15,3,FALSE)="启用",$B$1=BB52),AZ52,"")</f>
        <v/>
      </c>
      <c r="BF52" s="6" t="str">
        <f t="array" ref="BF52">INDEX(BD:BD,SMALL(IF(BD$1:BD$500&lt;&gt;"",ROW($1:$500),1000),ROW(BD52)))&amp;""</f>
        <v/>
      </c>
      <c r="BG52" s="6" t="str">
        <f t="array" ref="BG52">INDEX(BE:BE,SMALL(IF(BE$1:BE$500&lt;&gt;"",ROW($1:$500),1000),ROW(BE52)))&amp;""</f>
        <v/>
      </c>
      <c r="BI52" s="8" t="s">
        <v>2267</v>
      </c>
      <c r="BJ52" s="8" t="s">
        <v>1299</v>
      </c>
      <c r="BK52" s="8" t="s">
        <v>1249</v>
      </c>
      <c r="BL52" s="9">
        <v>2</v>
      </c>
      <c r="BN52" s="8" t="str">
        <f t="shared" si="6"/>
        <v>Warding Wind</v>
      </c>
      <c r="BO52" s="8" t="str">
        <f>IF(AND(VLOOKUP(BK52,查询!$C$8:$E$15,3,FALSE)="启用",$B$1=BL52),BJ52,"")</f>
        <v>守护之风</v>
      </c>
      <c r="BP52" s="6" t="str">
        <f t="array" ref="BP52">INDEX(BN:BN,SMALL(IF(BN$1:BN$500&lt;&gt;"",ROW($1:$500),1000),ROW(BN52)))&amp;""</f>
        <v/>
      </c>
      <c r="BQ52" s="6" t="str">
        <f t="array" ref="BQ52">INDEX(BO:BO,SMALL(IF(BO$1:BO$500&lt;&gt;"",ROW($1:$500),1000),ROW(BO52)))&amp;""</f>
        <v/>
      </c>
      <c r="BS52" s="8" t="s">
        <v>2358</v>
      </c>
      <c r="BT52" s="8" t="s">
        <v>1472</v>
      </c>
      <c r="BU52" s="8" t="s">
        <v>494</v>
      </c>
      <c r="BV52" s="9">
        <v>2</v>
      </c>
      <c r="BX52" s="8" t="str">
        <f t="shared" si="7"/>
        <v>See Invisibility</v>
      </c>
      <c r="BY52" s="8" t="str">
        <f>IF(AND(VLOOKUP(BU52,查询!$C$8:$E$15,3,FALSE)="启用",$B$1=BV52),BT52,"")</f>
        <v>识破隐形</v>
      </c>
      <c r="BZ52" s="6" t="str">
        <f t="array" ref="BZ52">INDEX(BX:BX,SMALL(IF(BX$1:BX$500&lt;&gt;"",ROW($1:$500),1000),ROW(BX52)))&amp;""</f>
        <v/>
      </c>
      <c r="CA52" s="6" t="str">
        <f t="array" ref="CA52">INDEX(BY:BY,SMALL(IF(BY$1:BY$500&lt;&gt;"",ROW($1:$500),1000),ROW(BY52)))&amp;""</f>
        <v/>
      </c>
    </row>
    <row r="53" spans="1:79">
      <c r="A53" s="8" t="s">
        <v>1950</v>
      </c>
      <c r="B53" s="8" t="s">
        <v>1731</v>
      </c>
      <c r="C53" s="8" t="s">
        <v>578</v>
      </c>
      <c r="D53" s="9">
        <v>1</v>
      </c>
      <c r="F53" s="8" t="str">
        <f t="shared" si="0"/>
        <v/>
      </c>
      <c r="G53" s="8" t="str">
        <f>IF(AND(VLOOKUP(C53,查询!$C$8:$E$15,3,FALSE)="启用",$B$1=D53),B53,"")</f>
        <v/>
      </c>
      <c r="H53" s="6" t="str">
        <f t="array" ref="H53">INDEX(F:F,SMALL(IF($F$1:$F$500&lt;&gt;"",ROW($1:$500),1000),ROW(F53)))&amp;""</f>
        <v/>
      </c>
      <c r="I53" s="6" t="str">
        <f t="array" ref="I53">INDEX(G:G,SMALL(IF($F$1:$F$500&lt;&gt;"",ROW($1:$500),1000),ROW(G53)))&amp;""</f>
        <v/>
      </c>
      <c r="K53" s="8" t="s">
        <v>1950</v>
      </c>
      <c r="L53" s="8" t="s">
        <v>1298</v>
      </c>
      <c r="M53" s="8" t="s">
        <v>1249</v>
      </c>
      <c r="N53" s="9">
        <v>1</v>
      </c>
      <c r="P53" s="8" t="str">
        <f t="shared" si="1"/>
        <v/>
      </c>
      <c r="Q53" s="8" t="str">
        <f>IF(AND(VLOOKUP(M53,查询!$C$8:$E$15,3,FALSE)="启用",$B$1=N53),L53,"")</f>
        <v/>
      </c>
      <c r="R53" s="6" t="str">
        <f t="array" ref="R53">INDEX(P:P,SMALL(IF(P$1:P$500&lt;&gt;"",ROW($1:$500),1000),ROW(P53)))&amp;""</f>
        <v/>
      </c>
      <c r="S53" s="6" t="str">
        <f t="array" ref="S53">INDEX(Q:Q,SMALL(IF(Q$1:Q$500&lt;&gt;"",ROW($1:$500),1000),ROW(Q53)))&amp;""</f>
        <v/>
      </c>
      <c r="U53" s="8" t="s">
        <v>2566</v>
      </c>
      <c r="V53" s="8" t="s">
        <v>1377</v>
      </c>
      <c r="W53" s="8" t="s">
        <v>494</v>
      </c>
      <c r="X53" s="9">
        <v>3</v>
      </c>
      <c r="Z53" s="8" t="str">
        <f t="shared" si="2"/>
        <v/>
      </c>
      <c r="AA53" s="8" t="str">
        <f>IF(AND(VLOOKUP(W53,查询!$C$8:$E$15,3,FALSE)="启用",$B$1=X53),V53,"")</f>
        <v/>
      </c>
      <c r="AB53" s="6" t="str">
        <f t="array" ref="AB53">INDEX(Z:Z,SMALL(IF(Z$1:Z$500&lt;&gt;"",ROW($1:$500),1000),ROW(Z53)))&amp;""</f>
        <v/>
      </c>
      <c r="AC53" s="6" t="str">
        <f t="array" ref="AC53">INDEX(AA:AA,SMALL(IF(AA$1:AA$500&lt;&gt;"",ROW($1:$500),1000),ROW(AA53)))&amp;""</f>
        <v/>
      </c>
      <c r="AE53" s="8" t="s">
        <v>2686</v>
      </c>
      <c r="AF53" s="8" t="s">
        <v>1573</v>
      </c>
      <c r="AG53" s="8" t="s">
        <v>494</v>
      </c>
      <c r="AH53" s="9">
        <v>3</v>
      </c>
      <c r="AJ53" s="8" t="str">
        <f t="shared" si="3"/>
        <v/>
      </c>
      <c r="AK53" s="8" t="str">
        <f>IF(AND(VLOOKUP(AG53,查询!$C$8:$E$15,3,FALSE)="启用",$B$1=AH53),AF53,"")</f>
        <v/>
      </c>
      <c r="AL53" s="6" t="str">
        <f t="array" ref="AL53">INDEX(AJ:AJ,SMALL(IF(AJ$1:AJ$500&lt;&gt;"",ROW($1:$500),1000),ROW(AJ53)))&amp;""</f>
        <v/>
      </c>
      <c r="AM53" s="6" t="str">
        <f t="array" ref="AM53">INDEX(AK:AK,SMALL(IF(AK$1:AK$500&lt;&gt;"",ROW($1:$500),1000),ROW(AK53)))&amp;""</f>
        <v/>
      </c>
      <c r="AV53" s="6" t="str">
        <f t="array" ref="AV53">INDEX(AT:AT,SMALL(IF(AT$1:AT$500&lt;&gt;"",ROW($1:$500),1000),ROW(AT53)))&amp;""</f>
        <v/>
      </c>
      <c r="AW53" s="6" t="str">
        <f t="array" ref="AW53">INDEX(AU:AU,SMALL(IF(AU$1:AU$500&lt;&gt;"",ROW($1:$500),1000),ROW(AU53)))&amp;""</f>
        <v/>
      </c>
      <c r="AY53" s="8" t="s">
        <v>2884</v>
      </c>
      <c r="AZ53" s="8" t="s">
        <v>1685</v>
      </c>
      <c r="BA53" s="8" t="s">
        <v>494</v>
      </c>
      <c r="BB53" s="8">
        <v>4</v>
      </c>
      <c r="BD53" s="8" t="str">
        <f t="shared" si="5"/>
        <v/>
      </c>
      <c r="BE53" s="8" t="str">
        <f>IF(AND(VLOOKUP(BA53,查询!$C$8:$E$15,3,FALSE)="启用",$B$1=BB53),AZ53,"")</f>
        <v/>
      </c>
      <c r="BF53" s="6" t="str">
        <f t="array" ref="BF53">INDEX(BD:BD,SMALL(IF(BD$1:BD$500&lt;&gt;"",ROW($1:$500),1000),ROW(BD53)))&amp;""</f>
        <v/>
      </c>
      <c r="BG53" s="6" t="str">
        <f t="array" ref="BG53">INDEX(BE:BE,SMALL(IF(BE$1:BE$500&lt;&gt;"",ROW($1:$500),1000),ROW(BE53)))&amp;""</f>
        <v/>
      </c>
      <c r="BI53" s="8" t="s">
        <v>2269</v>
      </c>
      <c r="BJ53" s="8" t="s">
        <v>1732</v>
      </c>
      <c r="BK53" s="8" t="s">
        <v>578</v>
      </c>
      <c r="BL53" s="9">
        <v>2</v>
      </c>
      <c r="BN53" s="8" t="str">
        <f t="shared" si="6"/>
        <v>Skywrite</v>
      </c>
      <c r="BO53" s="8" t="str">
        <f>IF(AND(VLOOKUP(BK53,查询!$C$8:$E$15,3,FALSE)="启用",$B$1=BL53),BJ53,"")</f>
        <v>空中写字E</v>
      </c>
      <c r="BP53" s="6" t="str">
        <f t="array" ref="BP53">INDEX(BN:BN,SMALL(IF(BN$1:BN$500&lt;&gt;"",ROW($1:$500),1000),ROW(BN53)))&amp;""</f>
        <v/>
      </c>
      <c r="BQ53" s="6" t="str">
        <f t="array" ref="BQ53">INDEX(BO:BO,SMALL(IF(BO$1:BO$500&lt;&gt;"",ROW($1:$500),1000),ROW(BO53)))&amp;""</f>
        <v/>
      </c>
      <c r="BS53" s="8" t="s">
        <v>2362</v>
      </c>
      <c r="BT53" s="8" t="s">
        <v>1480</v>
      </c>
      <c r="BU53" s="8" t="s">
        <v>494</v>
      </c>
      <c r="BV53" s="9">
        <v>2</v>
      </c>
      <c r="BX53" s="8" t="str">
        <f t="shared" si="7"/>
        <v>Silence</v>
      </c>
      <c r="BY53" s="8" t="str">
        <f>IF(AND(VLOOKUP(BU53,查询!$C$8:$E$15,3,FALSE)="启用",$B$1=BV53),BT53,"")</f>
        <v>沉默术</v>
      </c>
      <c r="BZ53" s="6" t="str">
        <f t="array" ref="BZ53">INDEX(BX:BX,SMALL(IF(BX$1:BX$500&lt;&gt;"",ROW($1:$500),1000),ROW(BX53)))&amp;""</f>
        <v/>
      </c>
      <c r="CA53" s="6" t="str">
        <f t="array" ref="CA53">INDEX(BY:BY,SMALL(IF(BY$1:BY$500&lt;&gt;"",ROW($1:$500),1000),ROW(BY53)))&amp;""</f>
        <v/>
      </c>
    </row>
    <row r="54" spans="1:79">
      <c r="A54" s="8" t="s">
        <v>1950</v>
      </c>
      <c r="B54" s="8" t="s">
        <v>1298</v>
      </c>
      <c r="C54" s="8" t="s">
        <v>1249</v>
      </c>
      <c r="D54" s="9">
        <v>1</v>
      </c>
      <c r="F54" s="8" t="str">
        <f t="shared" si="0"/>
        <v/>
      </c>
      <c r="G54" s="8" t="str">
        <f>IF(AND(VLOOKUP(C54,查询!$C$8:$E$15,3,FALSE)="启用",$B$1=D54),B54,"")</f>
        <v/>
      </c>
      <c r="H54" s="6" t="str">
        <f t="array" ref="H54">INDEX(F:F,SMALL(IF($F$1:$F$500&lt;&gt;"",ROW($1:$500),1000),ROW(F54)))&amp;""</f>
        <v/>
      </c>
      <c r="I54" s="6" t="str">
        <f t="array" ref="I54">INDEX(G:G,SMALL(IF($F$1:$F$500&lt;&gt;"",ROW($1:$500),1000),ROW(G54)))&amp;""</f>
        <v/>
      </c>
      <c r="K54" s="8" t="s">
        <v>2081</v>
      </c>
      <c r="L54" s="8" t="s">
        <v>1443</v>
      </c>
      <c r="M54" s="8" t="s">
        <v>494</v>
      </c>
      <c r="N54" s="9">
        <v>1</v>
      </c>
      <c r="P54" s="8" t="str">
        <f t="shared" si="1"/>
        <v/>
      </c>
      <c r="Q54" s="8" t="str">
        <f>IF(AND(VLOOKUP(M54,查询!$C$8:$E$15,3,FALSE)="启用",$B$1=N54),L54,"")</f>
        <v/>
      </c>
      <c r="R54" s="6" t="str">
        <f t="array" ref="R54">INDEX(P:P,SMALL(IF(P$1:P$500&lt;&gt;"",ROW($1:$500),1000),ROW(P54)))&amp;""</f>
        <v/>
      </c>
      <c r="S54" s="6" t="str">
        <f t="array" ref="S54">INDEX(Q:Q,SMALL(IF(Q$1:Q$500&lt;&gt;"",ROW($1:$500),1000),ROW(Q54)))&amp;""</f>
        <v/>
      </c>
      <c r="U54" s="8" t="s">
        <v>2568</v>
      </c>
      <c r="V54" s="8" t="s">
        <v>1383</v>
      </c>
      <c r="W54" s="8" t="s">
        <v>494</v>
      </c>
      <c r="X54" s="9">
        <v>3</v>
      </c>
      <c r="Z54" s="8" t="str">
        <f t="shared" si="2"/>
        <v/>
      </c>
      <c r="AA54" s="8" t="str">
        <f>IF(AND(VLOOKUP(W54,查询!$C$8:$E$15,3,FALSE)="启用",$B$1=X54),V54,"")</f>
        <v/>
      </c>
      <c r="AB54" s="6" t="str">
        <f t="array" ref="AB54">INDEX(Z:Z,SMALL(IF(Z$1:Z$500&lt;&gt;"",ROW($1:$500),1000),ROW(Z54)))&amp;""</f>
        <v/>
      </c>
      <c r="AC54" s="6" t="str">
        <f t="array" ref="AC54">INDEX(AA:AA,SMALL(IF(AA$1:AA$500&lt;&gt;"",ROW($1:$500),1000),ROW(AA54)))&amp;""</f>
        <v/>
      </c>
      <c r="AE54" s="8" t="s">
        <v>2690</v>
      </c>
      <c r="AF54" s="8" t="s">
        <v>1575</v>
      </c>
      <c r="AG54" s="8" t="s">
        <v>494</v>
      </c>
      <c r="AH54" s="9">
        <v>3</v>
      </c>
      <c r="AJ54" s="8" t="str">
        <f t="shared" si="3"/>
        <v/>
      </c>
      <c r="AK54" s="8" t="str">
        <f>IF(AND(VLOOKUP(AG54,查询!$C$8:$E$15,3,FALSE)="启用",$B$1=AH54),AF54,"")</f>
        <v/>
      </c>
      <c r="AL54" s="6" t="str">
        <f t="array" ref="AL54">INDEX(AJ:AJ,SMALL(IF(AJ$1:AJ$500&lt;&gt;"",ROW($1:$500),1000),ROW(AJ54)))&amp;""</f>
        <v/>
      </c>
      <c r="AM54" s="6" t="str">
        <f t="array" ref="AM54">INDEX(AK:AK,SMALL(IF(AK$1:AK$500&lt;&gt;"",ROW($1:$500),1000),ROW(AK54)))&amp;""</f>
        <v/>
      </c>
      <c r="AV54" s="6" t="str">
        <f t="array" ref="AV54">INDEX(AT:AT,SMALL(IF(AT$1:AT$500&lt;&gt;"",ROW($1:$500),1000),ROW(AT54)))&amp;""</f>
        <v/>
      </c>
      <c r="AW54" s="6" t="str">
        <f t="array" ref="AW54">INDEX(AU:AU,SMALL(IF(AU$1:AU$500&lt;&gt;"",ROW($1:$500),1000),ROW(AU54)))&amp;""</f>
        <v/>
      </c>
      <c r="AY54" s="8" t="s">
        <v>2915</v>
      </c>
      <c r="AZ54" s="8" t="s">
        <v>1264</v>
      </c>
      <c r="BA54" s="8" t="s">
        <v>1249</v>
      </c>
      <c r="BB54" s="8">
        <v>5</v>
      </c>
      <c r="BD54" s="8" t="str">
        <f t="shared" si="5"/>
        <v/>
      </c>
      <c r="BE54" s="8" t="str">
        <f>IF(AND(VLOOKUP(BA54,查询!$C$8:$E$15,3,FALSE)="启用",$B$1=BB54),AZ54,"")</f>
        <v/>
      </c>
      <c r="BF54" s="6" t="str">
        <f t="array" ref="BF54">INDEX(BD:BD,SMALL(IF(BD$1:BD$500&lt;&gt;"",ROW($1:$500),1000),ROW(BD54)))&amp;""</f>
        <v/>
      </c>
      <c r="BG54" s="6" t="str">
        <f t="array" ref="BG54">INDEX(BE:BE,SMALL(IF(BE$1:BE$500&lt;&gt;"",ROW($1:$500),1000),ROW(BE54)))&amp;""</f>
        <v/>
      </c>
      <c r="BI54" s="8" t="s">
        <v>2269</v>
      </c>
      <c r="BJ54" s="8" t="s">
        <v>1300</v>
      </c>
      <c r="BK54" s="8" t="s">
        <v>1249</v>
      </c>
      <c r="BL54" s="9">
        <v>2</v>
      </c>
      <c r="BN54" s="8" t="str">
        <f t="shared" si="6"/>
        <v>Skywrite</v>
      </c>
      <c r="BO54" s="8" t="str">
        <f>IF(AND(VLOOKUP(BK54,查询!$C$8:$E$15,3,FALSE)="启用",$B$1=BL54),BJ54,"")</f>
        <v>空中写字</v>
      </c>
      <c r="BP54" s="6" t="str">
        <f t="array" ref="BP54">INDEX(BN:BN,SMALL(IF(BN$1:BN$500&lt;&gt;"",ROW($1:$500),1000),ROW(BN54)))&amp;""</f>
        <v/>
      </c>
      <c r="BQ54" s="6" t="str">
        <f t="array" ref="BQ54">INDEX(BO:BO,SMALL(IF(BO$1:BO$500&lt;&gt;"",ROW($1:$500),1000),ROW(BO54)))&amp;""</f>
        <v/>
      </c>
      <c r="BS54" s="8" t="s">
        <v>2366</v>
      </c>
      <c r="BT54" s="8" t="s">
        <v>1484</v>
      </c>
      <c r="BU54" s="8" t="s">
        <v>494</v>
      </c>
      <c r="BV54" s="9">
        <v>2</v>
      </c>
      <c r="BX54" s="8" t="str">
        <f t="shared" si="7"/>
        <v>Blindness/Deafness</v>
      </c>
      <c r="BY54" s="8" t="str">
        <f>IF(AND(VLOOKUP(BU54,查询!$C$8:$E$15,3,FALSE)="启用",$B$1=BV54),BT54,"")</f>
        <v>目盲/耳聋术</v>
      </c>
      <c r="BZ54" s="6" t="str">
        <f t="array" ref="BZ54">INDEX(BX:BX,SMALL(IF(BX$1:BX$500&lt;&gt;"",ROW($1:$500),1000),ROW(BX54)))&amp;""</f>
        <v/>
      </c>
      <c r="CA54" s="6" t="str">
        <f t="array" ref="CA54">INDEX(BY:BY,SMALL(IF(BY$1:BY$500&lt;&gt;"",ROW($1:$500),1000),ROW(BY54)))&amp;""</f>
        <v/>
      </c>
    </row>
    <row r="55" spans="1:79">
      <c r="A55" s="8" t="s">
        <v>2067</v>
      </c>
      <c r="B55" s="8" t="s">
        <v>1436</v>
      </c>
      <c r="C55" s="8" t="s">
        <v>494</v>
      </c>
      <c r="D55" s="9">
        <v>1</v>
      </c>
      <c r="F55" s="8" t="str">
        <f t="shared" si="0"/>
        <v/>
      </c>
      <c r="G55" s="8" t="str">
        <f>IF(AND(VLOOKUP(C55,查询!$C$8:$E$15,3,FALSE)="启用",$B$1=D55),B55,"")</f>
        <v/>
      </c>
      <c r="H55" s="6" t="str">
        <f t="array" ref="H55">INDEX(F:F,SMALL(IF($F$1:$F$500&lt;&gt;"",ROW($1:$500),1000),ROW(F55)))&amp;""</f>
        <v/>
      </c>
      <c r="I55" s="6" t="str">
        <f t="array" ref="I55">INDEX(G:G,SMALL(IF($F$1:$F$500&lt;&gt;"",ROW($1:$500),1000),ROW(G55)))&amp;""</f>
        <v/>
      </c>
      <c r="K55" s="8" t="s">
        <v>2088</v>
      </c>
      <c r="L55" s="8" t="s">
        <v>1465</v>
      </c>
      <c r="M55" s="8" t="s">
        <v>494</v>
      </c>
      <c r="N55" s="9">
        <v>1</v>
      </c>
      <c r="P55" s="8" t="str">
        <f t="shared" si="1"/>
        <v/>
      </c>
      <c r="Q55" s="8" t="str">
        <f>IF(AND(VLOOKUP(M55,查询!$C$8:$E$15,3,FALSE)="启用",$B$1=N55),L55,"")</f>
        <v/>
      </c>
      <c r="R55" s="6" t="str">
        <f t="array" ref="R55">INDEX(P:P,SMALL(IF(P$1:P$500&lt;&gt;"",ROW($1:$500),1000),ROW(P55)))&amp;""</f>
        <v/>
      </c>
      <c r="S55" s="6" t="str">
        <f t="array" ref="S55">INDEX(Q:Q,SMALL(IF(Q$1:Q$500&lt;&gt;"",ROW($1:$500),1000),ROW(Q55)))&amp;""</f>
        <v/>
      </c>
      <c r="U55" s="8" t="s">
        <v>2517</v>
      </c>
      <c r="V55" s="8" t="s">
        <v>1277</v>
      </c>
      <c r="W55" s="8" t="s">
        <v>1249</v>
      </c>
      <c r="X55" s="9">
        <v>3</v>
      </c>
      <c r="Z55" s="8" t="str">
        <f t="shared" si="2"/>
        <v/>
      </c>
      <c r="AA55" s="8" t="str">
        <f>IF(AND(VLOOKUP(W55,查询!$C$8:$E$15,3,FALSE)="启用",$B$1=X55),V55,"")</f>
        <v/>
      </c>
      <c r="AB55" s="6" t="str">
        <f t="array" ref="AB55">INDEX(Z:Z,SMALL(IF(Z$1:Z$500&lt;&gt;"",ROW($1:$500),1000),ROW(Z55)))&amp;""</f>
        <v/>
      </c>
      <c r="AC55" s="6" t="str">
        <f t="array" ref="AC55">INDEX(AA:AA,SMALL(IF(AA$1:AA$500&lt;&gt;"",ROW($1:$500),1000),ROW(AA55)))&amp;""</f>
        <v/>
      </c>
      <c r="AE55" s="8" t="s">
        <v>2693</v>
      </c>
      <c r="AF55" s="8" t="s">
        <v>1580</v>
      </c>
      <c r="AG55" s="8" t="s">
        <v>494</v>
      </c>
      <c r="AH55" s="9">
        <v>3</v>
      </c>
      <c r="AJ55" s="8" t="str">
        <f t="shared" si="3"/>
        <v/>
      </c>
      <c r="AK55" s="8" t="str">
        <f>IF(AND(VLOOKUP(AG55,查询!$C$8:$E$15,3,FALSE)="启用",$B$1=AH55),AF55,"")</f>
        <v/>
      </c>
      <c r="AL55" s="6" t="str">
        <f t="array" ref="AL55">INDEX(AJ:AJ,SMALL(IF(AJ$1:AJ$500&lt;&gt;"",ROW($1:$500),1000),ROW(AJ55)))&amp;""</f>
        <v/>
      </c>
      <c r="AM55" s="6" t="str">
        <f t="array" ref="AM55">INDEX(AK:AK,SMALL(IF(AK$1:AK$500&lt;&gt;"",ROW($1:$500),1000),ROW(AK55)))&amp;""</f>
        <v/>
      </c>
      <c r="AV55" s="6" t="str">
        <f t="array" ref="AV55">INDEX(AT:AT,SMALL(IF(AT$1:AT$500&lt;&gt;"",ROW($1:$500),1000),ROW(AT55)))&amp;""</f>
        <v/>
      </c>
      <c r="AW55" s="6" t="str">
        <f t="array" ref="AW55">INDEX(AU:AU,SMALL(IF(AU$1:AU$500&lt;&gt;"",ROW($1:$500),1000),ROW(AU55)))&amp;""</f>
        <v/>
      </c>
      <c r="AY55" s="8" t="s">
        <v>2966</v>
      </c>
      <c r="AZ55" s="8" t="s">
        <v>1365</v>
      </c>
      <c r="BA55" s="8" t="s">
        <v>494</v>
      </c>
      <c r="BB55" s="8">
        <v>5</v>
      </c>
      <c r="BD55" s="8" t="str">
        <f t="shared" si="5"/>
        <v/>
      </c>
      <c r="BE55" s="8" t="str">
        <f>IF(AND(VLOOKUP(BA55,查询!$C$8:$E$15,3,FALSE)="启用",$B$1=BB55),AZ55,"")</f>
        <v/>
      </c>
      <c r="BF55" s="6" t="str">
        <f t="array" ref="BF55">INDEX(BD:BD,SMALL(IF(BD$1:BD$500&lt;&gt;"",ROW($1:$500),1000),ROW(BD55)))&amp;""</f>
        <v/>
      </c>
      <c r="BG55" s="6" t="str">
        <f t="array" ref="BG55">INDEX(BE:BE,SMALL(IF(BE$1:BE$500&lt;&gt;"",ROW($1:$500),1000),ROW(BE55)))&amp;""</f>
        <v/>
      </c>
      <c r="BI55" s="8" t="s">
        <v>2372</v>
      </c>
      <c r="BJ55" s="8" t="s">
        <v>1496</v>
      </c>
      <c r="BK55" s="8" t="s">
        <v>494</v>
      </c>
      <c r="BL55" s="9">
        <v>2</v>
      </c>
      <c r="BN55" s="8" t="str">
        <f t="shared" si="6"/>
        <v>Hold Person</v>
      </c>
      <c r="BO55" s="8" t="str">
        <f>IF(AND(VLOOKUP(BK55,查询!$C$8:$E$15,3,FALSE)="启用",$B$1=BL55),BJ55,"")</f>
        <v>人类定身术</v>
      </c>
      <c r="BP55" s="6" t="str">
        <f t="array" ref="BP55">INDEX(BN:BN,SMALL(IF(BN$1:BN$500&lt;&gt;"",ROW($1:$500),1000),ROW(BN55)))&amp;""</f>
        <v/>
      </c>
      <c r="BQ55" s="6" t="str">
        <f t="array" ref="BQ55">INDEX(BO:BO,SMALL(IF(BO$1:BO$500&lt;&gt;"",ROW($1:$500),1000),ROW(BO55)))&amp;""</f>
        <v/>
      </c>
      <c r="BS55" s="8" t="s">
        <v>2369</v>
      </c>
      <c r="BT55" s="8" t="s">
        <v>1488</v>
      </c>
      <c r="BU55" s="8" t="s">
        <v>494</v>
      </c>
      <c r="BV55" s="9">
        <v>2</v>
      </c>
      <c r="BX55" s="8" t="str">
        <f t="shared" si="7"/>
        <v>Zone of Truth</v>
      </c>
      <c r="BY55" s="8" t="str">
        <f>IF(AND(VLOOKUP(BU55,查询!$C$8:$E$15,3,FALSE)="启用",$B$1=BV55),BT55,"")</f>
        <v>诚实之域</v>
      </c>
      <c r="BZ55" s="6" t="str">
        <f t="array" ref="BZ55">INDEX(BX:BX,SMALL(IF(BX$1:BX$500&lt;&gt;"",ROW($1:$500),1000),ROW(BX55)))&amp;""</f>
        <v/>
      </c>
      <c r="CA55" s="6" t="str">
        <f t="array" ref="CA55">INDEX(BY:BY,SMALL(IF(BY$1:BY$500&lt;&gt;"",ROW($1:$500),1000),ROW(BY55)))&amp;""</f>
        <v/>
      </c>
    </row>
    <row r="56" spans="1:79">
      <c r="A56" s="8" t="s">
        <v>2075</v>
      </c>
      <c r="B56" s="8" t="s">
        <v>1438</v>
      </c>
      <c r="C56" s="8" t="s">
        <v>494</v>
      </c>
      <c r="D56" s="9">
        <v>1</v>
      </c>
      <c r="F56" s="8" t="str">
        <f t="shared" si="0"/>
        <v/>
      </c>
      <c r="G56" s="8" t="str">
        <f>IF(AND(VLOOKUP(C56,查询!$C$8:$E$15,3,FALSE)="启用",$B$1=D56),B56,"")</f>
        <v/>
      </c>
      <c r="H56" s="6" t="str">
        <f t="array" ref="H56">INDEX(F:F,SMALL(IF($F$1:$F$500&lt;&gt;"",ROW($1:$500),1000),ROW(F56)))&amp;""</f>
        <v/>
      </c>
      <c r="I56" s="6" t="str">
        <f t="array" ref="I56">INDEX(G:G,SMALL(IF($F$1:$F$500&lt;&gt;"",ROW($1:$500),1000),ROW(G56)))&amp;""</f>
        <v/>
      </c>
      <c r="K56" s="8" t="s">
        <v>2091</v>
      </c>
      <c r="L56" s="8" t="s">
        <v>1467</v>
      </c>
      <c r="M56" s="8" t="s">
        <v>494</v>
      </c>
      <c r="N56" s="9">
        <v>1</v>
      </c>
      <c r="P56" s="8" t="str">
        <f t="shared" si="1"/>
        <v/>
      </c>
      <c r="Q56" s="8" t="str">
        <f>IF(AND(VLOOKUP(M56,查询!$C$8:$E$15,3,FALSE)="启用",$B$1=N56),L56,"")</f>
        <v/>
      </c>
      <c r="R56" s="6" t="str">
        <f t="array" ref="R56">INDEX(P:P,SMALL(IF(P$1:P$500&lt;&gt;"",ROW($1:$500),1000),ROW(P56)))&amp;""</f>
        <v/>
      </c>
      <c r="S56" s="6" t="str">
        <f t="array" ref="S56">INDEX(Q:Q,SMALL(IF(Q$1:Q$500&lt;&gt;"",ROW($1:$500),1000),ROW(Q56)))&amp;""</f>
        <v/>
      </c>
      <c r="U56" s="8" t="s">
        <v>2572</v>
      </c>
      <c r="V56" s="8" t="s">
        <v>1389</v>
      </c>
      <c r="W56" s="8" t="s">
        <v>494</v>
      </c>
      <c r="X56" s="9">
        <v>3</v>
      </c>
      <c r="Z56" s="8" t="str">
        <f t="shared" si="2"/>
        <v/>
      </c>
      <c r="AA56" s="8" t="str">
        <f>IF(AND(VLOOKUP(W56,查询!$C$8:$E$15,3,FALSE)="启用",$B$1=X56),V56,"")</f>
        <v/>
      </c>
      <c r="AB56" s="6" t="str">
        <f t="array" ref="AB56">INDEX(Z:Z,SMALL(IF(Z$1:Z$500&lt;&gt;"",ROW($1:$500),1000),ROW(Z56)))&amp;""</f>
        <v/>
      </c>
      <c r="AC56" s="6" t="str">
        <f t="array" ref="AC56">INDEX(AA:AA,SMALL(IF(AA$1:AA$500&lt;&gt;"",ROW($1:$500),1000),ROW(AA56)))&amp;""</f>
        <v/>
      </c>
      <c r="AE56" s="8" t="s">
        <v>2695</v>
      </c>
      <c r="AF56" s="8" t="s">
        <v>1584</v>
      </c>
      <c r="AG56" s="8" t="s">
        <v>494</v>
      </c>
      <c r="AH56" s="9">
        <v>3</v>
      </c>
      <c r="AJ56" s="8" t="str">
        <f t="shared" si="3"/>
        <v/>
      </c>
      <c r="AK56" s="8" t="str">
        <f>IF(AND(VLOOKUP(AG56,查询!$C$8:$E$15,3,FALSE)="启用",$B$1=AH56),AF56,"")</f>
        <v/>
      </c>
      <c r="AL56" s="6" t="str">
        <f t="array" ref="AL56">INDEX(AJ:AJ,SMALL(IF(AJ$1:AJ$500&lt;&gt;"",ROW($1:$500),1000),ROW(AJ56)))&amp;""</f>
        <v/>
      </c>
      <c r="AM56" s="6" t="str">
        <f t="array" ref="AM56">INDEX(AK:AK,SMALL(IF(AK$1:AK$500&lt;&gt;"",ROW($1:$500),1000),ROW(AK56)))&amp;""</f>
        <v/>
      </c>
      <c r="AV56" s="6" t="str">
        <f t="array" ref="AV56">INDEX(AT:AT,SMALL(IF(AT$1:AT$500&lt;&gt;"",ROW($1:$500),1000),ROW(AT56)))&amp;""</f>
        <v/>
      </c>
      <c r="AW56" s="6" t="str">
        <f t="array" ref="AW56">INDEX(AU:AU,SMALL(IF(AU$1:AU$500&lt;&gt;"",ROW($1:$500),1000),ROW(AU56)))&amp;""</f>
        <v/>
      </c>
      <c r="AY56" s="8" t="s">
        <v>2968</v>
      </c>
      <c r="AZ56" s="8" t="s">
        <v>1371</v>
      </c>
      <c r="BA56" s="8" t="s">
        <v>494</v>
      </c>
      <c r="BB56" s="8">
        <v>5</v>
      </c>
      <c r="BD56" s="8" t="str">
        <f t="shared" si="5"/>
        <v/>
      </c>
      <c r="BE56" s="8" t="str">
        <f>IF(AND(VLOOKUP(BA56,查询!$C$8:$E$15,3,FALSE)="启用",$B$1=BB56),AZ56,"")</f>
        <v/>
      </c>
      <c r="BF56" s="6" t="str">
        <f t="array" ref="BF56">INDEX(BD:BD,SMALL(IF(BD$1:BD$500&lt;&gt;"",ROW($1:$500),1000),ROW(BD56)))&amp;""</f>
        <v/>
      </c>
      <c r="BG56" s="6" t="str">
        <f t="array" ref="BG56">INDEX(BE:BE,SMALL(IF(BE$1:BE$500&lt;&gt;"",ROW($1:$500),1000),ROW(BE56)))&amp;""</f>
        <v/>
      </c>
      <c r="BI56" s="8" t="s">
        <v>2377</v>
      </c>
      <c r="BJ56" s="8" t="s">
        <v>1498</v>
      </c>
      <c r="BK56" s="8" t="s">
        <v>494</v>
      </c>
      <c r="BL56" s="9">
        <v>2</v>
      </c>
      <c r="BN56" s="8" t="str">
        <f t="shared" si="6"/>
        <v>Enhance Ability</v>
      </c>
      <c r="BO56" s="8" t="str">
        <f>IF(AND(VLOOKUP(BK56,查询!$C$8:$E$15,3,FALSE)="启用",$B$1=BL56),BJ56,"")</f>
        <v>强化属性</v>
      </c>
      <c r="BP56" s="6" t="str">
        <f t="array" ref="BP56">INDEX(BN:BN,SMALL(IF(BN$1:BN$500&lt;&gt;"",ROW($1:$500),1000),ROW(BN56)))&amp;""</f>
        <v/>
      </c>
      <c r="BQ56" s="6" t="str">
        <f t="array" ref="BQ56">INDEX(BO:BO,SMALL(IF(BO$1:BO$500&lt;&gt;"",ROW($1:$500),1000),ROW(BO56)))&amp;""</f>
        <v/>
      </c>
      <c r="BS56" s="8" t="s">
        <v>2372</v>
      </c>
      <c r="BT56" s="8" t="s">
        <v>1496</v>
      </c>
      <c r="BU56" s="8" t="s">
        <v>494</v>
      </c>
      <c r="BV56" s="9">
        <v>2</v>
      </c>
      <c r="BX56" s="8" t="str">
        <f t="shared" si="7"/>
        <v>Hold Person</v>
      </c>
      <c r="BY56" s="8" t="str">
        <f>IF(AND(VLOOKUP(BU56,查询!$C$8:$E$15,3,FALSE)="启用",$B$1=BV56),BT56,"")</f>
        <v>人类定身术</v>
      </c>
      <c r="BZ56" s="6" t="str">
        <f t="array" ref="BZ56">INDEX(BX:BX,SMALL(IF(BX$1:BX$500&lt;&gt;"",ROW($1:$500),1000),ROW(BX56)))&amp;""</f>
        <v/>
      </c>
      <c r="CA56" s="6" t="str">
        <f t="array" ref="CA56">INDEX(BY:BY,SMALL(IF(BY$1:BY$500&lt;&gt;"",ROW($1:$500),1000),ROW(BY56)))&amp;""</f>
        <v/>
      </c>
    </row>
    <row r="57" spans="1:79">
      <c r="A57" s="8" t="s">
        <v>2081</v>
      </c>
      <c r="B57" s="8" t="s">
        <v>1443</v>
      </c>
      <c r="C57" s="8" t="s">
        <v>494</v>
      </c>
      <c r="D57" s="9">
        <v>1</v>
      </c>
      <c r="F57" s="8" t="str">
        <f t="shared" si="0"/>
        <v/>
      </c>
      <c r="G57" s="8" t="str">
        <f>IF(AND(VLOOKUP(C57,查询!$C$8:$E$15,3,FALSE)="启用",$B$1=D57),B57,"")</f>
        <v/>
      </c>
      <c r="H57" s="6" t="str">
        <f t="array" ref="H57">INDEX(F:F,SMALL(IF($F$1:$F$500&lt;&gt;"",ROW($1:$500),1000),ROW(F57)))&amp;""</f>
        <v/>
      </c>
      <c r="I57" s="6" t="str">
        <f t="array" ref="I57">INDEX(G:G,SMALL(IF($F$1:$F$500&lt;&gt;"",ROW($1:$500),1000),ROW(G57)))&amp;""</f>
        <v/>
      </c>
      <c r="K57" s="8" t="s">
        <v>2097</v>
      </c>
      <c r="L57" s="8" t="s">
        <v>1474</v>
      </c>
      <c r="M57" s="8" t="s">
        <v>494</v>
      </c>
      <c r="N57" s="9">
        <v>1</v>
      </c>
      <c r="P57" s="8" t="str">
        <f t="shared" si="1"/>
        <v/>
      </c>
      <c r="Q57" s="8" t="str">
        <f>IF(AND(VLOOKUP(M57,查询!$C$8:$E$15,3,FALSE)="启用",$B$1=N57),L57,"")</f>
        <v/>
      </c>
      <c r="R57" s="6" t="str">
        <f t="array" ref="R57">INDEX(P:P,SMALL(IF(P$1:P$500&lt;&gt;"",ROW($1:$500),1000),ROW(P57)))&amp;""</f>
        <v/>
      </c>
      <c r="S57" s="6" t="str">
        <f t="array" ref="S57">INDEX(Q:Q,SMALL(IF(Q$1:Q$500&lt;&gt;"",ROW($1:$500),1000),ROW(Q57)))&amp;""</f>
        <v/>
      </c>
      <c r="U57" s="8" t="s">
        <v>2577</v>
      </c>
      <c r="V57" s="8" t="s">
        <v>1393</v>
      </c>
      <c r="W57" s="8" t="s">
        <v>494</v>
      </c>
      <c r="X57" s="9">
        <v>3</v>
      </c>
      <c r="Z57" s="8" t="str">
        <f t="shared" si="2"/>
        <v/>
      </c>
      <c r="AA57" s="8" t="str">
        <f>IF(AND(VLOOKUP(W57,查询!$C$8:$E$15,3,FALSE)="启用",$B$1=X57),V57,"")</f>
        <v/>
      </c>
      <c r="AB57" s="6" t="str">
        <f t="array" ref="AB57">INDEX(Z:Z,SMALL(IF(Z$1:Z$500&lt;&gt;"",ROW($1:$500),1000),ROW(Z57)))&amp;""</f>
        <v/>
      </c>
      <c r="AC57" s="6" t="str">
        <f t="array" ref="AC57">INDEX(AA:AA,SMALL(IF(AA$1:AA$500&lt;&gt;"",ROW($1:$500),1000),ROW(AA57)))&amp;""</f>
        <v/>
      </c>
      <c r="AE57" s="8" t="s">
        <v>2699</v>
      </c>
      <c r="AF57" s="8" t="s">
        <v>1586</v>
      </c>
      <c r="AG57" s="8" t="s">
        <v>494</v>
      </c>
      <c r="AH57" s="9">
        <v>3</v>
      </c>
      <c r="AJ57" s="8" t="str">
        <f t="shared" si="3"/>
        <v/>
      </c>
      <c r="AK57" s="8" t="str">
        <f>IF(AND(VLOOKUP(AG57,查询!$C$8:$E$15,3,FALSE)="启用",$B$1=AH57),AF57,"")</f>
        <v/>
      </c>
      <c r="AL57" s="6" t="str">
        <f t="array" ref="AL57">INDEX(AJ:AJ,SMALL(IF(AJ$1:AJ$500&lt;&gt;"",ROW($1:$500),1000),ROW(AJ57)))&amp;""</f>
        <v/>
      </c>
      <c r="AM57" s="6" t="str">
        <f t="array" ref="AM57">INDEX(AK:AK,SMALL(IF(AK$1:AK$500&lt;&gt;"",ROW($1:$500),1000),ROW(AK57)))&amp;""</f>
        <v/>
      </c>
      <c r="AV57" s="6" t="str">
        <f t="array" ref="AV57">INDEX(AT:AT,SMALL(IF(AT$1:AT$500&lt;&gt;"",ROW($1:$500),1000),ROW(AT57)))&amp;""</f>
        <v/>
      </c>
      <c r="AW57" s="6" t="str">
        <f t="array" ref="AW57">INDEX(AU:AU,SMALL(IF(AU$1:AU$500&lt;&gt;"",ROW($1:$500),1000),ROW(AU57)))&amp;""</f>
        <v/>
      </c>
      <c r="AY57" s="8" t="s">
        <v>2954</v>
      </c>
      <c r="AZ57" s="8" t="s">
        <v>1330</v>
      </c>
      <c r="BA57" s="8" t="s">
        <v>1249</v>
      </c>
      <c r="BB57" s="8">
        <v>5</v>
      </c>
      <c r="BD57" s="8" t="str">
        <f t="shared" si="5"/>
        <v/>
      </c>
      <c r="BE57" s="8" t="str">
        <f>IF(AND(VLOOKUP(BA57,查询!$C$8:$E$15,3,FALSE)="启用",$B$1=BB57),AZ57,"")</f>
        <v/>
      </c>
      <c r="BF57" s="6" t="str">
        <f t="array" ref="BF57">INDEX(BD:BD,SMALL(IF(BD$1:BD$500&lt;&gt;"",ROW($1:$500),1000),ROW(BD57)))&amp;""</f>
        <v/>
      </c>
      <c r="BG57" s="6" t="str">
        <f t="array" ref="BG57">INDEX(BE:BE,SMALL(IF(BE$1:BE$500&lt;&gt;"",ROW($1:$500),1000),ROW(BE57)))&amp;""</f>
        <v/>
      </c>
      <c r="BI57" s="8" t="s">
        <v>2382</v>
      </c>
      <c r="BJ57" s="8" t="s">
        <v>1501</v>
      </c>
      <c r="BK57" s="8" t="s">
        <v>494</v>
      </c>
      <c r="BL57" s="9">
        <v>2</v>
      </c>
      <c r="BN57" s="8" t="str">
        <f t="shared" si="6"/>
        <v>Locate Object</v>
      </c>
      <c r="BO57" s="8" t="str">
        <f>IF(AND(VLOOKUP(BK57,查询!$C$8:$E$15,3,FALSE)="启用",$B$1=BL57),BJ57,"")</f>
        <v>物件定位术</v>
      </c>
      <c r="BP57" s="6" t="str">
        <f t="array" ref="BP57">INDEX(BN:BN,SMALL(IF(BN$1:BN$500&lt;&gt;"",ROW($1:$500),1000),ROW(BN57)))&amp;""</f>
        <v/>
      </c>
      <c r="BQ57" s="6" t="str">
        <f t="array" ref="BQ57">INDEX(BO:BO,SMALL(IF(BO$1:BO$500&lt;&gt;"",ROW($1:$500),1000),ROW(BO57)))&amp;""</f>
        <v/>
      </c>
      <c r="BS57" s="8" t="s">
        <v>2377</v>
      </c>
      <c r="BT57" s="8" t="s">
        <v>1498</v>
      </c>
      <c r="BU57" s="8" t="s">
        <v>494</v>
      </c>
      <c r="BV57" s="9">
        <v>2</v>
      </c>
      <c r="BX57" s="8" t="str">
        <f t="shared" si="7"/>
        <v>Enhance Ability</v>
      </c>
      <c r="BY57" s="8" t="str">
        <f>IF(AND(VLOOKUP(BU57,查询!$C$8:$E$15,3,FALSE)="启用",$B$1=BV57),BT57,"")</f>
        <v>强化属性</v>
      </c>
      <c r="BZ57" s="6" t="str">
        <f t="array" ref="BZ57">INDEX(BX:BX,SMALL(IF(BX$1:BX$500&lt;&gt;"",ROW($1:$500),1000),ROW(BX57)))&amp;""</f>
        <v/>
      </c>
      <c r="CA57" s="6" t="str">
        <f t="array" ref="CA57">INDEX(BY:BY,SMALL(IF(BY$1:BY$500&lt;&gt;"",ROW($1:$500),1000),ROW(BY57)))&amp;""</f>
        <v/>
      </c>
    </row>
    <row r="58" spans="1:79">
      <c r="A58" s="8" t="s">
        <v>2088</v>
      </c>
      <c r="B58" s="8" t="s">
        <v>1465</v>
      </c>
      <c r="C58" s="8" t="s">
        <v>494</v>
      </c>
      <c r="D58" s="9">
        <v>1</v>
      </c>
      <c r="F58" s="8" t="str">
        <f t="shared" si="0"/>
        <v/>
      </c>
      <c r="G58" s="8" t="str">
        <f>IF(AND(VLOOKUP(C58,查询!$C$8:$E$15,3,FALSE)="启用",$B$1=D58),B58,"")</f>
        <v/>
      </c>
      <c r="H58" s="6" t="str">
        <f t="array" ref="H58">INDEX(F:F,SMALL(IF($F$1:$F$500&lt;&gt;"",ROW($1:$500),1000),ROW(F58)))&amp;""</f>
        <v/>
      </c>
      <c r="I58" s="6" t="str">
        <f t="array" ref="I58">INDEX(G:G,SMALL(IF($F$1:$F$500&lt;&gt;"",ROW($1:$500),1000),ROW(G58)))&amp;""</f>
        <v/>
      </c>
      <c r="K58" s="8" t="s">
        <v>2101</v>
      </c>
      <c r="L58" s="8" t="s">
        <v>1475</v>
      </c>
      <c r="M58" s="8" t="s">
        <v>494</v>
      </c>
      <c r="N58" s="9">
        <v>1</v>
      </c>
      <c r="P58" s="8" t="str">
        <f t="shared" si="1"/>
        <v/>
      </c>
      <c r="Q58" s="8" t="str">
        <f>IF(AND(VLOOKUP(M58,查询!$C$8:$E$15,3,FALSE)="启用",$B$1=N58),L58,"")</f>
        <v/>
      </c>
      <c r="R58" s="6" t="str">
        <f t="array" ref="R58">INDEX(P:P,SMALL(IF(P$1:P$500&lt;&gt;"",ROW($1:$500),1000),ROW(P58)))&amp;""</f>
        <v/>
      </c>
      <c r="S58" s="6" t="str">
        <f t="array" ref="S58">INDEX(Q:Q,SMALL(IF(Q$1:Q$500&lt;&gt;"",ROW($1:$500),1000),ROW(Q58)))&amp;""</f>
        <v/>
      </c>
      <c r="U58" s="8" t="s">
        <v>2581</v>
      </c>
      <c r="V58" s="8" t="s">
        <v>1394</v>
      </c>
      <c r="W58" s="8" t="s">
        <v>494</v>
      </c>
      <c r="X58" s="9">
        <v>3</v>
      </c>
      <c r="Z58" s="8" t="str">
        <f t="shared" si="2"/>
        <v/>
      </c>
      <c r="AA58" s="8" t="str">
        <f>IF(AND(VLOOKUP(W58,查询!$C$8:$E$15,3,FALSE)="启用",$B$1=X58),V58,"")</f>
        <v/>
      </c>
      <c r="AB58" s="6" t="str">
        <f t="array" ref="AB58">INDEX(Z:Z,SMALL(IF(Z$1:Z$500&lt;&gt;"",ROW($1:$500),1000),ROW(Z58)))&amp;""</f>
        <v/>
      </c>
      <c r="AC58" s="6" t="str">
        <f t="array" ref="AC58">INDEX(AA:AA,SMALL(IF(AA$1:AA$500&lt;&gt;"",ROW($1:$500),1000),ROW(AA58)))&amp;""</f>
        <v/>
      </c>
      <c r="AE58" s="8" t="s">
        <v>2703</v>
      </c>
      <c r="AF58" s="8" t="s">
        <v>1590</v>
      </c>
      <c r="AG58" s="8" t="s">
        <v>494</v>
      </c>
      <c r="AH58" s="9">
        <v>3</v>
      </c>
      <c r="AJ58" s="8" t="str">
        <f t="shared" si="3"/>
        <v/>
      </c>
      <c r="AK58" s="8" t="str">
        <f>IF(AND(VLOOKUP(AG58,查询!$C$8:$E$15,3,FALSE)="启用",$B$1=AH58),AF58,"")</f>
        <v/>
      </c>
      <c r="AL58" s="6" t="str">
        <f t="array" ref="AL58">INDEX(AJ:AJ,SMALL(IF(AJ$1:AJ$500&lt;&gt;"",ROW($1:$500),1000),ROW(AJ58)))&amp;""</f>
        <v/>
      </c>
      <c r="AM58" s="6" t="str">
        <f t="array" ref="AM58">INDEX(AK:AK,SMALL(IF(AK$1:AK$500&lt;&gt;"",ROW($1:$500),1000),ROW(AK58)))&amp;""</f>
        <v/>
      </c>
      <c r="AV58" s="6" t="str">
        <f t="array" ref="AV58">INDEX(AT:AT,SMALL(IF(AT$1:AT$500&lt;&gt;"",ROW($1:$500),1000),ROW(AT58)))&amp;""</f>
        <v/>
      </c>
      <c r="AW58" s="6" t="str">
        <f t="array" ref="AW58">INDEX(AU:AU,SMALL(IF(AU$1:AU$500&lt;&gt;"",ROW($1:$500),1000),ROW(AU58)))&amp;""</f>
        <v/>
      </c>
      <c r="AY58" s="8" t="s">
        <v>3088</v>
      </c>
      <c r="AZ58" s="8" t="s">
        <v>1681</v>
      </c>
      <c r="BA58" s="8" t="s">
        <v>494</v>
      </c>
      <c r="BB58" s="8">
        <v>5</v>
      </c>
      <c r="BD58" s="8" t="str">
        <f t="shared" si="5"/>
        <v/>
      </c>
      <c r="BE58" s="8" t="str">
        <f>IF(AND(VLOOKUP(BA58,查询!$C$8:$E$15,3,FALSE)="启用",$B$1=BB58),AZ58,"")</f>
        <v/>
      </c>
      <c r="BF58" s="6" t="str">
        <f t="array" ref="BF58">INDEX(BD:BD,SMALL(IF(BD$1:BD$500&lt;&gt;"",ROW($1:$500),1000),ROW(BD58)))&amp;""</f>
        <v/>
      </c>
      <c r="BG58" s="6" t="str">
        <f t="array" ref="BG58">INDEX(BE:BE,SMALL(IF(BE$1:BE$500&lt;&gt;"",ROW($1:$500),1000),ROW(BE58)))&amp;""</f>
        <v/>
      </c>
      <c r="BI58" s="8" t="s">
        <v>2387</v>
      </c>
      <c r="BJ58" s="8" t="s">
        <v>1503</v>
      </c>
      <c r="BK58" s="8" t="s">
        <v>494</v>
      </c>
      <c r="BL58" s="9">
        <v>2</v>
      </c>
      <c r="BN58" s="8" t="str">
        <f t="shared" si="6"/>
        <v>Lesser Restoration</v>
      </c>
      <c r="BO58" s="8" t="str">
        <f>IF(AND(VLOOKUP(BK58,查询!$C$8:$E$15,3,FALSE)="启用",$B$1=BL58),BJ58,"")</f>
        <v>次级复原术</v>
      </c>
      <c r="BP58" s="6" t="str">
        <f t="array" ref="BP58">INDEX(BN:BN,SMALL(IF(BN$1:BN$500&lt;&gt;"",ROW($1:$500),1000),ROW(BN58)))&amp;""</f>
        <v/>
      </c>
      <c r="BQ58" s="6" t="str">
        <f t="array" ref="BQ58">INDEX(BO:BO,SMALL(IF(BO$1:BO$500&lt;&gt;"",ROW($1:$500),1000),ROW(BO58)))&amp;""</f>
        <v/>
      </c>
      <c r="BS58" s="8" t="s">
        <v>2382</v>
      </c>
      <c r="BT58" s="8" t="s">
        <v>1501</v>
      </c>
      <c r="BU58" s="8" t="s">
        <v>494</v>
      </c>
      <c r="BV58" s="9">
        <v>2</v>
      </c>
      <c r="BX58" s="8" t="str">
        <f t="shared" si="7"/>
        <v>Locate Object</v>
      </c>
      <c r="BY58" s="8" t="str">
        <f>IF(AND(VLOOKUP(BU58,查询!$C$8:$E$15,3,FALSE)="启用",$B$1=BV58),BT58,"")</f>
        <v>物件定位术</v>
      </c>
      <c r="BZ58" s="6" t="str">
        <f t="array" ref="BZ58">INDEX(BX:BX,SMALL(IF(BX$1:BX$500&lt;&gt;"",ROW($1:$500),1000),ROW(BX58)))&amp;""</f>
        <v/>
      </c>
      <c r="CA58" s="6" t="str">
        <f t="array" ref="CA58">INDEX(BY:BY,SMALL(IF(BY$1:BY$500&lt;&gt;"",ROW($1:$500),1000),ROW(BY58)))&amp;""</f>
        <v/>
      </c>
    </row>
    <row r="59" spans="1:79">
      <c r="A59" s="8" t="s">
        <v>2091</v>
      </c>
      <c r="B59" s="8" t="s">
        <v>1467</v>
      </c>
      <c r="C59" s="8" t="s">
        <v>494</v>
      </c>
      <c r="D59" s="9">
        <v>1</v>
      </c>
      <c r="F59" s="8" t="str">
        <f t="shared" si="0"/>
        <v/>
      </c>
      <c r="G59" s="8" t="str">
        <f>IF(AND(VLOOKUP(C59,查询!$C$8:$E$15,3,FALSE)="启用",$B$1=D59),B59,"")</f>
        <v/>
      </c>
      <c r="H59" s="6" t="str">
        <f t="array" ref="H59">INDEX(F:F,SMALL(IF($F$1:$F$500&lt;&gt;"",ROW($1:$500),1000),ROW(F59)))&amp;""</f>
        <v/>
      </c>
      <c r="I59" s="6" t="str">
        <f t="array" ref="I59">INDEX(G:G,SMALL(IF($F$1:$F$500&lt;&gt;"",ROW($1:$500),1000),ROW(G59)))&amp;""</f>
        <v/>
      </c>
      <c r="K59" s="8" t="s">
        <v>2108</v>
      </c>
      <c r="L59" s="8" t="s">
        <v>1499</v>
      </c>
      <c r="M59" s="8" t="s">
        <v>494</v>
      </c>
      <c r="N59" s="9">
        <v>1</v>
      </c>
      <c r="P59" s="8" t="str">
        <f t="shared" si="1"/>
        <v/>
      </c>
      <c r="Q59" s="8" t="str">
        <f>IF(AND(VLOOKUP(M59,查询!$C$8:$E$15,3,FALSE)="启用",$B$1=N59),L59,"")</f>
        <v/>
      </c>
      <c r="R59" s="6" t="str">
        <f t="array" ref="R59">INDEX(P:P,SMALL(IF(P$1:P$500&lt;&gt;"",ROW($1:$500),1000),ROW(P59)))&amp;""</f>
        <v/>
      </c>
      <c r="S59" s="6" t="str">
        <f t="array" ref="S59">INDEX(Q:Q,SMALL(IF(Q$1:Q$500&lt;&gt;"",ROW($1:$500),1000),ROW(Q59)))&amp;""</f>
        <v/>
      </c>
      <c r="U59" s="8" t="s">
        <v>2525</v>
      </c>
      <c r="V59" s="8" t="s">
        <v>1290</v>
      </c>
      <c r="W59" s="8" t="s">
        <v>1249</v>
      </c>
      <c r="X59" s="9">
        <v>3</v>
      </c>
      <c r="Z59" s="8" t="str">
        <f t="shared" si="2"/>
        <v/>
      </c>
      <c r="AA59" s="8" t="str">
        <f>IF(AND(VLOOKUP(W59,查询!$C$8:$E$15,3,FALSE)="启用",$B$1=X59),V59,"")</f>
        <v/>
      </c>
      <c r="AB59" s="6" t="str">
        <f t="array" ref="AB59">INDEX(Z:Z,SMALL(IF(Z$1:Z$500&lt;&gt;"",ROW($1:$500),1000),ROW(Z59)))&amp;""</f>
        <v/>
      </c>
      <c r="AC59" s="6" t="str">
        <f t="array" ref="AC59">INDEX(AA:AA,SMALL(IF(AA$1:AA$500&lt;&gt;"",ROW($1:$500),1000),ROW(AA59)))&amp;""</f>
        <v/>
      </c>
      <c r="AE59" s="8" t="s">
        <v>2706</v>
      </c>
      <c r="AF59" s="8" t="s">
        <v>1591</v>
      </c>
      <c r="AG59" s="8" t="s">
        <v>494</v>
      </c>
      <c r="AH59" s="9">
        <v>3</v>
      </c>
      <c r="AJ59" s="8" t="str">
        <f t="shared" si="3"/>
        <v/>
      </c>
      <c r="AK59" s="8" t="str">
        <f>IF(AND(VLOOKUP(AG59,查询!$C$8:$E$15,3,FALSE)="启用",$B$1=AH59),AF59,"")</f>
        <v/>
      </c>
      <c r="AL59" s="6" t="str">
        <f t="array" ref="AL59">INDEX(AJ:AJ,SMALL(IF(AJ$1:AJ$500&lt;&gt;"",ROW($1:$500),1000),ROW(AJ59)))&amp;""</f>
        <v/>
      </c>
      <c r="AM59" s="6" t="str">
        <f t="array" ref="AM59">INDEX(AK:AK,SMALL(IF(AK$1:AK$500&lt;&gt;"",ROW($1:$500),1000),ROW(AK59)))&amp;""</f>
        <v/>
      </c>
      <c r="AV59" s="6" t="str">
        <f t="array" ref="AV59">INDEX(AT:AT,SMALL(IF(AT$1:AT$500&lt;&gt;"",ROW($1:$500),1000),ROW(AT59)))&amp;""</f>
        <v/>
      </c>
      <c r="AW59" s="6" t="str">
        <f t="array" ref="AW59">INDEX(AU:AU,SMALL(IF(AU$1:AU$500&lt;&gt;"",ROW($1:$500),1000),ROW(AU59)))&amp;""</f>
        <v/>
      </c>
      <c r="AY59" s="8" t="s">
        <v>3090</v>
      </c>
      <c r="AZ59" s="8" t="s">
        <v>1688</v>
      </c>
      <c r="BA59" s="8" t="s">
        <v>494</v>
      </c>
      <c r="BB59" s="8">
        <v>5</v>
      </c>
      <c r="BD59" s="8" t="str">
        <f t="shared" si="5"/>
        <v/>
      </c>
      <c r="BE59" s="8" t="str">
        <f>IF(AND(VLOOKUP(BA59,查询!$C$8:$E$15,3,FALSE)="启用",$B$1=BB59),AZ59,"")</f>
        <v/>
      </c>
      <c r="BF59" s="6" t="str">
        <f t="array" ref="BF59">INDEX(BD:BD,SMALL(IF(BD$1:BD$500&lt;&gt;"",ROW($1:$500),1000),ROW(BD59)))&amp;""</f>
        <v/>
      </c>
      <c r="BG59" s="6" t="str">
        <f t="array" ref="BG59">INDEX(BE:BE,SMALL(IF(BE$1:BE$500&lt;&gt;"",ROW($1:$500),1000),ROW(BE59)))&amp;""</f>
        <v/>
      </c>
      <c r="BI59" s="8" t="s">
        <v>2397</v>
      </c>
      <c r="BJ59" s="8" t="s">
        <v>1532</v>
      </c>
      <c r="BK59" s="8" t="s">
        <v>494</v>
      </c>
      <c r="BL59" s="9">
        <v>2</v>
      </c>
      <c r="BN59" s="8" t="str">
        <f t="shared" si="6"/>
        <v>Animal Messenger</v>
      </c>
      <c r="BO59" s="8" t="str">
        <f>IF(AND(VLOOKUP(BK59,查询!$C$8:$E$15,3,FALSE)="启用",$B$1=BL59),BJ59,"")</f>
        <v>动物信使</v>
      </c>
      <c r="BP59" s="6" t="str">
        <f t="array" ref="BP59">INDEX(BN:BN,SMALL(IF(BN$1:BN$500&lt;&gt;"",ROW($1:$500),1000),ROW(BN59)))&amp;""</f>
        <v/>
      </c>
      <c r="BQ59" s="6" t="str">
        <f t="array" ref="BQ59">INDEX(BO:BO,SMALL(IF(BO$1:BO$500&lt;&gt;"",ROW($1:$500),1000),ROW(BO59)))&amp;""</f>
        <v/>
      </c>
      <c r="BS59" s="8" t="s">
        <v>2387</v>
      </c>
      <c r="BT59" s="8" t="s">
        <v>1503</v>
      </c>
      <c r="BU59" s="8" t="s">
        <v>494</v>
      </c>
      <c r="BV59" s="9">
        <v>2</v>
      </c>
      <c r="BX59" s="8" t="str">
        <f t="shared" si="7"/>
        <v>Lesser Restoration</v>
      </c>
      <c r="BY59" s="8" t="str">
        <f>IF(AND(VLOOKUP(BU59,查询!$C$8:$E$15,3,FALSE)="启用",$B$1=BV59),BT59,"")</f>
        <v>次级复原术</v>
      </c>
      <c r="BZ59" s="6" t="str">
        <f t="array" ref="BZ59">INDEX(BX:BX,SMALL(IF(BX$1:BX$500&lt;&gt;"",ROW($1:$500),1000),ROW(BX59)))&amp;""</f>
        <v/>
      </c>
      <c r="CA59" s="6" t="str">
        <f t="array" ref="CA59">INDEX(BY:BY,SMALL(IF(BY$1:BY$500&lt;&gt;"",ROW($1:$500),1000),ROW(BY59)))&amp;""</f>
        <v/>
      </c>
    </row>
    <row r="60" spans="1:79">
      <c r="A60" s="8" t="s">
        <v>2097</v>
      </c>
      <c r="B60" s="8" t="s">
        <v>1474</v>
      </c>
      <c r="C60" s="8" t="s">
        <v>494</v>
      </c>
      <c r="D60" s="9">
        <v>1</v>
      </c>
      <c r="F60" s="8" t="str">
        <f t="shared" si="0"/>
        <v/>
      </c>
      <c r="G60" s="8" t="str">
        <f>IF(AND(VLOOKUP(C60,查询!$C$8:$E$15,3,FALSE)="启用",$B$1=D60),B60,"")</f>
        <v/>
      </c>
      <c r="H60" s="6" t="str">
        <f t="array" ref="H60">INDEX(F:F,SMALL(IF($F$1:$F$500&lt;&gt;"",ROW($1:$500),1000),ROW(F60)))&amp;""</f>
        <v/>
      </c>
      <c r="I60" s="6" t="str">
        <f t="array" ref="I60">INDEX(G:G,SMALL(IF($F$1:$F$500&lt;&gt;"",ROW($1:$500),1000),ROW(G60)))&amp;""</f>
        <v/>
      </c>
      <c r="K60" s="8" t="s">
        <v>2145</v>
      </c>
      <c r="L60" s="8" t="s">
        <v>1540</v>
      </c>
      <c r="M60" s="8" t="s">
        <v>494</v>
      </c>
      <c r="N60" s="9">
        <v>1</v>
      </c>
      <c r="P60" s="8" t="str">
        <f t="shared" si="1"/>
        <v/>
      </c>
      <c r="Q60" s="8" t="str">
        <f>IF(AND(VLOOKUP(M60,查询!$C$8:$E$15,3,FALSE)="启用",$B$1=N60),L60,"")</f>
        <v/>
      </c>
      <c r="R60" s="6" t="str">
        <f t="array" ref="R60">INDEX(P:P,SMALL(IF(P$1:P$500&lt;&gt;"",ROW($1:$500),1000),ROW(P60)))&amp;""</f>
        <v/>
      </c>
      <c r="S60" s="6" t="str">
        <f t="array" ref="S60">INDEX(Q:Q,SMALL(IF(Q$1:Q$500&lt;&gt;"",ROW($1:$500),1000),ROW(Q60)))&amp;""</f>
        <v/>
      </c>
      <c r="U60" s="8" t="s">
        <v>2609</v>
      </c>
      <c r="V60" s="8" t="s">
        <v>1448</v>
      </c>
      <c r="W60" s="8" t="s">
        <v>494</v>
      </c>
      <c r="X60" s="9">
        <v>3</v>
      </c>
      <c r="Z60" s="8" t="str">
        <f t="shared" si="2"/>
        <v/>
      </c>
      <c r="AA60" s="8" t="str">
        <f>IF(AND(VLOOKUP(W60,查询!$C$8:$E$15,3,FALSE)="启用",$B$1=X60),V60,"")</f>
        <v/>
      </c>
      <c r="AB60" s="6" t="str">
        <f t="array" ref="AB60">INDEX(Z:Z,SMALL(IF(Z$1:Z$500&lt;&gt;"",ROW($1:$500),1000),ROW(Z60)))&amp;""</f>
        <v/>
      </c>
      <c r="AC60" s="6" t="str">
        <f t="array" ref="AC60">INDEX(AA:AA,SMALL(IF(AA$1:AA$500&lt;&gt;"",ROW($1:$500),1000),ROW(AA60)))&amp;""</f>
        <v/>
      </c>
      <c r="AE60" s="8" t="s">
        <v>2712</v>
      </c>
      <c r="AF60" s="8" t="s">
        <v>1597</v>
      </c>
      <c r="AG60" s="8" t="s">
        <v>494</v>
      </c>
      <c r="AH60" s="9">
        <v>3</v>
      </c>
      <c r="AJ60" s="8" t="str">
        <f t="shared" si="3"/>
        <v/>
      </c>
      <c r="AK60" s="8" t="str">
        <f>IF(AND(VLOOKUP(AG60,查询!$C$8:$E$15,3,FALSE)="启用",$B$1=AH60),AF60,"")</f>
        <v/>
      </c>
      <c r="AL60" s="6" t="str">
        <f t="array" ref="AL60">INDEX(AJ:AJ,SMALL(IF(AJ$1:AJ$500&lt;&gt;"",ROW($1:$500),1000),ROW(AJ60)))&amp;""</f>
        <v/>
      </c>
      <c r="AM60" s="6" t="str">
        <f t="array" ref="AM60">INDEX(AK:AK,SMALL(IF(AK$1:AK$500&lt;&gt;"",ROW($1:$500),1000),ROW(AK60)))&amp;""</f>
        <v/>
      </c>
      <c r="AV60" s="6" t="str">
        <f t="array" ref="AV60">INDEX(AT:AT,SMALL(IF(AT$1:AT$500&lt;&gt;"",ROW($1:$500),1000),ROW(AT60)))&amp;""</f>
        <v/>
      </c>
      <c r="AW60" s="6" t="str">
        <f t="array" ref="AW60">INDEX(AU:AU,SMALL(IF(AU$1:AU$500&lt;&gt;"",ROW($1:$500),1000),ROW(AU60)))&amp;""</f>
        <v/>
      </c>
      <c r="BF60" s="6" t="str">
        <f t="array" ref="BF60">INDEX(BD:BD,SMALL(IF(BD$1:BD$500&lt;&gt;"",ROW($1:$500),1000),ROW(BD60)))&amp;""</f>
        <v/>
      </c>
      <c r="BG60" s="6" t="str">
        <f t="array" ref="BG60">INDEX(BE:BE,SMALL(IF(BE$1:BE$500&lt;&gt;"",ROW($1:$500),1000),ROW(BE60)))&amp;""</f>
        <v/>
      </c>
      <c r="BI60" s="8" t="s">
        <v>2401</v>
      </c>
      <c r="BJ60" s="8" t="s">
        <v>1533</v>
      </c>
      <c r="BK60" s="8" t="s">
        <v>494</v>
      </c>
      <c r="BL60" s="9">
        <v>2</v>
      </c>
      <c r="BN60" s="8" t="str">
        <f t="shared" si="6"/>
        <v>Locate Animals or Plants</v>
      </c>
      <c r="BO60" s="8" t="str">
        <f>IF(AND(VLOOKUP(BK60,查询!$C$8:$E$15,3,FALSE)="启用",$B$1=BL60),BJ60,"")</f>
        <v>动植物定位术</v>
      </c>
      <c r="BP60" s="6" t="str">
        <f t="array" ref="BP60">INDEX(BN:BN,SMALL(IF(BN$1:BN$500&lt;&gt;"",ROW($1:$500),1000),ROW(BN60)))&amp;""</f>
        <v/>
      </c>
      <c r="BQ60" s="6" t="str">
        <f t="array" ref="BQ60">INDEX(BO:BO,SMALL(IF(BO$1:BO$500&lt;&gt;"",ROW($1:$500),1000),ROW(BO60)))&amp;""</f>
        <v/>
      </c>
      <c r="BS60" s="8" t="s">
        <v>2390</v>
      </c>
      <c r="BT60" s="8" t="s">
        <v>1514</v>
      </c>
      <c r="BU60" s="8" t="s">
        <v>494</v>
      </c>
      <c r="BV60" s="9">
        <v>2</v>
      </c>
      <c r="BX60" s="8" t="str">
        <f t="shared" si="7"/>
        <v>Calm Emotions</v>
      </c>
      <c r="BY60" s="8" t="str">
        <f>IF(AND(VLOOKUP(BU60,查询!$C$8:$E$15,3,FALSE)="启用",$B$1=BV60),BT60,"")</f>
        <v>安定心神</v>
      </c>
      <c r="BZ60" s="6" t="str">
        <f t="array" ref="BZ60">INDEX(BX:BX,SMALL(IF(BX$1:BX$500&lt;&gt;"",ROW($1:$500),1000),ROW(BX60)))&amp;""</f>
        <v/>
      </c>
      <c r="CA60" s="6" t="str">
        <f t="array" ref="CA60">INDEX(BY:BY,SMALL(IF(BY$1:BY$500&lt;&gt;"",ROW($1:$500),1000),ROW(BY60)))&amp;""</f>
        <v/>
      </c>
    </row>
    <row r="61" spans="1:79">
      <c r="A61" s="8" t="s">
        <v>2101</v>
      </c>
      <c r="B61" s="8" t="s">
        <v>1475</v>
      </c>
      <c r="C61" s="8" t="s">
        <v>494</v>
      </c>
      <c r="D61" s="9">
        <v>1</v>
      </c>
      <c r="F61" s="8" t="str">
        <f t="shared" si="0"/>
        <v/>
      </c>
      <c r="G61" s="8" t="str">
        <f>IF(AND(VLOOKUP(C61,查询!$C$8:$E$15,3,FALSE)="启用",$B$1=D61),B61,"")</f>
        <v/>
      </c>
      <c r="H61" s="6" t="str">
        <f t="array" ref="H61">INDEX(F:F,SMALL(IF($F$1:$F$500&lt;&gt;"",ROW($1:$500),1000),ROW(F61)))&amp;""</f>
        <v/>
      </c>
      <c r="I61" s="6" t="str">
        <f t="array" ref="I61">INDEX(G:G,SMALL(IF($F$1:$F$500&lt;&gt;"",ROW($1:$500),1000),ROW(G61)))&amp;""</f>
        <v/>
      </c>
      <c r="K61" s="8" t="s">
        <v>2148</v>
      </c>
      <c r="L61" s="8" t="s">
        <v>1543</v>
      </c>
      <c r="M61" s="8" t="s">
        <v>494</v>
      </c>
      <c r="N61" s="9">
        <v>1</v>
      </c>
      <c r="P61" s="8" t="str">
        <f t="shared" si="1"/>
        <v/>
      </c>
      <c r="Q61" s="8" t="str">
        <f>IF(AND(VLOOKUP(M61,查询!$C$8:$E$15,3,FALSE)="启用",$B$1=N61),L61,"")</f>
        <v/>
      </c>
      <c r="R61" s="6" t="str">
        <f t="array" ref="R61">INDEX(P:P,SMALL(IF(P$1:P$500&lt;&gt;"",ROW($1:$500),1000),ROW(P61)))&amp;""</f>
        <v/>
      </c>
      <c r="S61" s="6" t="str">
        <f t="array" ref="S61">INDEX(Q:Q,SMALL(IF(Q$1:Q$500&lt;&gt;"",ROW($1:$500),1000),ROW(Q61)))&amp;""</f>
        <v/>
      </c>
      <c r="U61" s="8" t="s">
        <v>2615</v>
      </c>
      <c r="V61" s="8" t="s">
        <v>1451</v>
      </c>
      <c r="W61" s="8" t="s">
        <v>494</v>
      </c>
      <c r="X61" s="9">
        <v>3</v>
      </c>
      <c r="Z61" s="8" t="str">
        <f t="shared" si="2"/>
        <v/>
      </c>
      <c r="AA61" s="8" t="str">
        <f>IF(AND(VLOOKUP(W61,查询!$C$8:$E$15,3,FALSE)="启用",$B$1=X61),V61,"")</f>
        <v/>
      </c>
      <c r="AB61" s="6" t="str">
        <f t="array" ref="AB61">INDEX(Z:Z,SMALL(IF(Z$1:Z$500&lt;&gt;"",ROW($1:$500),1000),ROW(Z61)))&amp;""</f>
        <v/>
      </c>
      <c r="AC61" s="6" t="str">
        <f t="array" ref="AC61">INDEX(AA:AA,SMALL(IF(AA$1:AA$500&lt;&gt;"",ROW($1:$500),1000),ROW(AA61)))&amp;""</f>
        <v/>
      </c>
      <c r="AE61" s="8" t="s">
        <v>2715</v>
      </c>
      <c r="AF61" s="8" t="s">
        <v>1609</v>
      </c>
      <c r="AG61" s="8" t="s">
        <v>494</v>
      </c>
      <c r="AH61" s="9">
        <v>3</v>
      </c>
      <c r="AJ61" s="8" t="str">
        <f t="shared" si="3"/>
        <v/>
      </c>
      <c r="AK61" s="8" t="str">
        <f>IF(AND(VLOOKUP(AG61,查询!$C$8:$E$15,3,FALSE)="启用",$B$1=AH61),AF61,"")</f>
        <v/>
      </c>
      <c r="AL61" s="6" t="str">
        <f t="array" ref="AL61">INDEX(AJ:AJ,SMALL(IF(AJ$1:AJ$500&lt;&gt;"",ROW($1:$500),1000),ROW(AJ61)))&amp;""</f>
        <v/>
      </c>
      <c r="AM61" s="6" t="str">
        <f t="array" ref="AM61">INDEX(AK:AK,SMALL(IF(AK$1:AK$500&lt;&gt;"",ROW($1:$500),1000),ROW(AK61)))&amp;""</f>
        <v/>
      </c>
      <c r="AV61" s="6" t="str">
        <f t="array" ref="AV61">INDEX(AT:AT,SMALL(IF(AT$1:AT$500&lt;&gt;"",ROW($1:$500),1000),ROW(AT61)))&amp;""</f>
        <v/>
      </c>
      <c r="AW61" s="6" t="str">
        <f t="array" ref="AW61">INDEX(AU:AU,SMALL(IF(AU$1:AU$500&lt;&gt;"",ROW($1:$500),1000),ROW(AU61)))&amp;""</f>
        <v/>
      </c>
      <c r="BF61" s="6" t="str">
        <f t="array" ref="BF61">INDEX(BD:BD,SMALL(IF(BD$1:BD$500&lt;&gt;"",ROW($1:$500),1000),ROW(BD61)))&amp;""</f>
        <v/>
      </c>
      <c r="BG61" s="6" t="str">
        <f t="array" ref="BG61">INDEX(BE:BE,SMALL(IF(BE$1:BE$500&lt;&gt;"",ROW($1:$500),1000),ROW(BE61)))&amp;""</f>
        <v/>
      </c>
      <c r="BI61" s="8" t="s">
        <v>2267</v>
      </c>
      <c r="BJ61" s="8" t="s">
        <v>1733</v>
      </c>
      <c r="BK61" s="8" t="s">
        <v>578</v>
      </c>
      <c r="BL61" s="9">
        <v>2</v>
      </c>
      <c r="BN61" s="8" t="str">
        <f t="shared" si="6"/>
        <v>Warding Wind</v>
      </c>
      <c r="BO61" s="8" t="str">
        <f>IF(AND(VLOOKUP(BK61,查询!$C$8:$E$15,3,FALSE)="启用",$B$1=BL61),BJ61,"")</f>
        <v>守护之风E</v>
      </c>
      <c r="BP61" s="6" t="str">
        <f t="array" ref="BP61">INDEX(BN:BN,SMALL(IF(BN$1:BN$500&lt;&gt;"",ROW($1:$500),1000),ROW(BN61)))&amp;""</f>
        <v/>
      </c>
      <c r="BQ61" s="6" t="str">
        <f t="array" ref="BQ61">INDEX(BO:BO,SMALL(IF(BO$1:BO$500&lt;&gt;"",ROW($1:$500),1000),ROW(BO61)))&amp;""</f>
        <v/>
      </c>
      <c r="BS61" s="8" t="s">
        <v>2392</v>
      </c>
      <c r="BT61" s="8" t="s">
        <v>1520</v>
      </c>
      <c r="BU61" s="8" t="s">
        <v>494</v>
      </c>
      <c r="BV61" s="9">
        <v>2</v>
      </c>
      <c r="BX61" s="8" t="str">
        <f t="shared" si="7"/>
        <v>Magic Mouth</v>
      </c>
      <c r="BY61" s="8" t="str">
        <f>IF(AND(VLOOKUP(BU61,查询!$C$8:$E$15,3,FALSE)="启用",$B$1=BV61),BT61,"")</f>
        <v>魔嘴术</v>
      </c>
      <c r="BZ61" s="6" t="str">
        <f t="array" ref="BZ61">INDEX(BX:BX,SMALL(IF(BX$1:BX$500&lt;&gt;"",ROW($1:$500),1000),ROW(BX61)))&amp;""</f>
        <v/>
      </c>
      <c r="CA61" s="6" t="str">
        <f t="array" ref="CA61">INDEX(BY:BY,SMALL(IF(BY$1:BY$500&lt;&gt;"",ROW($1:$500),1000),ROW(BY61)))&amp;""</f>
        <v/>
      </c>
    </row>
    <row r="62" spans="1:79">
      <c r="A62" s="8" t="s">
        <v>2108</v>
      </c>
      <c r="B62" s="8" t="s">
        <v>1499</v>
      </c>
      <c r="C62" s="8" t="s">
        <v>494</v>
      </c>
      <c r="D62" s="9">
        <v>1</v>
      </c>
      <c r="F62" s="8" t="str">
        <f t="shared" si="0"/>
        <v/>
      </c>
      <c r="G62" s="8" t="str">
        <f>IF(AND(VLOOKUP(C62,查询!$C$8:$E$15,3,FALSE)="启用",$B$1=D62),B62,"")</f>
        <v/>
      </c>
      <c r="H62" s="6" t="str">
        <f t="array" ref="H62">INDEX(F:F,SMALL(IF($F$1:$F$500&lt;&gt;"",ROW($1:$500),1000),ROW(F62)))&amp;""</f>
        <v/>
      </c>
      <c r="I62" s="6" t="str">
        <f t="array" ref="I62">INDEX(G:G,SMALL(IF($F$1:$F$500&lt;&gt;"",ROW($1:$500),1000),ROW(G62)))&amp;""</f>
        <v/>
      </c>
      <c r="K62" s="8" t="s">
        <v>1963</v>
      </c>
      <c r="L62" s="8" t="s">
        <v>1309</v>
      </c>
      <c r="M62" s="8" t="s">
        <v>1249</v>
      </c>
      <c r="N62" s="9">
        <v>1</v>
      </c>
      <c r="P62" s="8" t="str">
        <f t="shared" si="1"/>
        <v/>
      </c>
      <c r="Q62" s="8" t="str">
        <f>IF(AND(VLOOKUP(M62,查询!$C$8:$E$15,3,FALSE)="启用",$B$1=N62),L62,"")</f>
        <v/>
      </c>
      <c r="R62" s="6" t="str">
        <f t="array" ref="R62">INDEX(P:P,SMALL(IF(P$1:P$500&lt;&gt;"",ROW($1:$500),1000),ROW(P62)))&amp;""</f>
        <v/>
      </c>
      <c r="S62" s="6" t="str">
        <f t="array" ref="S62">INDEX(Q:Q,SMALL(IF(Q$1:Q$500&lt;&gt;"",ROW($1:$500),1000),ROW(Q62)))&amp;""</f>
        <v/>
      </c>
      <c r="U62" s="8" t="s">
        <v>2619</v>
      </c>
      <c r="V62" s="8" t="s">
        <v>1454</v>
      </c>
      <c r="W62" s="8" t="s">
        <v>494</v>
      </c>
      <c r="X62" s="9">
        <v>3</v>
      </c>
      <c r="Z62" s="8" t="str">
        <f t="shared" si="2"/>
        <v/>
      </c>
      <c r="AA62" s="8" t="str">
        <f>IF(AND(VLOOKUP(W62,查询!$C$8:$E$15,3,FALSE)="启用",$B$1=X62),V62,"")</f>
        <v/>
      </c>
      <c r="AB62" s="6" t="str">
        <f t="array" ref="AB62">INDEX(Z:Z,SMALL(IF(Z$1:Z$500&lt;&gt;"",ROW($1:$500),1000),ROW(Z62)))&amp;""</f>
        <v/>
      </c>
      <c r="AC62" s="6" t="str">
        <f t="array" ref="AC62">INDEX(AA:AA,SMALL(IF(AA$1:AA$500&lt;&gt;"",ROW($1:$500),1000),ROW(AA62)))&amp;""</f>
        <v/>
      </c>
      <c r="AE62" s="8" t="s">
        <v>2717</v>
      </c>
      <c r="AF62" s="8" t="s">
        <v>1613</v>
      </c>
      <c r="AG62" s="8" t="s">
        <v>494</v>
      </c>
      <c r="AH62" s="9">
        <v>3</v>
      </c>
      <c r="AJ62" s="8" t="str">
        <f t="shared" si="3"/>
        <v/>
      </c>
      <c r="AK62" s="8" t="str">
        <f>IF(AND(VLOOKUP(AG62,查询!$C$8:$E$15,3,FALSE)="启用",$B$1=AH62),AF62,"")</f>
        <v/>
      </c>
      <c r="AL62" s="6" t="str">
        <f t="array" ref="AL62">INDEX(AJ:AJ,SMALL(IF(AJ$1:AJ$500&lt;&gt;"",ROW($1:$500),1000),ROW(AJ62)))&amp;""</f>
        <v/>
      </c>
      <c r="AM62" s="6" t="str">
        <f t="array" ref="AM62">INDEX(AK:AK,SMALL(IF(AK$1:AK$500&lt;&gt;"",ROW($1:$500),1000),ROW(AK62)))&amp;""</f>
        <v/>
      </c>
      <c r="AV62" s="6" t="str">
        <f t="array" ref="AV62">INDEX(AT:AT,SMALL(IF(AT$1:AT$500&lt;&gt;"",ROW($1:$500),1000),ROW(AT62)))&amp;""</f>
        <v/>
      </c>
      <c r="AW62" s="6" t="str">
        <f t="array" ref="AW62">INDEX(AU:AU,SMALL(IF(AU$1:AU$500&lt;&gt;"",ROW($1:$500),1000),ROW(AU62)))&amp;""</f>
        <v/>
      </c>
      <c r="BF62" s="6" t="str">
        <f t="array" ref="BF62">INDEX(BD:BD,SMALL(IF(BD$1:BD$500&lt;&gt;"",ROW($1:$500),1000),ROW(BD62)))&amp;""</f>
        <v/>
      </c>
      <c r="BG62" s="6" t="str">
        <f t="array" ref="BG62">INDEX(BE:BE,SMALL(IF(BE$1:BE$500&lt;&gt;"",ROW($1:$500),1000),ROW(BE62)))&amp;""</f>
        <v/>
      </c>
      <c r="BI62" s="8" t="s">
        <v>2406</v>
      </c>
      <c r="BJ62" s="8" t="s">
        <v>1547</v>
      </c>
      <c r="BK62" s="8" t="s">
        <v>494</v>
      </c>
      <c r="BL62" s="9">
        <v>2</v>
      </c>
      <c r="BN62" s="8" t="str">
        <f t="shared" si="6"/>
        <v>Heat Metal</v>
      </c>
      <c r="BO62" s="8" t="str">
        <f>IF(AND(VLOOKUP(BK62,查询!$C$8:$E$15,3,FALSE)="启用",$B$1=BL62),BJ62,"")</f>
        <v>灼热金属</v>
      </c>
      <c r="BP62" s="6" t="str">
        <f t="array" ref="BP62">INDEX(BN:BN,SMALL(IF(BN$1:BN$500&lt;&gt;"",ROW($1:$500),1000),ROW(BN62)))&amp;""</f>
        <v/>
      </c>
      <c r="BQ62" s="6" t="str">
        <f t="array" ref="BQ62">INDEX(BO:BO,SMALL(IF(BO$1:BO$500&lt;&gt;"",ROW($1:$500),1000),ROW(BO62)))&amp;""</f>
        <v/>
      </c>
      <c r="BS62" s="8" t="s">
        <v>2397</v>
      </c>
      <c r="BT62" s="8" t="s">
        <v>1532</v>
      </c>
      <c r="BU62" s="8" t="s">
        <v>494</v>
      </c>
      <c r="BV62" s="9">
        <v>2</v>
      </c>
      <c r="BX62" s="8" t="str">
        <f t="shared" si="7"/>
        <v>Animal Messenger</v>
      </c>
      <c r="BY62" s="8" t="str">
        <f>IF(AND(VLOOKUP(BU62,查询!$C$8:$E$15,3,FALSE)="启用",$B$1=BV62),BT62,"")</f>
        <v>动物信使</v>
      </c>
      <c r="BZ62" s="6" t="str">
        <f t="array" ref="BZ62">INDEX(BX:BX,SMALL(IF(BX$1:BX$500&lt;&gt;"",ROW($1:$500),1000),ROW(BX62)))&amp;""</f>
        <v/>
      </c>
      <c r="CA62" s="6" t="str">
        <f t="array" ref="CA62">INDEX(BY:BY,SMALL(IF(BY$1:BY$500&lt;&gt;"",ROW($1:$500),1000),ROW(BY62)))&amp;""</f>
        <v/>
      </c>
    </row>
    <row r="63" spans="1:79">
      <c r="A63" s="8" t="s">
        <v>2122</v>
      </c>
      <c r="B63" s="8" t="s">
        <v>1518</v>
      </c>
      <c r="C63" s="8" t="s">
        <v>494</v>
      </c>
      <c r="D63" s="9">
        <v>1</v>
      </c>
      <c r="F63" s="8" t="str">
        <f t="shared" si="0"/>
        <v/>
      </c>
      <c r="G63" s="8" t="str">
        <f>IF(AND(VLOOKUP(C63,查询!$C$8:$E$15,3,FALSE)="启用",$B$1=D63),B63,"")</f>
        <v/>
      </c>
      <c r="H63" s="6" t="str">
        <f t="array" ref="H63">INDEX(F:F,SMALL(IF($F$1:$F$500&lt;&gt;"",ROW($1:$500),1000),ROW(F63)))&amp;""</f>
        <v/>
      </c>
      <c r="I63" s="6" t="str">
        <f t="array" ref="I63">INDEX(G:G,SMALL(IF($F$1:$F$500&lt;&gt;"",ROW($1:$500),1000),ROW(G63)))&amp;""</f>
        <v/>
      </c>
      <c r="K63" s="8" t="s">
        <v>1991</v>
      </c>
      <c r="L63" s="8" t="s">
        <v>1744</v>
      </c>
      <c r="M63" s="8" t="s">
        <v>578</v>
      </c>
      <c r="N63" s="9">
        <v>1</v>
      </c>
      <c r="P63" s="8" t="str">
        <f t="shared" si="1"/>
        <v/>
      </c>
      <c r="Q63" s="8" t="str">
        <f>IF(AND(VLOOKUP(M63,查询!$C$8:$E$15,3,FALSE)="启用",$B$1=N63),L63,"")</f>
        <v/>
      </c>
      <c r="R63" s="6" t="str">
        <f t="array" ref="R63">INDEX(P:P,SMALL(IF(P$1:P$500&lt;&gt;"",ROW($1:$500),1000),ROW(P63)))&amp;""</f>
        <v/>
      </c>
      <c r="S63" s="6" t="str">
        <f t="array" ref="S63">INDEX(Q:Q,SMALL(IF(Q$1:Q$500&lt;&gt;"",ROW($1:$500),1000),ROW(Q63)))&amp;""</f>
        <v/>
      </c>
      <c r="U63" s="8" t="s">
        <v>2627</v>
      </c>
      <c r="V63" s="8" t="s">
        <v>1482</v>
      </c>
      <c r="W63" s="8" t="s">
        <v>494</v>
      </c>
      <c r="X63" s="9">
        <v>3</v>
      </c>
      <c r="Z63" s="8" t="str">
        <f t="shared" si="2"/>
        <v/>
      </c>
      <c r="AA63" s="8" t="str">
        <f>IF(AND(VLOOKUP(W63,查询!$C$8:$E$15,3,FALSE)="启用",$B$1=X63),V63,"")</f>
        <v/>
      </c>
      <c r="AB63" s="6" t="str">
        <f t="array" ref="AB63">INDEX(Z:Z,SMALL(IF(Z$1:Z$500&lt;&gt;"",ROW($1:$500),1000),ROW(Z63)))&amp;""</f>
        <v/>
      </c>
      <c r="AC63" s="6" t="str">
        <f t="array" ref="AC63">INDEX(AA:AA,SMALL(IF(AA$1:AA$500&lt;&gt;"",ROW($1:$500),1000),ROW(AA63)))&amp;""</f>
        <v/>
      </c>
      <c r="AE63" s="8" t="s">
        <v>2719</v>
      </c>
      <c r="AF63" s="8" t="s">
        <v>1628</v>
      </c>
      <c r="AG63" s="8" t="s">
        <v>494</v>
      </c>
      <c r="AH63" s="9">
        <v>3</v>
      </c>
      <c r="AJ63" s="8" t="str">
        <f t="shared" si="3"/>
        <v/>
      </c>
      <c r="AK63" s="8" t="str">
        <f>IF(AND(VLOOKUP(AG63,查询!$C$8:$E$15,3,FALSE)="启用",$B$1=AH63),AF63,"")</f>
        <v/>
      </c>
      <c r="AL63" s="6" t="str">
        <f t="array" ref="AL63">INDEX(AJ:AJ,SMALL(IF(AJ$1:AJ$500&lt;&gt;"",ROW($1:$500),1000),ROW(AJ63)))&amp;""</f>
        <v/>
      </c>
      <c r="AM63" s="6" t="str">
        <f t="array" ref="AM63">INDEX(AK:AK,SMALL(IF(AK$1:AK$500&lt;&gt;"",ROW($1:$500),1000),ROW(AK63)))&amp;""</f>
        <v/>
      </c>
      <c r="AV63" s="6" t="str">
        <f t="array" ref="AV63">INDEX(AT:AT,SMALL(IF(AT$1:AT$500&lt;&gt;"",ROW($1:$500),1000),ROW(AT63)))&amp;""</f>
        <v/>
      </c>
      <c r="AW63" s="6" t="str">
        <f t="array" ref="AW63">INDEX(AU:AU,SMALL(IF(AU$1:AU$500&lt;&gt;"",ROW($1:$500),1000),ROW(AU63)))&amp;""</f>
        <v/>
      </c>
      <c r="BF63" s="6" t="str">
        <f t="array" ref="BF63">INDEX(BD:BD,SMALL(IF(BD$1:BD$500&lt;&gt;"",ROW($1:$500),1000),ROW(BD63)))&amp;""</f>
        <v/>
      </c>
      <c r="BG63" s="6" t="str">
        <f t="array" ref="BG63">INDEX(BE:BE,SMALL(IF(BE$1:BE$500&lt;&gt;"",ROW($1:$500),1000),ROW(BE63)))&amp;""</f>
        <v/>
      </c>
      <c r="BI63" s="8" t="s">
        <v>2433</v>
      </c>
      <c r="BJ63" s="8" t="s">
        <v>1592</v>
      </c>
      <c r="BK63" s="8" t="s">
        <v>494</v>
      </c>
      <c r="BL63" s="9">
        <v>2</v>
      </c>
      <c r="BN63" s="8" t="str">
        <f t="shared" si="6"/>
        <v>Find Traps</v>
      </c>
      <c r="BO63" s="8" t="str">
        <f>IF(AND(VLOOKUP(BK63,查询!$C$8:$E$15,3,FALSE)="启用",$B$1=BL63),BJ63,"")</f>
        <v>寻找陷阱</v>
      </c>
      <c r="BP63" s="6" t="str">
        <f t="array" ref="BP63">INDEX(BN:BN,SMALL(IF(BN$1:BN$500&lt;&gt;"",ROW($1:$500),1000),ROW(BN63)))&amp;""</f>
        <v/>
      </c>
      <c r="BQ63" s="6" t="str">
        <f t="array" ref="BQ63">INDEX(BO:BO,SMALL(IF(BO$1:BO$500&lt;&gt;"",ROW($1:$500),1000),ROW(BO63)))&amp;""</f>
        <v/>
      </c>
      <c r="BS63" s="8" t="s">
        <v>2401</v>
      </c>
      <c r="BT63" s="8" t="s">
        <v>1533</v>
      </c>
      <c r="BU63" s="8" t="s">
        <v>494</v>
      </c>
      <c r="BV63" s="9">
        <v>2</v>
      </c>
      <c r="BX63" s="8" t="str">
        <f t="shared" si="7"/>
        <v>Locate Animals or Plants</v>
      </c>
      <c r="BY63" s="8" t="str">
        <f>IF(AND(VLOOKUP(BU63,查询!$C$8:$E$15,3,FALSE)="启用",$B$1=BV63),BT63,"")</f>
        <v>动植物定位术</v>
      </c>
      <c r="BZ63" s="6" t="str">
        <f t="array" ref="BZ63">INDEX(BX:BX,SMALL(IF(BX$1:BX$500&lt;&gt;"",ROW($1:$500),1000),ROW(BX63)))&amp;""</f>
        <v/>
      </c>
      <c r="CA63" s="6" t="str">
        <f t="array" ref="CA63">INDEX(BY:BY,SMALL(IF(BY$1:BY$500&lt;&gt;"",ROW($1:$500),1000),ROW(BY63)))&amp;""</f>
        <v/>
      </c>
    </row>
    <row r="64" spans="1:79">
      <c r="A64" s="8" t="s">
        <v>2127</v>
      </c>
      <c r="B64" s="8" t="s">
        <v>1529</v>
      </c>
      <c r="C64" s="8" t="s">
        <v>494</v>
      </c>
      <c r="D64" s="9">
        <v>1</v>
      </c>
      <c r="F64" s="8" t="str">
        <f t="shared" si="0"/>
        <v/>
      </c>
      <c r="G64" s="8" t="str">
        <f>IF(AND(VLOOKUP(C64,查询!$C$8:$E$15,3,FALSE)="启用",$B$1=D64),B64,"")</f>
        <v/>
      </c>
      <c r="H64" s="6" t="str">
        <f t="array" ref="H64">INDEX(F:F,SMALL(IF($F$1:$F$500&lt;&gt;"",ROW($1:$500),1000),ROW(F64)))&amp;""</f>
        <v/>
      </c>
      <c r="I64" s="6" t="str">
        <f t="array" ref="I64">INDEX(G:G,SMALL(IF($F$1:$F$500&lt;&gt;"",ROW($1:$500),1000),ROW(G64)))&amp;""</f>
        <v/>
      </c>
      <c r="K64" s="8" t="s">
        <v>1991</v>
      </c>
      <c r="L64" s="8" t="s">
        <v>1343</v>
      </c>
      <c r="M64" s="8" t="s">
        <v>1249</v>
      </c>
      <c r="N64" s="9">
        <v>1</v>
      </c>
      <c r="P64" s="8" t="str">
        <f t="shared" si="1"/>
        <v/>
      </c>
      <c r="Q64" s="8" t="str">
        <f>IF(AND(VLOOKUP(M64,查询!$C$8:$E$15,3,FALSE)="启用",$B$1=N64),L64,"")</f>
        <v/>
      </c>
      <c r="R64" s="6" t="str">
        <f t="array" ref="R64">INDEX(P:P,SMALL(IF(P$1:P$500&lt;&gt;"",ROW($1:$500),1000),ROW(P64)))&amp;""</f>
        <v/>
      </c>
      <c r="S64" s="6" t="str">
        <f t="array" ref="S64">INDEX(Q:Q,SMALL(IF(Q$1:Q$500&lt;&gt;"",ROW($1:$500),1000),ROW(Q64)))&amp;""</f>
        <v/>
      </c>
      <c r="U64" s="8" t="s">
        <v>2651</v>
      </c>
      <c r="V64" s="8" t="s">
        <v>1504</v>
      </c>
      <c r="W64" s="8" t="s">
        <v>494</v>
      </c>
      <c r="X64" s="9">
        <v>3</v>
      </c>
      <c r="Z64" s="8" t="str">
        <f t="shared" si="2"/>
        <v/>
      </c>
      <c r="AA64" s="8" t="str">
        <f>IF(AND(VLOOKUP(W64,查询!$C$8:$E$15,3,FALSE)="启用",$B$1=X64),V64,"")</f>
        <v/>
      </c>
      <c r="AB64" s="6" t="str">
        <f t="array" ref="AB64">INDEX(Z:Z,SMALL(IF(Z$1:Z$500&lt;&gt;"",ROW($1:$500),1000),ROW(Z64)))&amp;""</f>
        <v/>
      </c>
      <c r="AC64" s="6" t="str">
        <f t="array" ref="AC64">INDEX(AA:AA,SMALL(IF(AA$1:AA$500&lt;&gt;"",ROW($1:$500),1000),ROW(AA64)))&amp;""</f>
        <v/>
      </c>
      <c r="AE64" s="8" t="s">
        <v>2721</v>
      </c>
      <c r="AF64" s="8" t="s">
        <v>1634</v>
      </c>
      <c r="AG64" s="8" t="s">
        <v>494</v>
      </c>
      <c r="AH64" s="9">
        <v>3</v>
      </c>
      <c r="AJ64" s="8" t="str">
        <f t="shared" si="3"/>
        <v/>
      </c>
      <c r="AK64" s="8" t="str">
        <f>IF(AND(VLOOKUP(AG64,查询!$C$8:$E$15,3,FALSE)="启用",$B$1=AH64),AF64,"")</f>
        <v/>
      </c>
      <c r="AL64" s="6" t="str">
        <f t="array" ref="AL64">INDEX(AJ:AJ,SMALL(IF(AJ$1:AJ$500&lt;&gt;"",ROW($1:$500),1000),ROW(AJ64)))&amp;""</f>
        <v/>
      </c>
      <c r="AM64" s="6" t="str">
        <f t="array" ref="AM64">INDEX(AK:AK,SMALL(IF(AK$1:AK$500&lt;&gt;"",ROW($1:$500),1000),ROW(AK64)))&amp;""</f>
        <v/>
      </c>
      <c r="AV64" s="6" t="str">
        <f t="array" ref="AV64">INDEX(AT:AT,SMALL(IF(AT$1:AT$500&lt;&gt;"",ROW($1:$500),1000),ROW(AT64)))&amp;""</f>
        <v/>
      </c>
      <c r="AW64" s="6" t="str">
        <f t="array" ref="AW64">INDEX(AU:AU,SMALL(IF(AU$1:AU$500&lt;&gt;"",ROW($1:$500),1000),ROW(AU64)))&amp;""</f>
        <v/>
      </c>
      <c r="BF64" s="6" t="str">
        <f t="array" ref="BF64">INDEX(BD:BD,SMALL(IF(BD$1:BD$500&lt;&gt;"",ROW($1:$500),1000),ROW(BD64)))&amp;""</f>
        <v/>
      </c>
      <c r="BG64" s="6" t="str">
        <f t="array" ref="BG64">INDEX(BE:BE,SMALL(IF(BE$1:BE$500&lt;&gt;"",ROW($1:$500),1000),ROW(BE64)))&amp;""</f>
        <v/>
      </c>
      <c r="BI64" s="8" t="s">
        <v>2436</v>
      </c>
      <c r="BJ64" s="8" t="s">
        <v>1599</v>
      </c>
      <c r="BK64" s="8" t="s">
        <v>494</v>
      </c>
      <c r="BL64" s="9">
        <v>2</v>
      </c>
      <c r="BN64" s="8" t="str">
        <f t="shared" si="6"/>
        <v>Protection from Poison</v>
      </c>
      <c r="BO64" s="8" t="str">
        <f>IF(AND(VLOOKUP(BK64,查询!$C$8:$E$15,3,FALSE)="启用",$B$1=BL64),BJ64,"")</f>
        <v>防护毒素</v>
      </c>
      <c r="BP64" s="6" t="str">
        <f t="array" ref="BP64">INDEX(BN:BN,SMALL(IF(BN$1:BN$500&lt;&gt;"",ROW($1:$500),1000),ROW(BN64)))&amp;""</f>
        <v/>
      </c>
      <c r="BQ64" s="6" t="str">
        <f t="array" ref="BQ64">INDEX(BO:BO,SMALL(IF(BO$1:BO$500&lt;&gt;"",ROW($1:$500),1000),ROW(BO64)))&amp;""</f>
        <v/>
      </c>
      <c r="BS64" s="8" t="s">
        <v>2267</v>
      </c>
      <c r="BT64" s="8" t="s">
        <v>1733</v>
      </c>
      <c r="BU64" s="8" t="s">
        <v>578</v>
      </c>
      <c r="BV64" s="9">
        <v>2</v>
      </c>
      <c r="BX64" s="8" t="str">
        <f t="shared" si="7"/>
        <v>Warding Wind</v>
      </c>
      <c r="BY64" s="8" t="str">
        <f>IF(AND(VLOOKUP(BU64,查询!$C$8:$E$15,3,FALSE)="启用",$B$1=BV64),BT64,"")</f>
        <v>守护之风E</v>
      </c>
      <c r="BZ64" s="6" t="str">
        <f t="array" ref="BZ64">INDEX(BX:BX,SMALL(IF(BX$1:BX$500&lt;&gt;"",ROW($1:$500),1000),ROW(BX64)))&amp;""</f>
        <v/>
      </c>
      <c r="CA64" s="6" t="str">
        <f t="array" ref="CA64">INDEX(BY:BY,SMALL(IF(BY$1:BY$500&lt;&gt;"",ROW($1:$500),1000),ROW(BY64)))&amp;""</f>
        <v/>
      </c>
    </row>
    <row r="65" spans="1:79">
      <c r="A65" s="8" t="s">
        <v>2131</v>
      </c>
      <c r="B65" s="8" t="s">
        <v>1530</v>
      </c>
      <c r="C65" s="8" t="s">
        <v>494</v>
      </c>
      <c r="D65" s="9">
        <v>1</v>
      </c>
      <c r="F65" s="8" t="str">
        <f t="shared" si="0"/>
        <v/>
      </c>
      <c r="G65" s="8" t="str">
        <f>IF(AND(VLOOKUP(C65,查询!$C$8:$E$15,3,FALSE)="启用",$B$1=D65),B65,"")</f>
        <v/>
      </c>
      <c r="H65" s="6" t="str">
        <f t="array" ref="H65">INDEX(F:F,SMALL(IF($F$1:$F$500&lt;&gt;"",ROW($1:$500),1000),ROW(F65)))&amp;""</f>
        <v/>
      </c>
      <c r="I65" s="6" t="str">
        <f t="array" ref="I65">INDEX(G:G,SMALL(IF($F$1:$F$500&lt;&gt;"",ROW($1:$500),1000),ROW(G65)))&amp;""</f>
        <v/>
      </c>
      <c r="K65" s="8" t="s">
        <v>2219</v>
      </c>
      <c r="L65" s="8" t="s">
        <v>1675</v>
      </c>
      <c r="M65" s="8" t="s">
        <v>494</v>
      </c>
      <c r="N65" s="9">
        <v>1</v>
      </c>
      <c r="P65" s="8" t="str">
        <f t="shared" si="1"/>
        <v/>
      </c>
      <c r="Q65" s="8" t="str">
        <f>IF(AND(VLOOKUP(M65,查询!$C$8:$E$15,3,FALSE)="启用",$B$1=N65),L65,"")</f>
        <v/>
      </c>
      <c r="R65" s="6" t="str">
        <f t="array" ref="R65">INDEX(P:P,SMALL(IF(P$1:P$500&lt;&gt;"",ROW($1:$500),1000),ROW(P65)))&amp;""</f>
        <v/>
      </c>
      <c r="S65" s="6" t="str">
        <f t="array" ref="S65">INDEX(Q:Q,SMALL(IF(Q$1:Q$500&lt;&gt;"",ROW($1:$500),1000),ROW(Q65)))&amp;""</f>
        <v/>
      </c>
      <c r="U65" s="8" t="s">
        <v>2686</v>
      </c>
      <c r="V65" s="8" t="s">
        <v>1573</v>
      </c>
      <c r="W65" s="8" t="s">
        <v>494</v>
      </c>
      <c r="X65" s="9">
        <v>3</v>
      </c>
      <c r="Z65" s="8" t="str">
        <f t="shared" si="2"/>
        <v/>
      </c>
      <c r="AA65" s="8" t="str">
        <f>IF(AND(VLOOKUP(W65,查询!$C$8:$E$15,3,FALSE)="启用",$B$1=X65),V65,"")</f>
        <v/>
      </c>
      <c r="AB65" s="6" t="str">
        <f t="array" ref="AB65">INDEX(Z:Z,SMALL(IF(Z$1:Z$500&lt;&gt;"",ROW($1:$500),1000),ROW(Z65)))&amp;""</f>
        <v/>
      </c>
      <c r="AC65" s="6" t="str">
        <f t="array" ref="AC65">INDEX(AA:AA,SMALL(IF(AA$1:AA$500&lt;&gt;"",ROW($1:$500),1000),ROW(AA65)))&amp;""</f>
        <v/>
      </c>
      <c r="AE65" s="8" t="s">
        <v>2790</v>
      </c>
      <c r="AF65" s="8" t="s">
        <v>1494</v>
      </c>
      <c r="AG65" s="8" t="s">
        <v>494</v>
      </c>
      <c r="AH65" s="9">
        <v>4</v>
      </c>
      <c r="AJ65" s="8" t="str">
        <f t="shared" si="3"/>
        <v/>
      </c>
      <c r="AK65" s="8" t="str">
        <f>IF(AND(VLOOKUP(AG65,查询!$C$8:$E$15,3,FALSE)="启用",$B$1=AH65),AF65,"")</f>
        <v/>
      </c>
      <c r="AL65" s="6" t="str">
        <f t="array" ref="AL65">INDEX(AJ:AJ,SMALL(IF(AJ$1:AJ$500&lt;&gt;"",ROW($1:$500),1000),ROW(AJ65)))&amp;""</f>
        <v/>
      </c>
      <c r="AM65" s="6" t="str">
        <f t="array" ref="AM65">INDEX(AK:AK,SMALL(IF(AK$1:AK$500&lt;&gt;"",ROW($1:$500),1000),ROW(AK65)))&amp;""</f>
        <v/>
      </c>
      <c r="AV65" s="6" t="str">
        <f t="array" ref="AV65">INDEX(AT:AT,SMALL(IF(AT$1:AT$500&lt;&gt;"",ROW($1:$500),1000),ROW(AT65)))&amp;""</f>
        <v/>
      </c>
      <c r="AW65" s="6" t="str">
        <f t="array" ref="AW65">INDEX(AU:AU,SMALL(IF(AU$1:AU$500&lt;&gt;"",ROW($1:$500),1000),ROW(AU65)))&amp;""</f>
        <v/>
      </c>
      <c r="BF65" s="6" t="str">
        <f t="array" ref="BF65">INDEX(BD:BD,SMALL(IF(BD$1:BD$500&lt;&gt;"",ROW($1:$500),1000),ROW(BD65)))&amp;""</f>
        <v/>
      </c>
      <c r="BG65" s="6" t="str">
        <f t="array" ref="BG65">INDEX(BE:BE,SMALL(IF(BE$1:BE$500&lt;&gt;"",ROW($1:$500),1000),ROW(BE65)))&amp;""</f>
        <v/>
      </c>
      <c r="BI65" s="8" t="s">
        <v>2274</v>
      </c>
      <c r="BJ65" s="8" t="s">
        <v>1329</v>
      </c>
      <c r="BK65" s="8" t="s">
        <v>1249</v>
      </c>
      <c r="BL65" s="9">
        <v>2</v>
      </c>
      <c r="BN65" s="8" t="str">
        <f t="shared" si="6"/>
        <v>Healing Spirit</v>
      </c>
      <c r="BO65" s="8" t="str">
        <f>IF(AND(VLOOKUP(BK65,查询!$C$8:$E$15,3,FALSE)="启用",$B$1=BL65),BJ65,"")</f>
        <v>治愈之魂</v>
      </c>
      <c r="BP65" s="6" t="str">
        <f t="array" ref="BP65">INDEX(BN:BN,SMALL(IF(BN$1:BN$500&lt;&gt;"",ROW($1:$500),1000),ROW(BN65)))&amp;""</f>
        <v/>
      </c>
      <c r="BQ65" s="6" t="str">
        <f t="array" ref="BQ65">INDEX(BO:BO,SMALL(IF(BO$1:BO$500&lt;&gt;"",ROW($1:$500),1000),ROW(BO65)))&amp;""</f>
        <v/>
      </c>
      <c r="BS65" s="8" t="s">
        <v>2406</v>
      </c>
      <c r="BT65" s="8" t="s">
        <v>1547</v>
      </c>
      <c r="BU65" s="8" t="s">
        <v>494</v>
      </c>
      <c r="BV65" s="9">
        <v>2</v>
      </c>
      <c r="BX65" s="8" t="str">
        <f t="shared" si="7"/>
        <v>Heat Metal</v>
      </c>
      <c r="BY65" s="8" t="str">
        <f>IF(AND(VLOOKUP(BU65,查询!$C$8:$E$15,3,FALSE)="启用",$B$1=BV65),BT65,"")</f>
        <v>灼热金属</v>
      </c>
      <c r="BZ65" s="6" t="str">
        <f t="array" ref="BZ65">INDEX(BX:BX,SMALL(IF(BX$1:BX$500&lt;&gt;"",ROW($1:$500),1000),ROW(BX65)))&amp;""</f>
        <v/>
      </c>
      <c r="CA65" s="6" t="str">
        <f t="array" ref="CA65">INDEX(BY:BY,SMALL(IF(BY$1:BY$500&lt;&gt;"",ROW($1:$500),1000),ROW(BY65)))&amp;""</f>
        <v/>
      </c>
    </row>
    <row r="66" spans="1:79">
      <c r="A66" s="8" t="s">
        <v>2145</v>
      </c>
      <c r="B66" s="8" t="s">
        <v>1540</v>
      </c>
      <c r="C66" s="8" t="s">
        <v>494</v>
      </c>
      <c r="D66" s="9">
        <v>1</v>
      </c>
      <c r="F66" s="8" t="str">
        <f t="shared" ref="F66:F129" si="8">IF(G66="","",A66)</f>
        <v/>
      </c>
      <c r="G66" s="8" t="str">
        <f>IF(AND(VLOOKUP(C66,查询!$C$8:$E$15,3,FALSE)="启用",$B$1=D66),B66,"")</f>
        <v/>
      </c>
      <c r="H66" s="6" t="str">
        <f t="array" ref="H66">INDEX(F:F,SMALL(IF($F$1:$F$500&lt;&gt;"",ROW($1:$500),1000),ROW(F66)))&amp;""</f>
        <v/>
      </c>
      <c r="I66" s="6" t="str">
        <f t="array" ref="I66">INDEX(G:G,SMALL(IF($F$1:$F$500&lt;&gt;"",ROW($1:$500),1000),ROW(G66)))&amp;""</f>
        <v/>
      </c>
      <c r="K66" s="8" t="s">
        <v>2222</v>
      </c>
      <c r="L66" s="8" t="s">
        <v>1676</v>
      </c>
      <c r="M66" s="8" t="s">
        <v>494</v>
      </c>
      <c r="N66" s="9">
        <v>1</v>
      </c>
      <c r="P66" s="8" t="str">
        <f t="shared" ref="P66:P129" si="9">IF(Q66="","",K66)</f>
        <v/>
      </c>
      <c r="Q66" s="8" t="str">
        <f>IF(AND(VLOOKUP(M66,查询!$C$8:$E$15,3,FALSE)="启用",$B$1=N66),L66,"")</f>
        <v/>
      </c>
      <c r="R66" s="6" t="str">
        <f t="array" ref="R66">INDEX(P:P,SMALL(IF(P$1:P$500&lt;&gt;"",ROW($1:$500),1000),ROW(P66)))&amp;""</f>
        <v/>
      </c>
      <c r="S66" s="6" t="str">
        <f t="array" ref="S66">INDEX(Q:Q,SMALL(IF(Q$1:Q$500&lt;&gt;"",ROW($1:$500),1000),ROW(Q66)))&amp;""</f>
        <v/>
      </c>
      <c r="U66" s="8" t="s">
        <v>2690</v>
      </c>
      <c r="V66" s="8" t="s">
        <v>1575</v>
      </c>
      <c r="W66" s="8" t="s">
        <v>494</v>
      </c>
      <c r="X66" s="9">
        <v>3</v>
      </c>
      <c r="Z66" s="8" t="str">
        <f t="shared" ref="Z66:Z125" si="10">IF(AA66="","",U66)</f>
        <v/>
      </c>
      <c r="AA66" s="8" t="str">
        <f>IF(AND(VLOOKUP(W66,查询!$C$8:$E$15,3,FALSE)="启用",$B$1=X66),V66,"")</f>
        <v/>
      </c>
      <c r="AB66" s="6" t="str">
        <f t="array" ref="AB66">INDEX(Z:Z,SMALL(IF(Z$1:Z$500&lt;&gt;"",ROW($1:$500),1000),ROW(Z66)))&amp;""</f>
        <v/>
      </c>
      <c r="AC66" s="6" t="str">
        <f t="array" ref="AC66">INDEX(AA:AA,SMALL(IF(AA$1:AA$500&lt;&gt;"",ROW($1:$500),1000),ROW(AA66)))&amp;""</f>
        <v/>
      </c>
      <c r="AE66" s="8" t="s">
        <v>2796</v>
      </c>
      <c r="AF66" s="8" t="s">
        <v>1500</v>
      </c>
      <c r="AG66" s="8" t="s">
        <v>494</v>
      </c>
      <c r="AH66" s="9">
        <v>4</v>
      </c>
      <c r="AJ66" s="8" t="str">
        <f t="shared" ref="AJ66:AJ114" si="11">IF(AK66="","",AE66)</f>
        <v/>
      </c>
      <c r="AK66" s="8" t="str">
        <f>IF(AND(VLOOKUP(AG66,查询!$C$8:$E$15,3,FALSE)="启用",$B$1=AH66),AF66,"")</f>
        <v/>
      </c>
      <c r="AL66" s="6" t="str">
        <f t="array" ref="AL66">INDEX(AJ:AJ,SMALL(IF(AJ$1:AJ$500&lt;&gt;"",ROW($1:$500),1000),ROW(AJ66)))&amp;""</f>
        <v/>
      </c>
      <c r="AM66" s="6" t="str">
        <f t="array" ref="AM66">INDEX(AK:AK,SMALL(IF(AK$1:AK$500&lt;&gt;"",ROW($1:$500),1000),ROW(AK66)))&amp;""</f>
        <v/>
      </c>
      <c r="AV66" s="6" t="str">
        <f t="array" ref="AV66">INDEX(AT:AT,SMALL(IF(AT$1:AT$500&lt;&gt;"",ROW($1:$500),1000),ROW(AT66)))&amp;""</f>
        <v/>
      </c>
      <c r="AW66" s="6" t="str">
        <f t="array" ref="AW66">INDEX(AU:AU,SMALL(IF(AU$1:AU$500&lt;&gt;"",ROW($1:$500),1000),ROW(AU66)))&amp;""</f>
        <v/>
      </c>
      <c r="BF66" s="6" t="str">
        <f t="array" ref="BF66">INDEX(BD:BD,SMALL(IF(BD$1:BD$500&lt;&gt;"",ROW($1:$500),1000),ROW(BD66)))&amp;""</f>
        <v/>
      </c>
      <c r="BG66" s="6" t="str">
        <f t="array" ref="BG66">INDEX(BE:BE,SMALL(IF(BE$1:BE$500&lt;&gt;"",ROW($1:$500),1000),ROW(BE66)))&amp;""</f>
        <v/>
      </c>
      <c r="BI66" s="8" t="s">
        <v>2277</v>
      </c>
      <c r="BJ66" s="8" t="s">
        <v>1333</v>
      </c>
      <c r="BK66" s="8" t="s">
        <v>578</v>
      </c>
      <c r="BL66" s="9">
        <v>2</v>
      </c>
      <c r="BN66" s="8" t="str">
        <f t="shared" ref="BN66:BN129" si="12">IF(BO66="","",BI66)</f>
        <v>Earthbind</v>
      </c>
      <c r="BO66" s="8" t="str">
        <f>IF(AND(VLOOKUP(BK66,查询!$C$8:$E$15,3,FALSE)="启用",$B$1=BL66),BJ66,"")</f>
        <v>地缚</v>
      </c>
      <c r="BP66" s="6" t="str">
        <f t="array" ref="BP66">INDEX(BN:BN,SMALL(IF(BN$1:BN$500&lt;&gt;"",ROW($1:$500),1000),ROW(BN66)))&amp;""</f>
        <v/>
      </c>
      <c r="BQ66" s="6" t="str">
        <f t="array" ref="BQ66">INDEX(BO:BO,SMALL(IF(BO$1:BO$500&lt;&gt;"",ROW($1:$500),1000),ROW(BO66)))&amp;""</f>
        <v/>
      </c>
      <c r="BS66" s="8" t="s">
        <v>2525</v>
      </c>
      <c r="BT66" s="8" t="s">
        <v>1290</v>
      </c>
      <c r="BU66" s="8" t="s">
        <v>1249</v>
      </c>
      <c r="BV66" s="9">
        <v>3</v>
      </c>
      <c r="BX66" s="8" t="str">
        <f t="shared" ref="BX66:BX129" si="13">IF(BY66="","",BS66)</f>
        <v/>
      </c>
      <c r="BY66" s="8" t="str">
        <f>IF(AND(VLOOKUP(BU66,查询!$C$8:$E$15,3,FALSE)="启用",$B$1=BV66),BT66,"")</f>
        <v/>
      </c>
      <c r="BZ66" s="6" t="str">
        <f t="array" ref="BZ66">INDEX(BX:BX,SMALL(IF(BX$1:BX$500&lt;&gt;"",ROW($1:$500),1000),ROW(BX66)))&amp;""</f>
        <v/>
      </c>
      <c r="CA66" s="6" t="str">
        <f t="array" ref="CA66">INDEX(BY:BY,SMALL(IF(BY$1:BY$500&lt;&gt;"",ROW($1:$500),1000),ROW(BY66)))&amp;""</f>
        <v/>
      </c>
    </row>
    <row r="67" spans="1:79">
      <c r="A67" s="8" t="s">
        <v>2148</v>
      </c>
      <c r="B67" s="8" t="s">
        <v>1543</v>
      </c>
      <c r="C67" s="8" t="s">
        <v>494</v>
      </c>
      <c r="D67" s="9">
        <v>1</v>
      </c>
      <c r="F67" s="8" t="str">
        <f t="shared" si="8"/>
        <v/>
      </c>
      <c r="G67" s="8" t="str">
        <f>IF(AND(VLOOKUP(C67,查询!$C$8:$E$15,3,FALSE)="启用",$B$1=D67),B67,"")</f>
        <v/>
      </c>
      <c r="H67" s="6" t="str">
        <f t="array" ref="H67">INDEX(F:F,SMALL(IF($F$1:$F$500&lt;&gt;"",ROW($1:$500),1000),ROW(F67)))&amp;""</f>
        <v/>
      </c>
      <c r="I67" s="6" t="str">
        <f t="array" ref="I67">INDEX(G:G,SMALL(IF($F$1:$F$500&lt;&gt;"",ROW($1:$500),1000),ROW(G67)))&amp;""</f>
        <v/>
      </c>
      <c r="K67" s="8" t="s">
        <v>2244</v>
      </c>
      <c r="L67" s="8" t="s">
        <v>1271</v>
      </c>
      <c r="M67" s="8" t="s">
        <v>1249</v>
      </c>
      <c r="N67" s="9">
        <v>2</v>
      </c>
      <c r="P67" s="8" t="str">
        <f t="shared" si="9"/>
        <v>Mind Spike</v>
      </c>
      <c r="Q67" s="8" t="str">
        <f>IF(AND(VLOOKUP(M67,查询!$C$8:$E$15,3,FALSE)="启用",$B$1=N67),L67,"")</f>
        <v>心灵尖刺</v>
      </c>
      <c r="R67" s="6" t="str">
        <f t="array" ref="R67">INDEX(P:P,SMALL(IF(P$1:P$500&lt;&gt;"",ROW($1:$500),1000),ROW(P67)))&amp;""</f>
        <v/>
      </c>
      <c r="S67" s="6" t="str">
        <f t="array" ref="S67">INDEX(Q:Q,SMALL(IF(Q$1:Q$500&lt;&gt;"",ROW($1:$500),1000),ROW(Q67)))&amp;""</f>
        <v/>
      </c>
      <c r="U67" s="8" t="s">
        <v>2536</v>
      </c>
      <c r="V67" s="8" t="s">
        <v>1317</v>
      </c>
      <c r="W67" s="8" t="s">
        <v>1249</v>
      </c>
      <c r="X67" s="9">
        <v>3</v>
      </c>
      <c r="Z67" s="8" t="str">
        <f t="shared" si="10"/>
        <v/>
      </c>
      <c r="AA67" s="8" t="str">
        <f>IF(AND(VLOOKUP(W67,查询!$C$8:$E$15,3,FALSE)="启用",$B$1=X67),V67,"")</f>
        <v/>
      </c>
      <c r="AB67" s="6" t="str">
        <f t="array" ref="AB67">INDEX(Z:Z,SMALL(IF(Z$1:Z$500&lt;&gt;"",ROW($1:$500),1000),ROW(Z67)))&amp;""</f>
        <v/>
      </c>
      <c r="AC67" s="6" t="str">
        <f t="array" ref="AC67">INDEX(AA:AA,SMALL(IF(AA$1:AA$500&lt;&gt;"",ROW($1:$500),1000),ROW(AA67)))&amp;""</f>
        <v/>
      </c>
      <c r="AE67" s="8" t="s">
        <v>2820</v>
      </c>
      <c r="AF67" s="8" t="s">
        <v>1576</v>
      </c>
      <c r="AG67" s="8" t="s">
        <v>494</v>
      </c>
      <c r="AH67" s="9">
        <v>4</v>
      </c>
      <c r="AJ67" s="8" t="str">
        <f t="shared" si="11"/>
        <v/>
      </c>
      <c r="AK67" s="8" t="str">
        <f>IF(AND(VLOOKUP(AG67,查询!$C$8:$E$15,3,FALSE)="启用",$B$1=AH67),AF67,"")</f>
        <v/>
      </c>
      <c r="AL67" s="6" t="str">
        <f t="array" ref="AL67">INDEX(AJ:AJ,SMALL(IF(AJ$1:AJ$500&lt;&gt;"",ROW($1:$500),1000),ROW(AJ67)))&amp;""</f>
        <v/>
      </c>
      <c r="AM67" s="6" t="str">
        <f t="array" ref="AM67">INDEX(AK:AK,SMALL(IF(AK$1:AK$500&lt;&gt;"",ROW($1:$500),1000),ROW(AK67)))&amp;""</f>
        <v/>
      </c>
      <c r="AV67" s="6" t="str">
        <f t="array" ref="AV67">INDEX(AT:AT,SMALL(IF(AT$1:AT$500&lt;&gt;"",ROW($1:$500),1000),ROW(AT67)))&amp;""</f>
        <v/>
      </c>
      <c r="AW67" s="6" t="str">
        <f t="array" ref="AW67">INDEX(AU:AU,SMALL(IF(AU$1:AU$500&lt;&gt;"",ROW($1:$500),1000),ROW(AU67)))&amp;""</f>
        <v/>
      </c>
      <c r="BF67" s="6" t="str">
        <f t="array" ref="BF67">INDEX(BD:BD,SMALL(IF(BD$1:BD$500&lt;&gt;"",ROW($1:$500),1000),ROW(BD67)))&amp;""</f>
        <v/>
      </c>
      <c r="BG67" s="6" t="str">
        <f t="array" ref="BG67">INDEX(BE:BE,SMALL(IF(BE$1:BE$500&lt;&gt;"",ROW($1:$500),1000),ROW(BE67)))&amp;""</f>
        <v/>
      </c>
      <c r="BI67" s="8" t="s">
        <v>2277</v>
      </c>
      <c r="BJ67" s="8" t="s">
        <v>1333</v>
      </c>
      <c r="BK67" s="8" t="s">
        <v>1249</v>
      </c>
      <c r="BL67" s="9">
        <v>2</v>
      </c>
      <c r="BN67" s="8" t="str">
        <f t="shared" si="12"/>
        <v>Earthbind</v>
      </c>
      <c r="BO67" s="8" t="str">
        <f>IF(AND(VLOOKUP(BK67,查询!$C$8:$E$15,3,FALSE)="启用",$B$1=BL67),BJ67,"")</f>
        <v>地缚</v>
      </c>
      <c r="BP67" s="6" t="str">
        <f t="array" ref="BP67">INDEX(BN:BN,SMALL(IF(BN$1:BN$500&lt;&gt;"",ROW($1:$500),1000),ROW(BN67)))&amp;""</f>
        <v/>
      </c>
      <c r="BQ67" s="6" t="str">
        <f t="array" ref="BQ67">INDEX(BO:BO,SMALL(IF(BO$1:BO$500&lt;&gt;"",ROW($1:$500),1000),ROW(BO67)))&amp;""</f>
        <v/>
      </c>
      <c r="BS67" s="8" t="s">
        <v>2529</v>
      </c>
      <c r="BT67" s="8" t="s">
        <v>1292</v>
      </c>
      <c r="BU67" s="8" t="s">
        <v>1249</v>
      </c>
      <c r="BV67" s="9">
        <v>3</v>
      </c>
      <c r="BX67" s="8" t="str">
        <f t="shared" si="13"/>
        <v/>
      </c>
      <c r="BY67" s="8" t="str">
        <f>IF(AND(VLOOKUP(BU67,查询!$C$8:$E$15,3,FALSE)="启用",$B$1=BV67),BT67,"")</f>
        <v/>
      </c>
      <c r="BZ67" s="6" t="str">
        <f t="array" ref="BZ67">INDEX(BX:BX,SMALL(IF(BX$1:BX$500&lt;&gt;"",ROW($1:$500),1000),ROW(BX67)))&amp;""</f>
        <v/>
      </c>
      <c r="CA67" s="6" t="str">
        <f t="array" ref="CA67">INDEX(BY:BY,SMALL(IF(BY$1:BY$500&lt;&gt;"",ROW($1:$500),1000),ROW(BY67)))&amp;""</f>
        <v/>
      </c>
    </row>
    <row r="68" spans="1:79">
      <c r="A68" s="8" t="s">
        <v>2167</v>
      </c>
      <c r="B68" s="8" t="s">
        <v>1574</v>
      </c>
      <c r="C68" s="8" t="s">
        <v>494</v>
      </c>
      <c r="D68" s="9">
        <v>1</v>
      </c>
      <c r="F68" s="8" t="str">
        <f t="shared" si="8"/>
        <v/>
      </c>
      <c r="G68" s="8" t="str">
        <f>IF(AND(VLOOKUP(C68,查询!$C$8:$E$15,3,FALSE)="启用",$B$1=D68),B68,"")</f>
        <v/>
      </c>
      <c r="H68" s="6" t="str">
        <f t="array" ref="H68">INDEX(F:F,SMALL(IF($F$1:$F$500&lt;&gt;"",ROW($1:$500),1000),ROW(F68)))&amp;""</f>
        <v/>
      </c>
      <c r="I68" s="6" t="str">
        <f t="array" ref="I68">INDEX(G:G,SMALL(IF($F$1:$F$500&lt;&gt;"",ROW($1:$500),1000),ROW(G68)))&amp;""</f>
        <v/>
      </c>
      <c r="K68" s="8" t="s">
        <v>2248</v>
      </c>
      <c r="L68" s="8" t="s">
        <v>1275</v>
      </c>
      <c r="M68" s="8" t="s">
        <v>1249</v>
      </c>
      <c r="N68" s="9">
        <v>2</v>
      </c>
      <c r="P68" s="8" t="str">
        <f t="shared" si="9"/>
        <v>Shadow Blade</v>
      </c>
      <c r="Q68" s="8" t="str">
        <f>IF(AND(VLOOKUP(M68,查询!$C$8:$E$15,3,FALSE)="启用",$B$1=N68),L68,"")</f>
        <v>幽影刃</v>
      </c>
      <c r="R68" s="6" t="str">
        <f t="array" ref="R68">INDEX(P:P,SMALL(IF(P$1:P$500&lt;&gt;"",ROW($1:$500),1000),ROW(P68)))&amp;""</f>
        <v/>
      </c>
      <c r="S68" s="6" t="str">
        <f t="array" ref="S68">INDEX(Q:Q,SMALL(IF(Q$1:Q$500&lt;&gt;"",ROW($1:$500),1000),ROW(Q68)))&amp;""</f>
        <v/>
      </c>
      <c r="U68" s="8" t="s">
        <v>2753</v>
      </c>
      <c r="V68" s="8" t="s">
        <v>1266</v>
      </c>
      <c r="W68" s="8" t="s">
        <v>1249</v>
      </c>
      <c r="X68" s="9">
        <v>4</v>
      </c>
      <c r="Z68" s="8" t="str">
        <f t="shared" si="10"/>
        <v/>
      </c>
      <c r="AA68" s="8" t="str">
        <f>IF(AND(VLOOKUP(W68,查询!$C$8:$E$15,3,FALSE)="启用",$B$1=X68),V68,"")</f>
        <v/>
      </c>
      <c r="AB68" s="6" t="str">
        <f t="array" ref="AB68">INDEX(Z:Z,SMALL(IF(Z$1:Z$500&lt;&gt;"",ROW($1:$500),1000),ROW(Z68)))&amp;""</f>
        <v/>
      </c>
      <c r="AC68" s="6" t="str">
        <f t="array" ref="AC68">INDEX(AA:AA,SMALL(IF(AA$1:AA$500&lt;&gt;"",ROW($1:$500),1000),ROW(AA68)))&amp;""</f>
        <v/>
      </c>
      <c r="AE68" s="8" t="s">
        <v>2825</v>
      </c>
      <c r="AF68" s="8" t="s">
        <v>1581</v>
      </c>
      <c r="AG68" s="8" t="s">
        <v>494</v>
      </c>
      <c r="AH68" s="9">
        <v>4</v>
      </c>
      <c r="AJ68" s="8" t="str">
        <f t="shared" si="11"/>
        <v/>
      </c>
      <c r="AK68" s="8" t="str">
        <f>IF(AND(VLOOKUP(AG68,查询!$C$8:$E$15,3,FALSE)="启用",$B$1=AH68),AF68,"")</f>
        <v/>
      </c>
      <c r="AL68" s="6" t="str">
        <f t="array" ref="AL68">INDEX(AJ:AJ,SMALL(IF(AJ$1:AJ$500&lt;&gt;"",ROW($1:$500),1000),ROW(AJ68)))&amp;""</f>
        <v/>
      </c>
      <c r="AM68" s="6" t="str">
        <f t="array" ref="AM68">INDEX(AK:AK,SMALL(IF(AK$1:AK$500&lt;&gt;"",ROW($1:$500),1000),ROW(AK68)))&amp;""</f>
        <v/>
      </c>
      <c r="AV68" s="6" t="str">
        <f t="array" ref="AV68">INDEX(AT:AT,SMALL(IF(AT$1:AT$500&lt;&gt;"",ROW($1:$500),1000),ROW(AT68)))&amp;""</f>
        <v/>
      </c>
      <c r="AW68" s="6" t="str">
        <f t="array" ref="AW68">INDEX(AU:AU,SMALL(IF(AU$1:AU$500&lt;&gt;"",ROW($1:$500),1000),ROW(AU68)))&amp;""</f>
        <v/>
      </c>
      <c r="BF68" s="6" t="str">
        <f t="array" ref="BF68">INDEX(BD:BD,SMALL(IF(BD$1:BD$500&lt;&gt;"",ROW($1:$500),1000),ROW(BD68)))&amp;""</f>
        <v/>
      </c>
      <c r="BG68" s="6" t="str">
        <f t="array" ref="BG68">INDEX(BE:BE,SMALL(IF(BE$1:BE$500&lt;&gt;"",ROW($1:$500),1000),ROW(BE68)))&amp;""</f>
        <v/>
      </c>
      <c r="BI68" s="8" t="s">
        <v>2281</v>
      </c>
      <c r="BJ68" s="8" t="s">
        <v>1741</v>
      </c>
      <c r="BK68" s="8" t="s">
        <v>578</v>
      </c>
      <c r="BL68" s="9">
        <v>2</v>
      </c>
      <c r="BN68" s="8" t="str">
        <f t="shared" si="12"/>
        <v>Dust Devil</v>
      </c>
      <c r="BO68" s="8" t="str">
        <f>IF(AND(VLOOKUP(BK68,查询!$C$8:$E$15,3,FALSE)="启用",$B$1=BL68),BJ68,"")</f>
        <v>尘土恶魔E</v>
      </c>
      <c r="BP68" s="6" t="str">
        <f t="array" ref="BP68">INDEX(BN:BN,SMALL(IF(BN$1:BN$500&lt;&gt;"",ROW($1:$500),1000),ROW(BN68)))&amp;""</f>
        <v/>
      </c>
      <c r="BQ68" s="6" t="str">
        <f t="array" ref="BQ68">INDEX(BO:BO,SMALL(IF(BO$1:BO$500&lt;&gt;"",ROW($1:$500),1000),ROW(BO68)))&amp;""</f>
        <v/>
      </c>
      <c r="BS68" s="8" t="s">
        <v>2604</v>
      </c>
      <c r="BT68" s="8" t="s">
        <v>1433</v>
      </c>
      <c r="BU68" s="8" t="s">
        <v>494</v>
      </c>
      <c r="BV68" s="9">
        <v>3</v>
      </c>
      <c r="BX68" s="8" t="str">
        <f t="shared" si="13"/>
        <v/>
      </c>
      <c r="BY68" s="8" t="str">
        <f>IF(AND(VLOOKUP(BU68,查询!$C$8:$E$15,3,FALSE)="启用",$B$1=BV68),BT68,"")</f>
        <v/>
      </c>
      <c r="BZ68" s="6" t="str">
        <f t="array" ref="BZ68">INDEX(BX:BX,SMALL(IF(BX$1:BX$500&lt;&gt;"",ROW($1:$500),1000),ROW(BX68)))&amp;""</f>
        <v/>
      </c>
      <c r="CA68" s="6" t="str">
        <f t="array" ref="CA68">INDEX(BY:BY,SMALL(IF(BY$1:BY$500&lt;&gt;"",ROW($1:$500),1000),ROW(BY68)))&amp;""</f>
        <v/>
      </c>
    </row>
    <row r="69" spans="1:79">
      <c r="A69" s="8" t="s">
        <v>1963</v>
      </c>
      <c r="B69" s="8" t="s">
        <v>1309</v>
      </c>
      <c r="C69" s="8" t="s">
        <v>1249</v>
      </c>
      <c r="D69" s="9">
        <v>1</v>
      </c>
      <c r="F69" s="8" t="str">
        <f t="shared" si="8"/>
        <v/>
      </c>
      <c r="G69" s="8" t="str">
        <f>IF(AND(VLOOKUP(C69,查询!$C$8:$E$15,3,FALSE)="启用",$B$1=D69),B69,"")</f>
        <v/>
      </c>
      <c r="H69" s="6" t="str">
        <f t="array" ref="H69">INDEX(F:F,SMALL(IF($F$1:$F$500&lt;&gt;"",ROW($1:$500),1000),ROW(F69)))&amp;""</f>
        <v/>
      </c>
      <c r="I69" s="6" t="str">
        <f t="array" ref="I69">INDEX(G:G,SMALL(IF($F$1:$F$500&lt;&gt;"",ROW($1:$500),1000),ROW(G69)))&amp;""</f>
        <v/>
      </c>
      <c r="K69" s="8" t="s">
        <v>2251</v>
      </c>
      <c r="L69" s="8" t="s">
        <v>1282</v>
      </c>
      <c r="M69" s="8" t="s">
        <v>1249</v>
      </c>
      <c r="N69" s="9">
        <v>2</v>
      </c>
      <c r="P69" s="8" t="str">
        <f t="shared" si="9"/>
        <v>Dragon's Breath</v>
      </c>
      <c r="Q69" s="8" t="str">
        <f>IF(AND(VLOOKUP(M69,查询!$C$8:$E$15,3,FALSE)="启用",$B$1=N69),L69,"")</f>
        <v>龙息术</v>
      </c>
      <c r="R69" s="6" t="str">
        <f t="array" ref="R69">INDEX(P:P,SMALL(IF(P$1:P$500&lt;&gt;"",ROW($1:$500),1000),ROW(P69)))&amp;""</f>
        <v/>
      </c>
      <c r="S69" s="6" t="str">
        <f t="array" ref="S69">INDEX(Q:Q,SMALL(IF(Q$1:Q$500&lt;&gt;"",ROW($1:$500),1000),ROW(Q69)))&amp;""</f>
        <v/>
      </c>
      <c r="U69" s="8" t="s">
        <v>2758</v>
      </c>
      <c r="V69" s="8" t="s">
        <v>1276</v>
      </c>
      <c r="W69" s="8" t="s">
        <v>1249</v>
      </c>
      <c r="X69" s="9">
        <v>4</v>
      </c>
      <c r="Z69" s="8" t="str">
        <f t="shared" si="10"/>
        <v/>
      </c>
      <c r="AA69" s="8" t="str">
        <f>IF(AND(VLOOKUP(W69,查询!$C$8:$E$15,3,FALSE)="启用",$B$1=X69),V69,"")</f>
        <v/>
      </c>
      <c r="AB69" s="6" t="str">
        <f t="array" ref="AB69">INDEX(Z:Z,SMALL(IF(Z$1:Z$500&lt;&gt;"",ROW($1:$500),1000),ROW(Z69)))&amp;""</f>
        <v/>
      </c>
      <c r="AC69" s="6" t="str">
        <f t="array" ref="AC69">INDEX(AA:AA,SMALL(IF(AA$1:AA$500&lt;&gt;"",ROW($1:$500),1000),ROW(AA69)))&amp;""</f>
        <v/>
      </c>
      <c r="AE69" s="8" t="s">
        <v>2827</v>
      </c>
      <c r="AF69" s="8" t="s">
        <v>1601</v>
      </c>
      <c r="AG69" s="8" t="s">
        <v>494</v>
      </c>
      <c r="AH69" s="9">
        <v>4</v>
      </c>
      <c r="AJ69" s="8" t="str">
        <f t="shared" si="11"/>
        <v/>
      </c>
      <c r="AK69" s="8" t="str">
        <f>IF(AND(VLOOKUP(AG69,查询!$C$8:$E$15,3,FALSE)="启用",$B$1=AH69),AF69,"")</f>
        <v/>
      </c>
      <c r="AL69" s="6" t="str">
        <f t="array" ref="AL69">INDEX(AJ:AJ,SMALL(IF(AJ$1:AJ$500&lt;&gt;"",ROW($1:$500),1000),ROW(AJ69)))&amp;""</f>
        <v/>
      </c>
      <c r="AM69" s="6" t="str">
        <f t="array" ref="AM69">INDEX(AK:AK,SMALL(IF(AK$1:AK$500&lt;&gt;"",ROW($1:$500),1000),ROW(AK69)))&amp;""</f>
        <v/>
      </c>
      <c r="AV69" s="6" t="str">
        <f t="array" ref="AV69">INDEX(AT:AT,SMALL(IF(AT$1:AT$500&lt;&gt;"",ROW($1:$500),1000),ROW(AT69)))&amp;""</f>
        <v/>
      </c>
      <c r="AW69" s="6" t="str">
        <f t="array" ref="AW69">INDEX(AU:AU,SMALL(IF(AU$1:AU$500&lt;&gt;"",ROW($1:$500),1000),ROW(AU69)))&amp;""</f>
        <v/>
      </c>
      <c r="BF69" s="6" t="str">
        <f t="array" ref="BF69">INDEX(BD:BD,SMALL(IF(BD$1:BD$500&lt;&gt;"",ROW($1:$500),1000),ROW(BD69)))&amp;""</f>
        <v/>
      </c>
      <c r="BG69" s="6" t="str">
        <f t="array" ref="BG69">INDEX(BE:BE,SMALL(IF(BE$1:BE$500&lt;&gt;"",ROW($1:$500),1000),ROW(BE69)))&amp;""</f>
        <v/>
      </c>
      <c r="BI69" s="8" t="s">
        <v>2281</v>
      </c>
      <c r="BJ69" s="8" t="s">
        <v>1340</v>
      </c>
      <c r="BK69" s="8" t="s">
        <v>1249</v>
      </c>
      <c r="BL69" s="9">
        <v>2</v>
      </c>
      <c r="BN69" s="8" t="str">
        <f t="shared" si="12"/>
        <v>Dust Devil</v>
      </c>
      <c r="BO69" s="8" t="str">
        <f>IF(AND(VLOOKUP(BK69,查询!$C$8:$E$15,3,FALSE)="启用",$B$1=BL69),BJ69,"")</f>
        <v>尘土恶魔</v>
      </c>
      <c r="BP69" s="6" t="str">
        <f t="array" ref="BP69">INDEX(BN:BN,SMALL(IF(BN$1:BN$500&lt;&gt;"",ROW($1:$500),1000),ROW(BN69)))&amp;""</f>
        <v/>
      </c>
      <c r="BQ69" s="6" t="str">
        <f t="array" ref="BQ69">INDEX(BO:BO,SMALL(IF(BO$1:BO$500&lt;&gt;"",ROW($1:$500),1000),ROW(BO69)))&amp;""</f>
        <v/>
      </c>
      <c r="BS69" s="8" t="s">
        <v>2609</v>
      </c>
      <c r="BT69" s="8" t="s">
        <v>1448</v>
      </c>
      <c r="BU69" s="8" t="s">
        <v>494</v>
      </c>
      <c r="BV69" s="9">
        <v>3</v>
      </c>
      <c r="BX69" s="8" t="str">
        <f t="shared" si="13"/>
        <v/>
      </c>
      <c r="BY69" s="8" t="str">
        <f>IF(AND(VLOOKUP(BU69,查询!$C$8:$E$15,3,FALSE)="启用",$B$1=BV69),BT69,"")</f>
        <v/>
      </c>
      <c r="BZ69" s="6" t="str">
        <f t="array" ref="BZ69">INDEX(BX:BX,SMALL(IF(BX$1:BX$500&lt;&gt;"",ROW($1:$500),1000),ROW(BX69)))&amp;""</f>
        <v/>
      </c>
      <c r="CA69" s="6" t="str">
        <f t="array" ref="CA69">INDEX(BY:BY,SMALL(IF(BY$1:BY$500&lt;&gt;"",ROW($1:$500),1000),ROW(BY69)))&amp;""</f>
        <v/>
      </c>
    </row>
    <row r="70" spans="1:79">
      <c r="A70" s="8" t="s">
        <v>1970</v>
      </c>
      <c r="B70" s="8" t="s">
        <v>1310</v>
      </c>
      <c r="C70" s="8" t="s">
        <v>1249</v>
      </c>
      <c r="D70" s="9">
        <v>1</v>
      </c>
      <c r="F70" s="8" t="str">
        <f t="shared" si="8"/>
        <v/>
      </c>
      <c r="G70" s="8" t="str">
        <f>IF(AND(VLOOKUP(C70,查询!$C$8:$E$15,3,FALSE)="启用",$B$1=D70),B70,"")</f>
        <v/>
      </c>
      <c r="H70" s="6" t="str">
        <f t="array" ref="H70">INDEX(F:F,SMALL(IF($F$1:$F$500&lt;&gt;"",ROW($1:$500),1000),ROW(F70)))&amp;""</f>
        <v/>
      </c>
      <c r="I70" s="6" t="str">
        <f t="array" ref="I70">INDEX(G:G,SMALL(IF($F$1:$F$500&lt;&gt;"",ROW($1:$500),1000),ROW(G70)))&amp;""</f>
        <v/>
      </c>
      <c r="K70" s="8" t="s">
        <v>2256</v>
      </c>
      <c r="L70" s="8" t="s">
        <v>1724</v>
      </c>
      <c r="M70" s="8" t="s">
        <v>578</v>
      </c>
      <c r="N70" s="9">
        <v>2</v>
      </c>
      <c r="P70" s="8" t="str">
        <f t="shared" si="9"/>
        <v>Maximilian’s Earthen Grasp</v>
      </c>
      <c r="Q70" s="8" t="str">
        <f>IF(AND(VLOOKUP(M70,查询!$C$8:$E$15,3,FALSE)="启用",$B$1=N70),L70,"")</f>
        <v>麦克斯米利安的地之攫E</v>
      </c>
      <c r="R70" s="6" t="str">
        <f t="array" ref="R70">INDEX(P:P,SMALL(IF(P$1:P$500&lt;&gt;"",ROW($1:$500),1000),ROW(P70)))&amp;""</f>
        <v/>
      </c>
      <c r="S70" s="6" t="str">
        <f t="array" ref="S70">INDEX(Q:Q,SMALL(IF(Q$1:Q$500&lt;&gt;"",ROW($1:$500),1000),ROW(Q70)))&amp;""</f>
        <v/>
      </c>
      <c r="U70" s="8" t="s">
        <v>2767</v>
      </c>
      <c r="V70" s="8" t="s">
        <v>1296</v>
      </c>
      <c r="W70" s="8" t="s">
        <v>1249</v>
      </c>
      <c r="X70" s="9">
        <v>4</v>
      </c>
      <c r="Z70" s="8" t="str">
        <f t="shared" si="10"/>
        <v/>
      </c>
      <c r="AA70" s="8" t="str">
        <f>IF(AND(VLOOKUP(W70,查询!$C$8:$E$15,3,FALSE)="启用",$B$1=X70),V70,"")</f>
        <v/>
      </c>
      <c r="AB70" s="6" t="str">
        <f t="array" ref="AB70">INDEX(Z:Z,SMALL(IF(Z$1:Z$500&lt;&gt;"",ROW($1:$500),1000),ROW(Z70)))&amp;""</f>
        <v/>
      </c>
      <c r="AC70" s="6" t="str">
        <f t="array" ref="AC70">INDEX(AA:AA,SMALL(IF(AA$1:AA$500&lt;&gt;"",ROW($1:$500),1000),ROW(AA70)))&amp;""</f>
        <v/>
      </c>
      <c r="AE70" s="8" t="s">
        <v>2832</v>
      </c>
      <c r="AF70" s="8" t="s">
        <v>1603</v>
      </c>
      <c r="AG70" s="8" t="s">
        <v>494</v>
      </c>
      <c r="AH70" s="9">
        <v>4</v>
      </c>
      <c r="AJ70" s="8" t="str">
        <f t="shared" si="11"/>
        <v/>
      </c>
      <c r="AK70" s="8" t="str">
        <f>IF(AND(VLOOKUP(AG70,查询!$C$8:$E$15,3,FALSE)="启用",$B$1=AH70),AF70,"")</f>
        <v/>
      </c>
      <c r="AL70" s="6" t="str">
        <f t="array" ref="AL70">INDEX(AJ:AJ,SMALL(IF(AJ$1:AJ$500&lt;&gt;"",ROW($1:$500),1000),ROW(AJ70)))&amp;""</f>
        <v/>
      </c>
      <c r="AM70" s="6" t="str">
        <f t="array" ref="AM70">INDEX(AK:AK,SMALL(IF(AK$1:AK$500&lt;&gt;"",ROW($1:$500),1000),ROW(AK70)))&amp;""</f>
        <v/>
      </c>
      <c r="AV70" s="6" t="str">
        <f t="array" ref="AV70">INDEX(AT:AT,SMALL(IF(AT$1:AT$500&lt;&gt;"",ROW($1:$500),1000),ROW(AT70)))&amp;""</f>
        <v/>
      </c>
      <c r="AW70" s="6" t="str">
        <f t="array" ref="AW70">INDEX(AU:AU,SMALL(IF(AU$1:AU$500&lt;&gt;"",ROW($1:$500),1000),ROW(AU70)))&amp;""</f>
        <v/>
      </c>
      <c r="BF70" s="6" t="str">
        <f t="array" ref="BF70">INDEX(BD:BD,SMALL(IF(BD$1:BD$500&lt;&gt;"",ROW($1:$500),1000),ROW(BD70)))&amp;""</f>
        <v/>
      </c>
      <c r="BG70" s="6" t="str">
        <f t="array" ref="BG70">INDEX(BE:BE,SMALL(IF(BE$1:BE$500&lt;&gt;"",ROW($1:$500),1000),ROW(BE70)))&amp;""</f>
        <v/>
      </c>
      <c r="BI70" s="8" t="s">
        <v>2471</v>
      </c>
      <c r="BJ70" s="8" t="s">
        <v>643</v>
      </c>
      <c r="BK70" s="8" t="s">
        <v>494</v>
      </c>
      <c r="BL70" s="9">
        <v>2</v>
      </c>
      <c r="BN70" s="8" t="str">
        <f t="shared" si="12"/>
        <v>Darkvision</v>
      </c>
      <c r="BO70" s="8" t="str">
        <f>IF(AND(VLOOKUP(BK70,查询!$C$8:$E$15,3,FALSE)="启用",$B$1=BL70),BJ70,"")</f>
        <v>黑暗视觉</v>
      </c>
      <c r="BP70" s="6" t="str">
        <f t="array" ref="BP70">INDEX(BN:BN,SMALL(IF(BN$1:BN$500&lt;&gt;"",ROW($1:$500),1000),ROW(BN70)))&amp;""</f>
        <v/>
      </c>
      <c r="BQ70" s="6" t="str">
        <f t="array" ref="BQ70">INDEX(BO:BO,SMALL(IF(BO$1:BO$500&lt;&gt;"",ROW($1:$500),1000),ROW(BO70)))&amp;""</f>
        <v/>
      </c>
      <c r="BS70" s="8" t="s">
        <v>2615</v>
      </c>
      <c r="BT70" s="8" t="s">
        <v>1451</v>
      </c>
      <c r="BU70" s="8" t="s">
        <v>494</v>
      </c>
      <c r="BV70" s="9">
        <v>3</v>
      </c>
      <c r="BX70" s="8" t="str">
        <f t="shared" si="13"/>
        <v/>
      </c>
      <c r="BY70" s="8" t="str">
        <f>IF(AND(VLOOKUP(BU70,查询!$C$8:$E$15,3,FALSE)="启用",$B$1=BV70),BT70,"")</f>
        <v/>
      </c>
      <c r="BZ70" s="6" t="str">
        <f t="array" ref="BZ70">INDEX(BX:BX,SMALL(IF(BX$1:BX$500&lt;&gt;"",ROW($1:$500),1000),ROW(BX70)))&amp;""</f>
        <v/>
      </c>
      <c r="CA70" s="6" t="str">
        <f t="array" ref="CA70">INDEX(BY:BY,SMALL(IF(BY$1:BY$500&lt;&gt;"",ROW($1:$500),1000),ROW(BY70)))&amp;""</f>
        <v/>
      </c>
    </row>
    <row r="71" spans="1:79">
      <c r="A71" s="8" t="s">
        <v>2207</v>
      </c>
      <c r="B71" s="8" t="s">
        <v>1647</v>
      </c>
      <c r="C71" s="8" t="s">
        <v>494</v>
      </c>
      <c r="D71" s="9">
        <v>1</v>
      </c>
      <c r="F71" s="8" t="str">
        <f t="shared" si="8"/>
        <v/>
      </c>
      <c r="G71" s="8" t="str">
        <f>IF(AND(VLOOKUP(C71,查询!$C$8:$E$15,3,FALSE)="启用",$B$1=D71),B71,"")</f>
        <v/>
      </c>
      <c r="H71" s="6" t="str">
        <f t="array" ref="H71">INDEX(F:F,SMALL(IF($F$1:$F$500&lt;&gt;"",ROW($1:$500),1000),ROW(F71)))&amp;""</f>
        <v/>
      </c>
      <c r="I71" s="6" t="str">
        <f t="array" ref="I71">INDEX(G:G,SMALL(IF($F$1:$F$500&lt;&gt;"",ROW($1:$500),1000),ROW(G71)))&amp;""</f>
        <v/>
      </c>
      <c r="K71" s="8" t="s">
        <v>2256</v>
      </c>
      <c r="L71" s="8" t="s">
        <v>1284</v>
      </c>
      <c r="M71" s="8" t="s">
        <v>1249</v>
      </c>
      <c r="N71" s="9">
        <v>2</v>
      </c>
      <c r="P71" s="8" t="str">
        <f t="shared" si="9"/>
        <v>Maximilian’s Earthen Grasp</v>
      </c>
      <c r="Q71" s="8" t="str">
        <f>IF(AND(VLOOKUP(M71,查询!$C$8:$E$15,3,FALSE)="启用",$B$1=N71),L71,"")</f>
        <v>麦克斯米利安的地之攫</v>
      </c>
      <c r="R71" s="6" t="str">
        <f t="array" ref="R71">INDEX(P:P,SMALL(IF(P$1:P$500&lt;&gt;"",ROW($1:$500),1000),ROW(P71)))&amp;""</f>
        <v/>
      </c>
      <c r="S71" s="6" t="str">
        <f t="array" ref="S71">INDEX(Q:Q,SMALL(IF(Q$1:Q$500&lt;&gt;"",ROW($1:$500),1000),ROW(Q71)))&amp;""</f>
        <v/>
      </c>
      <c r="U71" s="8" t="s">
        <v>2784</v>
      </c>
      <c r="V71" s="8" t="s">
        <v>1445</v>
      </c>
      <c r="W71" s="8" t="s">
        <v>494</v>
      </c>
      <c r="X71" s="9">
        <v>4</v>
      </c>
      <c r="Z71" s="8" t="str">
        <f t="shared" si="10"/>
        <v/>
      </c>
      <c r="AA71" s="8" t="str">
        <f>IF(AND(VLOOKUP(W71,查询!$C$8:$E$15,3,FALSE)="启用",$B$1=X71),V71,"")</f>
        <v/>
      </c>
      <c r="AB71" s="6" t="str">
        <f t="array" ref="AB71">INDEX(Z:Z,SMALL(IF(Z$1:Z$500&lt;&gt;"",ROW($1:$500),1000),ROW(Z71)))&amp;""</f>
        <v/>
      </c>
      <c r="AC71" s="6" t="str">
        <f t="array" ref="AC71">INDEX(AA:AA,SMALL(IF(AA$1:AA$500&lt;&gt;"",ROW($1:$500),1000),ROW(AA71)))&amp;""</f>
        <v/>
      </c>
      <c r="AE71" s="8" t="s">
        <v>2836</v>
      </c>
      <c r="AF71" s="8" t="s">
        <v>1617</v>
      </c>
      <c r="AG71" s="8" t="s">
        <v>494</v>
      </c>
      <c r="AH71" s="9">
        <v>4</v>
      </c>
      <c r="AJ71" s="8" t="str">
        <f t="shared" si="11"/>
        <v/>
      </c>
      <c r="AK71" s="8" t="str">
        <f>IF(AND(VLOOKUP(AG71,查询!$C$8:$E$15,3,FALSE)="启用",$B$1=AH71),AF71,"")</f>
        <v/>
      </c>
      <c r="AL71" s="6" t="str">
        <f t="array" ref="AL71">INDEX(AJ:AJ,SMALL(IF(AJ$1:AJ$500&lt;&gt;"",ROW($1:$500),1000),ROW(AJ71)))&amp;""</f>
        <v/>
      </c>
      <c r="AM71" s="6" t="str">
        <f t="array" ref="AM71">INDEX(AK:AK,SMALL(IF(AK$1:AK$500&lt;&gt;"",ROW($1:$500),1000),ROW(AK71)))&amp;""</f>
        <v/>
      </c>
      <c r="AV71" s="6" t="str">
        <f t="array" ref="AV71">INDEX(AT:AT,SMALL(IF(AT$1:AT$500&lt;&gt;"",ROW($1:$500),1000),ROW(AT71)))&amp;""</f>
        <v/>
      </c>
      <c r="AW71" s="6" t="str">
        <f t="array" ref="AW71">INDEX(AU:AU,SMALL(IF(AU$1:AU$500&lt;&gt;"",ROW($1:$500),1000),ROW(AU71)))&amp;""</f>
        <v/>
      </c>
      <c r="BF71" s="6" t="str">
        <f t="array" ref="BF71">INDEX(BD:BD,SMALL(IF(BD$1:BD$500&lt;&gt;"",ROW($1:$500),1000),ROW(BD71)))&amp;""</f>
        <v/>
      </c>
      <c r="BG71" s="6" t="str">
        <f t="array" ref="BG71">INDEX(BE:BE,SMALL(IF(BE$1:BE$500&lt;&gt;"",ROW($1:$500),1000),ROW(BE71)))&amp;""</f>
        <v/>
      </c>
      <c r="BI71" s="8" t="s">
        <v>2475</v>
      </c>
      <c r="BJ71" s="8" t="s">
        <v>1679</v>
      </c>
      <c r="BK71" s="8" t="s">
        <v>494</v>
      </c>
      <c r="BL71" s="9">
        <v>2</v>
      </c>
      <c r="BN71" s="8" t="str">
        <f t="shared" si="12"/>
        <v>Barkskin</v>
      </c>
      <c r="BO71" s="8" t="str">
        <f>IF(AND(VLOOKUP(BK71,查询!$C$8:$E$15,3,FALSE)="启用",$B$1=BL71),BJ71,"")</f>
        <v>树肤术</v>
      </c>
      <c r="BP71" s="6" t="str">
        <f t="array" ref="BP71">INDEX(BN:BN,SMALL(IF(BN$1:BN$500&lt;&gt;"",ROW($1:$500),1000),ROW(BN71)))&amp;""</f>
        <v/>
      </c>
      <c r="BQ71" s="6" t="str">
        <f t="array" ref="BQ71">INDEX(BO:BO,SMALL(IF(BO$1:BO$500&lt;&gt;"",ROW($1:$500),1000),ROW(BO71)))&amp;""</f>
        <v/>
      </c>
      <c r="BS71" s="8" t="s">
        <v>2619</v>
      </c>
      <c r="BT71" s="8" t="s">
        <v>1454</v>
      </c>
      <c r="BU71" s="8" t="s">
        <v>494</v>
      </c>
      <c r="BV71" s="9">
        <v>3</v>
      </c>
      <c r="BX71" s="8" t="str">
        <f t="shared" si="13"/>
        <v/>
      </c>
      <c r="BY71" s="8" t="str">
        <f>IF(AND(VLOOKUP(BU71,查询!$C$8:$E$15,3,FALSE)="启用",$B$1=BV71),BT71,"")</f>
        <v/>
      </c>
      <c r="BZ71" s="6" t="str">
        <f t="array" ref="BZ71">INDEX(BX:BX,SMALL(IF(BX$1:BX$500&lt;&gt;"",ROW($1:$500),1000),ROW(BX71)))&amp;""</f>
        <v/>
      </c>
      <c r="CA71" s="6" t="str">
        <f t="array" ref="CA71">INDEX(BY:BY,SMALL(IF(BY$1:BY$500&lt;&gt;"",ROW($1:$500),1000),ROW(BY71)))&amp;""</f>
        <v/>
      </c>
    </row>
    <row r="72" spans="1:79">
      <c r="A72" s="8" t="s">
        <v>2211</v>
      </c>
      <c r="B72" s="8" t="s">
        <v>1650</v>
      </c>
      <c r="C72" s="8" t="s">
        <v>494</v>
      </c>
      <c r="D72" s="9">
        <v>1</v>
      </c>
      <c r="F72" s="8" t="str">
        <f t="shared" si="8"/>
        <v/>
      </c>
      <c r="G72" s="8" t="str">
        <f>IF(AND(VLOOKUP(C72,查询!$C$8:$E$15,3,FALSE)="启用",$B$1=D72),B72,"")</f>
        <v/>
      </c>
      <c r="H72" s="6" t="str">
        <f t="array" ref="H72">INDEX(F:F,SMALL(IF($F$1:$F$500&lt;&gt;"",ROW($1:$500),1000),ROW(F72)))&amp;""</f>
        <v/>
      </c>
      <c r="I72" s="6" t="str">
        <f t="array" ref="I72">INDEX(G:G,SMALL(IF($F$1:$F$500&lt;&gt;"",ROW($1:$500),1000),ROW(G72)))&amp;""</f>
        <v/>
      </c>
      <c r="K72" s="8" t="s">
        <v>2294</v>
      </c>
      <c r="L72" s="8" t="s">
        <v>1385</v>
      </c>
      <c r="M72" s="8" t="s">
        <v>494</v>
      </c>
      <c r="N72" s="9">
        <v>2</v>
      </c>
      <c r="P72" s="8" t="str">
        <f t="shared" si="9"/>
        <v>Scorching Ray</v>
      </c>
      <c r="Q72" s="8" t="str">
        <f>IF(AND(VLOOKUP(M72,查询!$C$8:$E$15,3,FALSE)="启用",$B$1=N72),L72,"")</f>
        <v>灼热射线</v>
      </c>
      <c r="R72" s="6" t="str">
        <f t="array" ref="R72">INDEX(P:P,SMALL(IF(P$1:P$500&lt;&gt;"",ROW($1:$500),1000),ROW(P72)))&amp;""</f>
        <v/>
      </c>
      <c r="S72" s="6" t="str">
        <f t="array" ref="S72">INDEX(Q:Q,SMALL(IF(Q$1:Q$500&lt;&gt;"",ROW($1:$500),1000),ROW(Q72)))&amp;""</f>
        <v/>
      </c>
      <c r="U72" s="8" t="s">
        <v>2799</v>
      </c>
      <c r="V72" s="8" t="s">
        <v>1539</v>
      </c>
      <c r="W72" s="8" t="s">
        <v>494</v>
      </c>
      <c r="X72" s="9">
        <v>4</v>
      </c>
      <c r="Z72" s="8" t="str">
        <f t="shared" si="10"/>
        <v/>
      </c>
      <c r="AA72" s="8" t="str">
        <f>IF(AND(VLOOKUP(W72,查询!$C$8:$E$15,3,FALSE)="启用",$B$1=X72),V72,"")</f>
        <v/>
      </c>
      <c r="AB72" s="6" t="str">
        <f t="array" ref="AB72">INDEX(Z:Z,SMALL(IF(Z$1:Z$500&lt;&gt;"",ROW($1:$500),1000),ROW(Z72)))&amp;""</f>
        <v/>
      </c>
      <c r="AC72" s="6" t="str">
        <f t="array" ref="AC72">INDEX(AA:AA,SMALL(IF(AA$1:AA$500&lt;&gt;"",ROW($1:$500),1000),ROW(AA72)))&amp;""</f>
        <v/>
      </c>
      <c r="AE72" s="8" t="s">
        <v>2841</v>
      </c>
      <c r="AF72" s="8" t="s">
        <v>1621</v>
      </c>
      <c r="AG72" s="8" t="s">
        <v>494</v>
      </c>
      <c r="AH72" s="9">
        <v>4</v>
      </c>
      <c r="AJ72" s="8" t="str">
        <f t="shared" si="11"/>
        <v/>
      </c>
      <c r="AK72" s="8" t="str">
        <f>IF(AND(VLOOKUP(AG72,查询!$C$8:$E$15,3,FALSE)="启用",$B$1=AH72),AF72,"")</f>
        <v/>
      </c>
      <c r="AL72" s="6" t="str">
        <f t="array" ref="AL72">INDEX(AJ:AJ,SMALL(IF(AJ$1:AJ$500&lt;&gt;"",ROW($1:$500),1000),ROW(AJ72)))&amp;""</f>
        <v/>
      </c>
      <c r="AM72" s="6" t="str">
        <f t="array" ref="AM72">INDEX(AK:AK,SMALL(IF(AK$1:AK$500&lt;&gt;"",ROW($1:$500),1000),ROW(AK72)))&amp;""</f>
        <v/>
      </c>
      <c r="AV72" s="6" t="str">
        <f t="array" ref="AV72">INDEX(AT:AT,SMALL(IF(AT$1:AT$500&lt;&gt;"",ROW($1:$500),1000),ROW(AT72)))&amp;""</f>
        <v/>
      </c>
      <c r="AW72" s="6" t="str">
        <f t="array" ref="AW72">INDEX(AU:AU,SMALL(IF(AU$1:AU$500&lt;&gt;"",ROW($1:$500),1000),ROW(AU72)))&amp;""</f>
        <v/>
      </c>
      <c r="BF72" s="6" t="str">
        <f t="array" ref="BF72">INDEX(BD:BD,SMALL(IF(BD$1:BD$500&lt;&gt;"",ROW($1:$500),1000),ROW(BD72)))&amp;""</f>
        <v/>
      </c>
      <c r="BG72" s="6" t="str">
        <f t="array" ref="BG72">INDEX(BE:BE,SMALL(IF(BE$1:BE$500&lt;&gt;"",ROW($1:$500),1000),ROW(BE72)))&amp;""</f>
        <v/>
      </c>
      <c r="BI72" s="8" t="s">
        <v>2479</v>
      </c>
      <c r="BJ72" s="8" t="s">
        <v>1680</v>
      </c>
      <c r="BK72" s="8" t="s">
        <v>494</v>
      </c>
      <c r="BL72" s="9">
        <v>2</v>
      </c>
      <c r="BN72" s="8" t="str">
        <f t="shared" si="12"/>
        <v>Beast Sense</v>
      </c>
      <c r="BO72" s="8" t="str">
        <f>IF(AND(VLOOKUP(BK72,查询!$C$8:$E$15,3,FALSE)="启用",$B$1=BL72),BJ72,"")</f>
        <v>野兽知觉</v>
      </c>
      <c r="BP72" s="6" t="str">
        <f t="array" ref="BP72">INDEX(BN:BN,SMALL(IF(BN$1:BN$500&lt;&gt;"",ROW($1:$500),1000),ROW(BN72)))&amp;""</f>
        <v/>
      </c>
      <c r="BQ72" s="6" t="str">
        <f t="array" ref="BQ72">INDEX(BO:BO,SMALL(IF(BO$1:BO$500&lt;&gt;"",ROW($1:$500),1000),ROW(BO72)))&amp;""</f>
        <v/>
      </c>
      <c r="BS72" s="8" t="s">
        <v>2623</v>
      </c>
      <c r="BT72" s="8" t="s">
        <v>1476</v>
      </c>
      <c r="BU72" s="8" t="s">
        <v>494</v>
      </c>
      <c r="BV72" s="9">
        <v>3</v>
      </c>
      <c r="BX72" s="8" t="str">
        <f t="shared" si="13"/>
        <v/>
      </c>
      <c r="BY72" s="8" t="str">
        <f>IF(AND(VLOOKUP(BU72,查询!$C$8:$E$15,3,FALSE)="启用",$B$1=BV72),BT72,"")</f>
        <v/>
      </c>
      <c r="BZ72" s="6" t="str">
        <f t="array" ref="BZ72">INDEX(BX:BX,SMALL(IF(BX$1:BX$500&lt;&gt;"",ROW($1:$500),1000),ROW(BX72)))&amp;""</f>
        <v/>
      </c>
      <c r="CA72" s="6" t="str">
        <f t="array" ref="CA72">INDEX(BY:BY,SMALL(IF(BY$1:BY$500&lt;&gt;"",ROW($1:$500),1000),ROW(BY72)))&amp;""</f>
        <v/>
      </c>
    </row>
    <row r="73" spans="1:79">
      <c r="A73" s="8" t="s">
        <v>2215</v>
      </c>
      <c r="B73" s="8" t="s">
        <v>1669</v>
      </c>
      <c r="C73" s="8" t="s">
        <v>494</v>
      </c>
      <c r="D73" s="9">
        <v>1</v>
      </c>
      <c r="F73" s="8" t="str">
        <f t="shared" si="8"/>
        <v/>
      </c>
      <c r="G73" s="8" t="str">
        <f>IF(AND(VLOOKUP(C73,查询!$C$8:$E$15,3,FALSE)="启用",$B$1=D73),B73,"")</f>
        <v/>
      </c>
      <c r="H73" s="6" t="str">
        <f t="array" ref="H73">INDEX(F:F,SMALL(IF($F$1:$F$500&lt;&gt;"",ROW($1:$500),1000),ROW(F73)))&amp;""</f>
        <v/>
      </c>
      <c r="I73" s="6" t="str">
        <f t="array" ref="I73">INDEX(G:G,SMALL(IF($F$1:$F$500&lt;&gt;"",ROW($1:$500),1000),ROW(G73)))&amp;""</f>
        <v/>
      </c>
      <c r="K73" s="8" t="s">
        <v>2260</v>
      </c>
      <c r="L73" s="8" t="s">
        <v>1725</v>
      </c>
      <c r="M73" s="8" t="s">
        <v>578</v>
      </c>
      <c r="N73" s="9">
        <v>2</v>
      </c>
      <c r="P73" s="8" t="str">
        <f t="shared" si="9"/>
        <v>Snilloc’s Snowball Swarm</v>
      </c>
      <c r="Q73" s="8" t="str">
        <f>IF(AND(VLOOKUP(M73,查询!$C$8:$E$15,3,FALSE)="启用",$B$1=N73),L73,"")</f>
        <v>史尼洛雪球群E</v>
      </c>
      <c r="R73" s="6" t="str">
        <f t="array" ref="R73">INDEX(P:P,SMALL(IF(P$1:P$500&lt;&gt;"",ROW($1:$500),1000),ROW(P73)))&amp;""</f>
        <v/>
      </c>
      <c r="S73" s="6" t="str">
        <f t="array" ref="S73">INDEX(Q:Q,SMALL(IF(Q$1:Q$500&lt;&gt;"",ROW($1:$500),1000),ROW(Q73)))&amp;""</f>
        <v/>
      </c>
      <c r="U73" s="8" t="s">
        <v>2820</v>
      </c>
      <c r="V73" s="8" t="s">
        <v>1576</v>
      </c>
      <c r="W73" s="8" t="s">
        <v>494</v>
      </c>
      <c r="X73" s="9">
        <v>4</v>
      </c>
      <c r="Z73" s="8" t="str">
        <f t="shared" si="10"/>
        <v/>
      </c>
      <c r="AA73" s="8" t="str">
        <f>IF(AND(VLOOKUP(W73,查询!$C$8:$E$15,3,FALSE)="启用",$B$1=X73),V73,"")</f>
        <v/>
      </c>
      <c r="AB73" s="6" t="str">
        <f t="array" ref="AB73">INDEX(Z:Z,SMALL(IF(Z$1:Z$500&lt;&gt;"",ROW($1:$500),1000),ROW(Z73)))&amp;""</f>
        <v/>
      </c>
      <c r="AC73" s="6" t="str">
        <f t="array" ref="AC73">INDEX(AA:AA,SMALL(IF(AA$1:AA$500&lt;&gt;"",ROW($1:$500),1000),ROW(AA73)))&amp;""</f>
        <v/>
      </c>
      <c r="AE73" s="8" t="s">
        <v>3004</v>
      </c>
      <c r="AF73" s="8" t="s">
        <v>1487</v>
      </c>
      <c r="AG73" s="8" t="s">
        <v>494</v>
      </c>
      <c r="AH73" s="9">
        <v>5</v>
      </c>
      <c r="AJ73" s="8" t="str">
        <f t="shared" si="11"/>
        <v/>
      </c>
      <c r="AK73" s="8" t="str">
        <f>IF(AND(VLOOKUP(AG73,查询!$C$8:$E$15,3,FALSE)="启用",$B$1=AH73),AF73,"")</f>
        <v/>
      </c>
      <c r="AL73" s="6" t="str">
        <f t="array" ref="AL73">INDEX(AJ:AJ,SMALL(IF(AJ$1:AJ$500&lt;&gt;"",ROW($1:$500),1000),ROW(AJ73)))&amp;""</f>
        <v/>
      </c>
      <c r="AM73" s="6" t="str">
        <f t="array" ref="AM73">INDEX(AK:AK,SMALL(IF(AK$1:AK$500&lt;&gt;"",ROW($1:$500),1000),ROW(AK73)))&amp;""</f>
        <v/>
      </c>
      <c r="AV73" s="6" t="str">
        <f t="array" ref="AV73">INDEX(AT:AT,SMALL(IF(AT$1:AT$500&lt;&gt;"",ROW($1:$500),1000),ROW(AT73)))&amp;""</f>
        <v/>
      </c>
      <c r="AW73" s="6" t="str">
        <f t="array" ref="AW73">INDEX(AU:AU,SMALL(IF(AU$1:AU$500&lt;&gt;"",ROW($1:$500),1000),ROW(AU73)))&amp;""</f>
        <v/>
      </c>
      <c r="BF73" s="6" t="str">
        <f t="array" ref="BF73">INDEX(BD:BD,SMALL(IF(BD$1:BD$500&lt;&gt;"",ROW($1:$500),1000),ROW(BD73)))&amp;""</f>
        <v/>
      </c>
      <c r="BG73" s="6" t="str">
        <f t="array" ref="BG73">INDEX(BE:BE,SMALL(IF(BE$1:BE$500&lt;&gt;"",ROW($1:$500),1000),ROW(BE73)))&amp;""</f>
        <v/>
      </c>
      <c r="BI73" s="8" t="s">
        <v>2481</v>
      </c>
      <c r="BJ73" s="8" t="s">
        <v>1686</v>
      </c>
      <c r="BK73" s="8" t="s">
        <v>494</v>
      </c>
      <c r="BL73" s="9">
        <v>2</v>
      </c>
      <c r="BN73" s="8" t="str">
        <f t="shared" si="12"/>
        <v>Pass without Trace</v>
      </c>
      <c r="BO73" s="8" t="str">
        <f>IF(AND(VLOOKUP(BK73,查询!$C$8:$E$15,3,FALSE)="启用",$B$1=BL73),BJ73,"")</f>
        <v>行动无踪</v>
      </c>
      <c r="BP73" s="6" t="str">
        <f t="array" ref="BP73">INDEX(BN:BN,SMALL(IF(BN$1:BN$500&lt;&gt;"",ROW($1:$500),1000),ROW(BN73)))&amp;""</f>
        <v/>
      </c>
      <c r="BQ73" s="6" t="str">
        <f t="array" ref="BQ73">INDEX(BO:BO,SMALL(IF(BO$1:BO$500&lt;&gt;"",ROW($1:$500),1000),ROW(BO73)))&amp;""</f>
        <v/>
      </c>
      <c r="BS73" s="8" t="s">
        <v>2627</v>
      </c>
      <c r="BT73" s="8" t="s">
        <v>1482</v>
      </c>
      <c r="BU73" s="8" t="s">
        <v>494</v>
      </c>
      <c r="BV73" s="9">
        <v>3</v>
      </c>
      <c r="BX73" s="8" t="str">
        <f t="shared" si="13"/>
        <v/>
      </c>
      <c r="BY73" s="8" t="str">
        <f>IF(AND(VLOOKUP(BU73,查询!$C$8:$E$15,3,FALSE)="启用",$B$1=BV73),BT73,"")</f>
        <v/>
      </c>
      <c r="BZ73" s="6" t="str">
        <f t="array" ref="BZ73">INDEX(BX:BX,SMALL(IF(BX$1:BX$500&lt;&gt;"",ROW($1:$500),1000),ROW(BX73)))&amp;""</f>
        <v/>
      </c>
      <c r="CA73" s="6" t="str">
        <f t="array" ref="CA73">INDEX(BY:BY,SMALL(IF(BY$1:BY$500&lt;&gt;"",ROW($1:$500),1000),ROW(BY73)))&amp;""</f>
        <v/>
      </c>
    </row>
    <row r="74" spans="1:79">
      <c r="A74" s="8" t="s">
        <v>1975</v>
      </c>
      <c r="B74" s="8" t="s">
        <v>1326</v>
      </c>
      <c r="C74" s="8" t="s">
        <v>1249</v>
      </c>
      <c r="D74" s="9">
        <v>1</v>
      </c>
      <c r="F74" s="8" t="str">
        <f t="shared" si="8"/>
        <v/>
      </c>
      <c r="G74" s="8" t="str">
        <f>IF(AND(VLOOKUP(C74,查询!$C$8:$E$15,3,FALSE)="启用",$B$1=D74),B74,"")</f>
        <v/>
      </c>
      <c r="H74" s="6" t="str">
        <f t="array" ref="H74">INDEX(F:F,SMALL(IF($F$1:$F$500&lt;&gt;"",ROW($1:$500),1000),ROW(F74)))&amp;""</f>
        <v/>
      </c>
      <c r="I74" s="6" t="str">
        <f t="array" ref="I74">INDEX(G:G,SMALL(IF($F$1:$F$500&lt;&gt;"",ROW($1:$500),1000),ROW(G74)))&amp;""</f>
        <v/>
      </c>
      <c r="K74" s="8" t="s">
        <v>2260</v>
      </c>
      <c r="L74" s="8" t="s">
        <v>1286</v>
      </c>
      <c r="M74" s="8" t="s">
        <v>1249</v>
      </c>
      <c r="N74" s="9">
        <v>2</v>
      </c>
      <c r="P74" s="8" t="str">
        <f t="shared" si="9"/>
        <v>Snilloc’s Snowball Swarm</v>
      </c>
      <c r="Q74" s="8" t="str">
        <f>IF(AND(VLOOKUP(M74,查询!$C$8:$E$15,3,FALSE)="启用",$B$1=N74),L74,"")</f>
        <v>史尼洛雪球群</v>
      </c>
      <c r="R74" s="6" t="str">
        <f t="array" ref="R74">INDEX(P:P,SMALL(IF(P$1:P$500&lt;&gt;"",ROW($1:$500),1000),ROW(P74)))&amp;""</f>
        <v/>
      </c>
      <c r="S74" s="6" t="str">
        <f t="array" ref="S74">INDEX(Q:Q,SMALL(IF(Q$1:Q$500&lt;&gt;"",ROW($1:$500),1000),ROW(Q74)))&amp;""</f>
        <v/>
      </c>
      <c r="U74" s="8" t="s">
        <v>2774</v>
      </c>
      <c r="V74" s="8" t="s">
        <v>1316</v>
      </c>
      <c r="W74" s="8" t="s">
        <v>1249</v>
      </c>
      <c r="X74" s="9">
        <v>4</v>
      </c>
      <c r="Z74" s="8" t="str">
        <f t="shared" si="10"/>
        <v/>
      </c>
      <c r="AA74" s="8" t="str">
        <f>IF(AND(VLOOKUP(W74,查询!$C$8:$E$15,3,FALSE)="启用",$B$1=X74),V74,"")</f>
        <v/>
      </c>
      <c r="AB74" s="6" t="str">
        <f t="array" ref="AB74">INDEX(Z:Z,SMALL(IF(Z$1:Z$500&lt;&gt;"",ROW($1:$500),1000),ROW(Z74)))&amp;""</f>
        <v/>
      </c>
      <c r="AC74" s="6" t="str">
        <f t="array" ref="AC74">INDEX(AA:AA,SMALL(IF(AA$1:AA$500&lt;&gt;"",ROW($1:$500),1000),ROW(AA74)))&amp;""</f>
        <v/>
      </c>
      <c r="AE74" s="8" t="s">
        <v>3008</v>
      </c>
      <c r="AF74" s="8" t="s">
        <v>1491</v>
      </c>
      <c r="AG74" s="8" t="s">
        <v>494</v>
      </c>
      <c r="AH74" s="9">
        <v>5</v>
      </c>
      <c r="AJ74" s="8" t="str">
        <f t="shared" si="11"/>
        <v/>
      </c>
      <c r="AK74" s="8" t="str">
        <f>IF(AND(VLOOKUP(AG74,查询!$C$8:$E$15,3,FALSE)="启用",$B$1=AH74),AF74,"")</f>
        <v/>
      </c>
      <c r="AL74" s="6" t="str">
        <f t="array" ref="AL74">INDEX(AJ:AJ,SMALL(IF(AJ$1:AJ$500&lt;&gt;"",ROW($1:$500),1000),ROW(AJ74)))&amp;""</f>
        <v/>
      </c>
      <c r="AM74" s="6" t="str">
        <f t="array" ref="AM74">INDEX(AK:AK,SMALL(IF(AK$1:AK$500&lt;&gt;"",ROW($1:$500),1000),ROW(AK74)))&amp;""</f>
        <v/>
      </c>
      <c r="AV74" s="6" t="str">
        <f t="array" ref="AV74">INDEX(AT:AT,SMALL(IF(AT$1:AT$500&lt;&gt;"",ROW($1:$500),1000),ROW(AT74)))&amp;""</f>
        <v/>
      </c>
      <c r="AW74" s="6" t="str">
        <f t="array" ref="AW74">INDEX(AU:AU,SMALL(IF(AU$1:AU$500&lt;&gt;"",ROW($1:$500),1000),ROW(AU74)))&amp;""</f>
        <v/>
      </c>
      <c r="BF74" s="6" t="str">
        <f t="array" ref="BF74">INDEX(BD:BD,SMALL(IF(BD$1:BD$500&lt;&gt;"",ROW($1:$500),1000),ROW(BD74)))&amp;""</f>
        <v/>
      </c>
      <c r="BG74" s="6" t="str">
        <f t="array" ref="BG74">INDEX(BE:BE,SMALL(IF(BE$1:BE$500&lt;&gt;"",ROW($1:$500),1000),ROW(BE74)))&amp;""</f>
        <v/>
      </c>
      <c r="BI74" s="8" t="s">
        <v>2485</v>
      </c>
      <c r="BJ74" s="8" t="s">
        <v>1687</v>
      </c>
      <c r="BK74" s="8" t="s">
        <v>494</v>
      </c>
      <c r="BL74" s="9">
        <v>2</v>
      </c>
      <c r="BN74" s="8" t="str">
        <f t="shared" si="12"/>
        <v>Spike Growth</v>
      </c>
      <c r="BO74" s="8" t="str">
        <f>IF(AND(VLOOKUP(BK74,查询!$C$8:$E$15,3,FALSE)="启用",$B$1=BL74),BJ74,"")</f>
        <v>荆棘丛生</v>
      </c>
      <c r="BP74" s="6" t="str">
        <f t="array" ref="BP74">INDEX(BN:BN,SMALL(IF(BN$1:BN$500&lt;&gt;"",ROW($1:$500),1000),ROW(BN74)))&amp;""</f>
        <v/>
      </c>
      <c r="BQ74" s="6" t="str">
        <f t="array" ref="BQ74">INDEX(BO:BO,SMALL(IF(BO$1:BO$500&lt;&gt;"",ROW($1:$500),1000),ROW(BO74)))&amp;""</f>
        <v/>
      </c>
      <c r="BS74" s="8" t="s">
        <v>2633</v>
      </c>
      <c r="BT74" s="8" t="s">
        <v>1485</v>
      </c>
      <c r="BU74" s="8" t="s">
        <v>494</v>
      </c>
      <c r="BV74" s="9">
        <v>3</v>
      </c>
      <c r="BX74" s="8" t="str">
        <f t="shared" si="13"/>
        <v/>
      </c>
      <c r="BY74" s="8" t="str">
        <f>IF(AND(VLOOKUP(BU74,查询!$C$8:$E$15,3,FALSE)="启用",$B$1=BV74),BT74,"")</f>
        <v/>
      </c>
      <c r="BZ74" s="6" t="str">
        <f t="array" ref="BZ74">INDEX(BX:BX,SMALL(IF(BX$1:BX$500&lt;&gt;"",ROW($1:$500),1000),ROW(BX74)))&amp;""</f>
        <v/>
      </c>
      <c r="CA74" s="6" t="str">
        <f t="array" ref="CA74">INDEX(BY:BY,SMALL(IF(BY$1:BY$500&lt;&gt;"",ROW($1:$500),1000),ROW(BY74)))&amp;""</f>
        <v/>
      </c>
    </row>
    <row r="75" spans="1:79">
      <c r="A75" s="8" t="s">
        <v>1991</v>
      </c>
      <c r="B75" s="8" t="s">
        <v>1744</v>
      </c>
      <c r="C75" s="8" t="s">
        <v>578</v>
      </c>
      <c r="D75" s="9">
        <v>1</v>
      </c>
      <c r="F75" s="8" t="str">
        <f t="shared" si="8"/>
        <v/>
      </c>
      <c r="G75" s="8" t="str">
        <f>IF(AND(VLOOKUP(C75,查询!$C$8:$E$15,3,FALSE)="启用",$B$1=D75),B75,"")</f>
        <v/>
      </c>
      <c r="H75" s="6" t="str">
        <f t="array" ref="H75">INDEX(F:F,SMALL(IF($F$1:$F$500&lt;&gt;"",ROW($1:$500),1000),ROW(F75)))&amp;""</f>
        <v/>
      </c>
      <c r="I75" s="6" t="str">
        <f t="array" ref="I75">INDEX(G:G,SMALL(IF($F$1:$F$500&lt;&gt;"",ROW($1:$500),1000),ROW(G75)))&amp;""</f>
        <v/>
      </c>
      <c r="K75" s="8" t="s">
        <v>2296</v>
      </c>
      <c r="L75" s="8" t="s">
        <v>1390</v>
      </c>
      <c r="M75" s="8" t="s">
        <v>494</v>
      </c>
      <c r="N75" s="9">
        <v>2</v>
      </c>
      <c r="P75" s="8" t="str">
        <f t="shared" si="9"/>
        <v>Darkness</v>
      </c>
      <c r="Q75" s="8" t="str">
        <f>IF(AND(VLOOKUP(M75,查询!$C$8:$E$15,3,FALSE)="启用",$B$1=N75),L75,"")</f>
        <v>黑暗术</v>
      </c>
      <c r="R75" s="6" t="str">
        <f t="array" ref="R75">INDEX(P:P,SMALL(IF(P$1:P$500&lt;&gt;"",ROW($1:$500),1000),ROW(P75)))&amp;""</f>
        <v/>
      </c>
      <c r="S75" s="6" t="str">
        <f t="array" ref="S75">INDEX(Q:Q,SMALL(IF(Q$1:Q$500&lt;&gt;"",ROW($1:$500),1000),ROW(Q75)))&amp;""</f>
        <v/>
      </c>
      <c r="U75" s="8" t="s">
        <v>2781</v>
      </c>
      <c r="V75" s="8" t="s">
        <v>1751</v>
      </c>
      <c r="W75" s="8" t="s">
        <v>578</v>
      </c>
      <c r="X75" s="9">
        <v>4</v>
      </c>
      <c r="Z75" s="8" t="str">
        <f t="shared" si="10"/>
        <v/>
      </c>
      <c r="AA75" s="8" t="str">
        <f>IF(AND(VLOOKUP(W75,查询!$C$8:$E$15,3,FALSE)="启用",$B$1=X75),V75,"")</f>
        <v/>
      </c>
      <c r="AB75" s="6" t="str">
        <f t="array" ref="AB75">INDEX(Z:Z,SMALL(IF(Z$1:Z$500&lt;&gt;"",ROW($1:$500),1000),ROW(Z75)))&amp;""</f>
        <v/>
      </c>
      <c r="AC75" s="6" t="str">
        <f t="array" ref="AC75">INDEX(AA:AA,SMALL(IF(AA$1:AA$500&lt;&gt;"",ROW($1:$500),1000),ROW(AA75)))&amp;""</f>
        <v/>
      </c>
      <c r="AE75" s="8" t="s">
        <v>3013</v>
      </c>
      <c r="AF75" s="8" t="s">
        <v>1495</v>
      </c>
      <c r="AG75" s="8" t="s">
        <v>494</v>
      </c>
      <c r="AH75" s="9">
        <v>5</v>
      </c>
      <c r="AJ75" s="8" t="str">
        <f t="shared" si="11"/>
        <v/>
      </c>
      <c r="AK75" s="8" t="str">
        <f>IF(AND(VLOOKUP(AG75,查询!$C$8:$E$15,3,FALSE)="启用",$B$1=AH75),AF75,"")</f>
        <v/>
      </c>
      <c r="AL75" s="6" t="str">
        <f t="array" ref="AL75">INDEX(AJ:AJ,SMALL(IF(AJ$1:AJ$500&lt;&gt;"",ROW($1:$500),1000),ROW(AJ75)))&amp;""</f>
        <v/>
      </c>
      <c r="AM75" s="6" t="str">
        <f t="array" ref="AM75">INDEX(AK:AK,SMALL(IF(AK$1:AK$500&lt;&gt;"",ROW($1:$500),1000),ROW(AK75)))&amp;""</f>
        <v/>
      </c>
      <c r="AV75" s="6" t="str">
        <f t="array" ref="AV75">INDEX(AT:AT,SMALL(IF(AT$1:AT$500&lt;&gt;"",ROW($1:$500),1000),ROW(AT75)))&amp;""</f>
        <v/>
      </c>
      <c r="AW75" s="6" t="str">
        <f t="array" ref="AW75">INDEX(AU:AU,SMALL(IF(AU$1:AU$500&lt;&gt;"",ROW($1:$500),1000),ROW(AU75)))&amp;""</f>
        <v/>
      </c>
      <c r="BF75" s="6" t="str">
        <f t="array" ref="BF75">INDEX(BD:BD,SMALL(IF(BD$1:BD$500&lt;&gt;"",ROW($1:$500),1000),ROW(BD75)))&amp;""</f>
        <v/>
      </c>
      <c r="BG75" s="6" t="str">
        <f t="array" ref="BG75">INDEX(BE:BE,SMALL(IF(BE$1:BE$500&lt;&gt;"",ROW($1:$500),1000),ROW(BE75)))&amp;""</f>
        <v/>
      </c>
      <c r="BI75" s="8" t="s">
        <v>2489</v>
      </c>
      <c r="BJ75" s="8" t="s">
        <v>1693</v>
      </c>
      <c r="BK75" s="8" t="s">
        <v>494</v>
      </c>
      <c r="BL75" s="9">
        <v>2</v>
      </c>
      <c r="BN75" s="8" t="str">
        <f t="shared" si="12"/>
        <v>Gust of Wind</v>
      </c>
      <c r="BO75" s="8" t="str">
        <f>IF(AND(VLOOKUP(BK75,查询!$C$8:$E$15,3,FALSE)="启用",$B$1=BL75),BJ75,"")</f>
        <v>造风术</v>
      </c>
      <c r="BP75" s="6" t="str">
        <f t="array" ref="BP75">INDEX(BN:BN,SMALL(IF(BN$1:BN$500&lt;&gt;"",ROW($1:$500),1000),ROW(BN75)))&amp;""</f>
        <v/>
      </c>
      <c r="BQ75" s="6" t="str">
        <f t="array" ref="BQ75">INDEX(BO:BO,SMALL(IF(BO$1:BO$500&lt;&gt;"",ROW($1:$500),1000),ROW(BO75)))&amp;""</f>
        <v/>
      </c>
      <c r="BS75" s="8" t="s">
        <v>2638</v>
      </c>
      <c r="BT75" s="8" t="s">
        <v>1489</v>
      </c>
      <c r="BU75" s="8" t="s">
        <v>494</v>
      </c>
      <c r="BV75" s="9">
        <v>3</v>
      </c>
      <c r="BX75" s="8" t="str">
        <f t="shared" si="13"/>
        <v/>
      </c>
      <c r="BY75" s="8" t="str">
        <f>IF(AND(VLOOKUP(BU75,查询!$C$8:$E$15,3,FALSE)="启用",$B$1=BV75),BT75,"")</f>
        <v/>
      </c>
      <c r="BZ75" s="6" t="str">
        <f t="array" ref="BZ75">INDEX(BX:BX,SMALL(IF(BX$1:BX$500&lt;&gt;"",ROW($1:$500),1000),ROW(BX75)))&amp;""</f>
        <v/>
      </c>
      <c r="CA75" s="6" t="str">
        <f t="array" ref="CA75">INDEX(BY:BY,SMALL(IF(BY$1:BY$500&lt;&gt;"",ROW($1:$500),1000),ROW(BY75)))&amp;""</f>
        <v/>
      </c>
    </row>
    <row r="76" spans="1:79">
      <c r="A76" s="8" t="s">
        <v>1991</v>
      </c>
      <c r="B76" s="8" t="s">
        <v>1343</v>
      </c>
      <c r="C76" s="8" t="s">
        <v>1249</v>
      </c>
      <c r="D76" s="9">
        <v>1</v>
      </c>
      <c r="F76" s="8" t="str">
        <f t="shared" si="8"/>
        <v/>
      </c>
      <c r="G76" s="8" t="str">
        <f>IF(AND(VLOOKUP(C76,查询!$C$8:$E$15,3,FALSE)="启用",$B$1=D76),B76,"")</f>
        <v/>
      </c>
      <c r="H76" s="6" t="str">
        <f t="array" ref="H76">INDEX(F:F,SMALL(IF($F$1:$F$500&lt;&gt;"",ROW($1:$500),1000),ROW(F76)))&amp;""</f>
        <v/>
      </c>
      <c r="I76" s="6" t="str">
        <f t="array" ref="I76">INDEX(G:G,SMALL(IF($F$1:$F$500&lt;&gt;"",ROW($1:$500),1000),ROW(G76)))&amp;""</f>
        <v/>
      </c>
      <c r="K76" s="8" t="s">
        <v>2300</v>
      </c>
      <c r="L76" s="8" t="s">
        <v>1395</v>
      </c>
      <c r="M76" s="8" t="s">
        <v>494</v>
      </c>
      <c r="N76" s="9">
        <v>2</v>
      </c>
      <c r="P76" s="8" t="str">
        <f t="shared" si="9"/>
        <v>Mirror Image</v>
      </c>
      <c r="Q76" s="8" t="str">
        <f>IF(AND(VLOOKUP(M76,查询!$C$8:$E$15,3,FALSE)="启用",$B$1=N76),L76,"")</f>
        <v>镜影术</v>
      </c>
      <c r="R76" s="6" t="str">
        <f t="array" ref="R76">INDEX(P:P,SMALL(IF(P$1:P$500&lt;&gt;"",ROW($1:$500),1000),ROW(P76)))&amp;""</f>
        <v/>
      </c>
      <c r="S76" s="6" t="str">
        <f t="array" ref="S76">INDEX(Q:Q,SMALL(IF(Q$1:Q$500&lt;&gt;"",ROW($1:$500),1000),ROW(Q76)))&amp;""</f>
        <v/>
      </c>
      <c r="U76" s="8" t="s">
        <v>2781</v>
      </c>
      <c r="V76" s="8" t="s">
        <v>1350</v>
      </c>
      <c r="W76" s="8" t="s">
        <v>1249</v>
      </c>
      <c r="X76" s="9">
        <v>4</v>
      </c>
      <c r="Z76" s="8" t="str">
        <f t="shared" si="10"/>
        <v/>
      </c>
      <c r="AA76" s="8" t="str">
        <f>IF(AND(VLOOKUP(W76,查询!$C$8:$E$15,3,FALSE)="启用",$B$1=X76),V76,"")</f>
        <v/>
      </c>
      <c r="AB76" s="6" t="str">
        <f t="array" ref="AB76">INDEX(Z:Z,SMALL(IF(Z$1:Z$500&lt;&gt;"",ROW($1:$500),1000),ROW(Z76)))&amp;""</f>
        <v/>
      </c>
      <c r="AC76" s="6" t="str">
        <f t="array" ref="AC76">INDEX(AA:AA,SMALL(IF(AA$1:AA$500&lt;&gt;"",ROW($1:$500),1000),ROW(AA76)))&amp;""</f>
        <v/>
      </c>
      <c r="AE76" s="8" t="s">
        <v>3019</v>
      </c>
      <c r="AF76" s="8" t="s">
        <v>1505</v>
      </c>
      <c r="AG76" s="8" t="s">
        <v>494</v>
      </c>
      <c r="AH76" s="9">
        <v>5</v>
      </c>
      <c r="AJ76" s="8" t="str">
        <f t="shared" si="11"/>
        <v/>
      </c>
      <c r="AK76" s="8" t="str">
        <f>IF(AND(VLOOKUP(AG76,查询!$C$8:$E$15,3,FALSE)="启用",$B$1=AH76),AF76,"")</f>
        <v/>
      </c>
      <c r="AL76" s="6" t="str">
        <f t="array" ref="AL76">INDEX(AJ:AJ,SMALL(IF(AJ$1:AJ$500&lt;&gt;"",ROW($1:$500),1000),ROW(AJ76)))&amp;""</f>
        <v/>
      </c>
      <c r="AM76" s="6" t="str">
        <f t="array" ref="AM76">INDEX(AK:AK,SMALL(IF(AK$1:AK$500&lt;&gt;"",ROW($1:$500),1000),ROW(AK76)))&amp;""</f>
        <v/>
      </c>
      <c r="AV76" s="6" t="str">
        <f t="array" ref="AV76">INDEX(AT:AT,SMALL(IF(AT$1:AT$500&lt;&gt;"",ROW($1:$500),1000),ROW(AT76)))&amp;""</f>
        <v/>
      </c>
      <c r="AW76" s="6" t="str">
        <f t="array" ref="AW76">INDEX(AU:AU,SMALL(IF(AU$1:AU$500&lt;&gt;"",ROW($1:$500),1000),ROW(AU76)))&amp;""</f>
        <v/>
      </c>
      <c r="BF76" s="6" t="str">
        <f t="array" ref="BF76">INDEX(BD:BD,SMALL(IF(BD$1:BD$500&lt;&gt;"",ROW($1:$500),1000),ROW(BD76)))&amp;""</f>
        <v/>
      </c>
      <c r="BG76" s="6" t="str">
        <f t="array" ref="BG76">INDEX(BE:BE,SMALL(IF(BE$1:BE$500&lt;&gt;"",ROW($1:$500),1000),ROW(BE76)))&amp;""</f>
        <v/>
      </c>
      <c r="BI76" s="8" t="s">
        <v>2494</v>
      </c>
      <c r="BJ76" s="8" t="s">
        <v>1711</v>
      </c>
      <c r="BK76" s="8" t="s">
        <v>494</v>
      </c>
      <c r="BL76" s="9">
        <v>2</v>
      </c>
      <c r="BN76" s="8" t="str">
        <f t="shared" si="12"/>
        <v>Flame Blade</v>
      </c>
      <c r="BO76" s="8" t="str">
        <f>IF(AND(VLOOKUP(BK76,查询!$C$8:$E$15,3,FALSE)="启用",$B$1=BL76),BJ76,"")</f>
        <v>火焰刀</v>
      </c>
      <c r="BP76" s="6" t="str">
        <f t="array" ref="BP76">INDEX(BN:BN,SMALL(IF(BN$1:BN$500&lt;&gt;"",ROW($1:$500),1000),ROW(BN76)))&amp;""</f>
        <v/>
      </c>
      <c r="BQ76" s="6" t="str">
        <f t="array" ref="BQ76">INDEX(BO:BO,SMALL(IF(BO$1:BO$500&lt;&gt;"",ROW($1:$500),1000),ROW(BO76)))&amp;""</f>
        <v/>
      </c>
      <c r="BS76" s="8" t="s">
        <v>2641</v>
      </c>
      <c r="BT76" s="8" t="s">
        <v>1490</v>
      </c>
      <c r="BU76" s="8" t="s">
        <v>494</v>
      </c>
      <c r="BV76" s="9">
        <v>3</v>
      </c>
      <c r="BX76" s="8" t="str">
        <f t="shared" si="13"/>
        <v/>
      </c>
      <c r="BY76" s="8" t="str">
        <f>IF(AND(VLOOKUP(BU76,查询!$C$8:$E$15,3,FALSE)="启用",$B$1=BV76),BT76,"")</f>
        <v/>
      </c>
      <c r="BZ76" s="6" t="str">
        <f t="array" ref="BZ76">INDEX(BX:BX,SMALL(IF(BX$1:BX$500&lt;&gt;"",ROW($1:$500),1000),ROW(BX76)))&amp;""</f>
        <v/>
      </c>
      <c r="CA76" s="6" t="str">
        <f t="array" ref="CA76">INDEX(BY:BY,SMALL(IF(BY$1:BY$500&lt;&gt;"",ROW($1:$500),1000),ROW(BY76)))&amp;""</f>
        <v/>
      </c>
    </row>
    <row r="77" spans="1:79">
      <c r="A77" s="8" t="s">
        <v>2219</v>
      </c>
      <c r="B77" s="8" t="s">
        <v>1675</v>
      </c>
      <c r="C77" s="8" t="s">
        <v>494</v>
      </c>
      <c r="D77" s="9">
        <v>1</v>
      </c>
      <c r="F77" s="8" t="str">
        <f t="shared" si="8"/>
        <v/>
      </c>
      <c r="G77" s="8" t="str">
        <f>IF(AND(VLOOKUP(C77,查询!$C$8:$E$15,3,FALSE)="启用",$B$1=D77),B77,"")</f>
        <v/>
      </c>
      <c r="H77" s="6" t="str">
        <f t="array" ref="H77">INDEX(F:F,SMALL(IF($F$1:$F$500&lt;&gt;"",ROW($1:$500),1000),ROW(F77)))&amp;""</f>
        <v/>
      </c>
      <c r="I77" s="6" t="str">
        <f t="array" ref="I77">INDEX(G:G,SMALL(IF($F$1:$F$500&lt;&gt;"",ROW($1:$500),1000),ROW(G77)))&amp;""</f>
        <v/>
      </c>
      <c r="K77" s="8" t="s">
        <v>2302</v>
      </c>
      <c r="L77" s="8" t="s">
        <v>1396</v>
      </c>
      <c r="M77" s="8" t="s">
        <v>494</v>
      </c>
      <c r="N77" s="9">
        <v>2</v>
      </c>
      <c r="P77" s="8" t="str">
        <f t="shared" si="9"/>
        <v>Misty Step</v>
      </c>
      <c r="Q77" s="8" t="str">
        <f>IF(AND(VLOOKUP(M77,查询!$C$8:$E$15,3,FALSE)="启用",$B$1=N77),L77,"")</f>
        <v>迷踪步</v>
      </c>
      <c r="R77" s="6" t="str">
        <f t="array" ref="R77">INDEX(P:P,SMALL(IF(P$1:P$500&lt;&gt;"",ROW($1:$500),1000),ROW(P77)))&amp;""</f>
        <v/>
      </c>
      <c r="S77" s="6" t="str">
        <f t="array" ref="S77">INDEX(Q:Q,SMALL(IF(Q$1:Q$500&lt;&gt;"",ROW($1:$500),1000),ROW(Q77)))&amp;""</f>
        <v/>
      </c>
      <c r="U77" s="8" t="s">
        <v>2886</v>
      </c>
      <c r="V77" s="8" t="s">
        <v>1691</v>
      </c>
      <c r="W77" s="8" t="s">
        <v>494</v>
      </c>
      <c r="X77" s="9">
        <v>4</v>
      </c>
      <c r="Z77" s="8" t="str">
        <f t="shared" si="10"/>
        <v/>
      </c>
      <c r="AA77" s="8" t="str">
        <f>IF(AND(VLOOKUP(W77,查询!$C$8:$E$15,3,FALSE)="启用",$B$1=X77),V77,"")</f>
        <v/>
      </c>
      <c r="AB77" s="6" t="str">
        <f t="array" ref="AB77">INDEX(Z:Z,SMALL(IF(Z$1:Z$500&lt;&gt;"",ROW($1:$500),1000),ROW(Z77)))&amp;""</f>
        <v/>
      </c>
      <c r="AC77" s="6" t="str">
        <f t="array" ref="AC77">INDEX(AA:AA,SMALL(IF(AA$1:AA$500&lt;&gt;"",ROW($1:$500),1000),ROW(AA77)))&amp;""</f>
        <v/>
      </c>
      <c r="AE77" s="8" t="s">
        <v>3023</v>
      </c>
      <c r="AF77" s="8" t="s">
        <v>1507</v>
      </c>
      <c r="AG77" s="8" t="s">
        <v>494</v>
      </c>
      <c r="AH77" s="9">
        <v>5</v>
      </c>
      <c r="AJ77" s="8" t="str">
        <f t="shared" si="11"/>
        <v/>
      </c>
      <c r="AK77" s="8" t="str">
        <f>IF(AND(VLOOKUP(AG77,查询!$C$8:$E$15,3,FALSE)="启用",$B$1=AH77),AF77,"")</f>
        <v/>
      </c>
      <c r="AL77" s="6" t="str">
        <f t="array" ref="AL77">INDEX(AJ:AJ,SMALL(IF(AJ$1:AJ$500&lt;&gt;"",ROW($1:$500),1000),ROW(AJ77)))&amp;""</f>
        <v/>
      </c>
      <c r="AM77" s="6" t="str">
        <f t="array" ref="AM77">INDEX(AK:AK,SMALL(IF(AK$1:AK$500&lt;&gt;"",ROW($1:$500),1000),ROW(AK77)))&amp;""</f>
        <v/>
      </c>
      <c r="AV77" s="6" t="str">
        <f t="array" ref="AV77">INDEX(AT:AT,SMALL(IF(AT$1:AT$500&lt;&gt;"",ROW($1:$500),1000),ROW(AT77)))&amp;""</f>
        <v/>
      </c>
      <c r="AW77" s="6" t="str">
        <f t="array" ref="AW77">INDEX(AU:AU,SMALL(IF(AU$1:AU$500&lt;&gt;"",ROW($1:$500),1000),ROW(AU77)))&amp;""</f>
        <v/>
      </c>
      <c r="BF77" s="6" t="str">
        <f t="array" ref="BF77">INDEX(BD:BD,SMALL(IF(BD$1:BD$500&lt;&gt;"",ROW($1:$500),1000),ROW(BD77)))&amp;""</f>
        <v/>
      </c>
      <c r="BG77" s="6" t="str">
        <f t="array" ref="BG77">INDEX(BE:BE,SMALL(IF(BE$1:BE$500&lt;&gt;"",ROW($1:$500),1000),ROW(BE77)))&amp;""</f>
        <v/>
      </c>
      <c r="BI77" s="8" t="s">
        <v>2498</v>
      </c>
      <c r="BJ77" s="8" t="s">
        <v>1713</v>
      </c>
      <c r="BK77" s="8" t="s">
        <v>494</v>
      </c>
      <c r="BL77" s="9">
        <v>2</v>
      </c>
      <c r="BN77" s="8" t="str">
        <f t="shared" si="12"/>
        <v>Moonbeam</v>
      </c>
      <c r="BO77" s="8" t="str">
        <f>IF(AND(VLOOKUP(BK77,查询!$C$8:$E$15,3,FALSE)="启用",$B$1=BL77),BJ77,"")</f>
        <v>月华之光</v>
      </c>
      <c r="BP77" s="6" t="str">
        <f t="array" ref="BP77">INDEX(BN:BN,SMALL(IF(BN$1:BN$500&lt;&gt;"",ROW($1:$500),1000),ROW(BN77)))&amp;""</f>
        <v/>
      </c>
      <c r="BQ77" s="6" t="str">
        <f t="array" ref="BQ77">INDEX(BO:BO,SMALL(IF(BO$1:BO$500&lt;&gt;"",ROW($1:$500),1000),ROW(BO77)))&amp;""</f>
        <v/>
      </c>
      <c r="BS77" s="8" t="s">
        <v>2646</v>
      </c>
      <c r="BT77" s="8" t="s">
        <v>1492</v>
      </c>
      <c r="BU77" s="8" t="s">
        <v>494</v>
      </c>
      <c r="BV77" s="9">
        <v>3</v>
      </c>
      <c r="BX77" s="8" t="str">
        <f t="shared" si="13"/>
        <v/>
      </c>
      <c r="BY77" s="8" t="str">
        <f>IF(AND(VLOOKUP(BU77,查询!$C$8:$E$15,3,FALSE)="启用",$B$1=BV77),BT77,"")</f>
        <v/>
      </c>
      <c r="BZ77" s="6" t="str">
        <f t="array" ref="BZ77">INDEX(BX:BX,SMALL(IF(BX$1:BX$500&lt;&gt;"",ROW($1:$500),1000),ROW(BX77)))&amp;""</f>
        <v/>
      </c>
      <c r="CA77" s="6" t="str">
        <f t="array" ref="CA77">INDEX(BY:BY,SMALL(IF(BY$1:BY$500&lt;&gt;"",ROW($1:$500),1000),ROW(BY77)))&amp;""</f>
        <v/>
      </c>
    </row>
    <row r="78" spans="1:79">
      <c r="A78" s="8" t="s">
        <v>2222</v>
      </c>
      <c r="B78" s="8" t="s">
        <v>1676</v>
      </c>
      <c r="C78" s="8" t="s">
        <v>494</v>
      </c>
      <c r="D78" s="9">
        <v>1</v>
      </c>
      <c r="F78" s="8" t="str">
        <f t="shared" si="8"/>
        <v/>
      </c>
      <c r="G78" s="8" t="str">
        <f>IF(AND(VLOOKUP(C78,查询!$C$8:$E$15,3,FALSE)="启用",$B$1=D78),B78,"")</f>
        <v/>
      </c>
      <c r="H78" s="6" t="str">
        <f t="array" ref="H78">INDEX(F:F,SMALL(IF($F$1:$F$500&lt;&gt;"",ROW($1:$500),1000),ROW(F78)))&amp;""</f>
        <v/>
      </c>
      <c r="I78" s="6" t="str">
        <f t="array" ref="I78">INDEX(G:G,SMALL(IF($F$1:$F$500&lt;&gt;"",ROW($1:$500),1000),ROW(G78)))&amp;""</f>
        <v/>
      </c>
      <c r="K78" s="8" t="s">
        <v>2304</v>
      </c>
      <c r="L78" s="8" t="s">
        <v>1397</v>
      </c>
      <c r="M78" s="8" t="s">
        <v>494</v>
      </c>
      <c r="N78" s="9">
        <v>2</v>
      </c>
      <c r="P78" s="8" t="str">
        <f t="shared" si="9"/>
        <v>Spider Climb</v>
      </c>
      <c r="Q78" s="8" t="str">
        <f>IF(AND(VLOOKUP(M78,查询!$C$8:$E$15,3,FALSE)="启用",$B$1=N78),L78,"")</f>
        <v>蛛行术</v>
      </c>
      <c r="R78" s="6" t="str">
        <f t="array" ref="R78">INDEX(P:P,SMALL(IF(P$1:P$500&lt;&gt;"",ROW($1:$500),1000),ROW(P78)))&amp;""</f>
        <v/>
      </c>
      <c r="S78" s="6" t="str">
        <f t="array" ref="S78">INDEX(Q:Q,SMALL(IF(Q$1:Q$500&lt;&gt;"",ROW($1:$500),1000),ROW(Q78)))&amp;""</f>
        <v/>
      </c>
      <c r="U78" s="8" t="s">
        <v>2972</v>
      </c>
      <c r="V78" s="8" t="s">
        <v>1372</v>
      </c>
      <c r="W78" s="8" t="s">
        <v>494</v>
      </c>
      <c r="X78" s="9">
        <v>5</v>
      </c>
      <c r="Z78" s="8" t="str">
        <f t="shared" si="10"/>
        <v/>
      </c>
      <c r="AA78" s="8" t="str">
        <f>IF(AND(VLOOKUP(W78,查询!$C$8:$E$15,3,FALSE)="启用",$B$1=X78),V78,"")</f>
        <v/>
      </c>
      <c r="AB78" s="6" t="str">
        <f t="array" ref="AB78">INDEX(Z:Z,SMALL(IF(Z$1:Z$500&lt;&gt;"",ROW($1:$500),1000),ROW(Z78)))&amp;""</f>
        <v/>
      </c>
      <c r="AC78" s="6" t="str">
        <f t="array" ref="AC78">INDEX(AA:AA,SMALL(IF(AA$1:AA$500&lt;&gt;"",ROW($1:$500),1000),ROW(AA78)))&amp;""</f>
        <v/>
      </c>
      <c r="AE78" s="8" t="s">
        <v>3028</v>
      </c>
      <c r="AF78" s="8" t="s">
        <v>1509</v>
      </c>
      <c r="AG78" s="8" t="s">
        <v>494</v>
      </c>
      <c r="AH78" s="9">
        <v>5</v>
      </c>
      <c r="AJ78" s="8" t="str">
        <f t="shared" si="11"/>
        <v/>
      </c>
      <c r="AK78" s="8" t="str">
        <f>IF(AND(VLOOKUP(AG78,查询!$C$8:$E$15,3,FALSE)="启用",$B$1=AH78),AF78,"")</f>
        <v/>
      </c>
      <c r="AL78" s="6" t="str">
        <f t="array" ref="AL78">INDEX(AJ:AJ,SMALL(IF(AJ$1:AJ$500&lt;&gt;"",ROW($1:$500),1000),ROW(AJ78)))&amp;""</f>
        <v/>
      </c>
      <c r="AM78" s="6" t="str">
        <f t="array" ref="AM78">INDEX(AK:AK,SMALL(IF(AK$1:AK$500&lt;&gt;"",ROW($1:$500),1000),ROW(AK78)))&amp;""</f>
        <v/>
      </c>
      <c r="AV78" s="6" t="str">
        <f t="array" ref="AV78">INDEX(AT:AT,SMALL(IF(AT$1:AT$500&lt;&gt;"",ROW($1:$500),1000),ROW(AT78)))&amp;""</f>
        <v/>
      </c>
      <c r="AW78" s="6" t="str">
        <f t="array" ref="AW78">INDEX(AU:AU,SMALL(IF(AU$1:AU$500&lt;&gt;"",ROW($1:$500),1000),ROW(AU78)))&amp;""</f>
        <v/>
      </c>
      <c r="BF78" s="6" t="str">
        <f t="array" ref="BF78">INDEX(BD:BD,SMALL(IF(BD$1:BD$500&lt;&gt;"",ROW($1:$500),1000),ROW(BD78)))&amp;""</f>
        <v/>
      </c>
      <c r="BG78" s="6" t="str">
        <f t="array" ref="BG78">INDEX(BE:BE,SMALL(IF(BE$1:BE$500&lt;&gt;"",ROW($1:$500),1000),ROW(BE78)))&amp;""</f>
        <v/>
      </c>
      <c r="BI78" s="8" t="s">
        <v>2651</v>
      </c>
      <c r="BJ78" s="8" t="s">
        <v>1504</v>
      </c>
      <c r="BK78" s="8" t="s">
        <v>494</v>
      </c>
      <c r="BL78" s="9">
        <v>3</v>
      </c>
      <c r="BN78" s="8" t="str">
        <f t="shared" si="12"/>
        <v/>
      </c>
      <c r="BO78" s="8" t="str">
        <f>IF(AND(VLOOKUP(BK78,查询!$C$8:$E$15,3,FALSE)="启用",$B$1=BL78),BJ78,"")</f>
        <v/>
      </c>
      <c r="BP78" s="6" t="str">
        <f t="array" ref="BP78">INDEX(BN:BN,SMALL(IF(BN$1:BN$500&lt;&gt;"",ROW($1:$500),1000),ROW(BN78)))&amp;""</f>
        <v/>
      </c>
      <c r="BQ78" s="6" t="str">
        <f t="array" ref="BQ78">INDEX(BO:BO,SMALL(IF(BO$1:BO$500&lt;&gt;"",ROW($1:$500),1000),ROW(BO78)))&amp;""</f>
        <v/>
      </c>
      <c r="BS78" s="8" t="s">
        <v>2651</v>
      </c>
      <c r="BT78" s="8" t="s">
        <v>1504</v>
      </c>
      <c r="BU78" s="8" t="s">
        <v>494</v>
      </c>
      <c r="BV78" s="9">
        <v>3</v>
      </c>
      <c r="BX78" s="8" t="str">
        <f t="shared" si="13"/>
        <v/>
      </c>
      <c r="BY78" s="8" t="str">
        <f>IF(AND(VLOOKUP(BU78,查询!$C$8:$E$15,3,FALSE)="启用",$B$1=BV78),BT78,"")</f>
        <v/>
      </c>
      <c r="BZ78" s="6" t="str">
        <f t="array" ref="BZ78">INDEX(BX:BX,SMALL(IF(BX$1:BX$500&lt;&gt;"",ROW($1:$500),1000),ROW(BX78)))&amp;""</f>
        <v/>
      </c>
      <c r="CA78" s="6" t="str">
        <f t="array" ref="CA78">INDEX(BY:BY,SMALL(IF(BY$1:BY$500&lt;&gt;"",ROW($1:$500),1000),ROW(BY78)))&amp;""</f>
        <v/>
      </c>
    </row>
    <row r="79" spans="1:79">
      <c r="A79" s="8" t="s">
        <v>1963</v>
      </c>
      <c r="B79" s="8" t="s">
        <v>1309</v>
      </c>
      <c r="C79" s="8" t="s">
        <v>578</v>
      </c>
      <c r="D79" s="9">
        <v>1</v>
      </c>
      <c r="F79" s="8" t="str">
        <f t="shared" si="8"/>
        <v/>
      </c>
      <c r="G79" s="8" t="str">
        <f>IF(AND(VLOOKUP(C79,查询!$C$8:$E$15,3,FALSE)="启用",$B$1=D79),B79,"")</f>
        <v/>
      </c>
      <c r="H79" s="6" t="str">
        <f t="array" ref="H79">INDEX(F:F,SMALL(IF($F$1:$F$500&lt;&gt;"",ROW($1:$500),1000),ROW(F79)))&amp;""</f>
        <v/>
      </c>
      <c r="I79" s="6" t="str">
        <f t="array" ref="I79">INDEX(G:G,SMALL(IF($F$1:$F$500&lt;&gt;"",ROW($1:$500),1000),ROW(G79)))&amp;""</f>
        <v/>
      </c>
      <c r="K79" s="8" t="s">
        <v>2308</v>
      </c>
      <c r="L79" s="8" t="s">
        <v>1400</v>
      </c>
      <c r="M79" s="8" t="s">
        <v>494</v>
      </c>
      <c r="N79" s="9">
        <v>2</v>
      </c>
      <c r="P79" s="8" t="str">
        <f t="shared" si="9"/>
        <v>Alter Self</v>
      </c>
      <c r="Q79" s="8" t="str">
        <f>IF(AND(VLOOKUP(M79,查询!$C$8:$E$15,3,FALSE)="启用",$B$1=N79),L79,"")</f>
        <v>变身术</v>
      </c>
      <c r="R79" s="6" t="str">
        <f t="array" ref="R79">INDEX(P:P,SMALL(IF(P$1:P$500&lt;&gt;"",ROW($1:$500),1000),ROW(P79)))&amp;""</f>
        <v/>
      </c>
      <c r="S79" s="6" t="str">
        <f t="array" ref="S79">INDEX(Q:Q,SMALL(IF(Q$1:Q$500&lt;&gt;"",ROW($1:$500),1000),ROW(Q79)))&amp;""</f>
        <v/>
      </c>
      <c r="U79" s="8" t="s">
        <v>2920</v>
      </c>
      <c r="V79" s="8" t="s">
        <v>1268</v>
      </c>
      <c r="W79" s="8" t="s">
        <v>1249</v>
      </c>
      <c r="X79" s="9">
        <v>5</v>
      </c>
      <c r="Z79" s="8" t="str">
        <f t="shared" si="10"/>
        <v/>
      </c>
      <c r="AA79" s="8" t="str">
        <f>IF(AND(VLOOKUP(W79,查询!$C$8:$E$15,3,FALSE)="启用",$B$1=X79),V79,"")</f>
        <v/>
      </c>
      <c r="AB79" s="6" t="str">
        <f t="array" ref="AB79">INDEX(Z:Z,SMALL(IF(Z$1:Z$500&lt;&gt;"",ROW($1:$500),1000),ROW(Z79)))&amp;""</f>
        <v/>
      </c>
      <c r="AC79" s="6" t="str">
        <f t="array" ref="AC79">INDEX(AA:AA,SMALL(IF(AA$1:AA$500&lt;&gt;"",ROW($1:$500),1000),ROW(AA79)))&amp;""</f>
        <v/>
      </c>
      <c r="AE79" s="8" t="s">
        <v>3032</v>
      </c>
      <c r="AF79" s="8" t="s">
        <v>1511</v>
      </c>
      <c r="AG79" s="8" t="s">
        <v>494</v>
      </c>
      <c r="AH79" s="9">
        <v>5</v>
      </c>
      <c r="AJ79" s="8" t="str">
        <f t="shared" si="11"/>
        <v/>
      </c>
      <c r="AK79" s="8" t="str">
        <f>IF(AND(VLOOKUP(AG79,查询!$C$8:$E$15,3,FALSE)="启用",$B$1=AH79),AF79,"")</f>
        <v/>
      </c>
      <c r="AL79" s="6" t="str">
        <f t="array" ref="AL79">INDEX(AJ:AJ,SMALL(IF(AJ$1:AJ$500&lt;&gt;"",ROW($1:$500),1000),ROW(AJ79)))&amp;""</f>
        <v/>
      </c>
      <c r="AM79" s="6" t="str">
        <f t="array" ref="AM79">INDEX(AK:AK,SMALL(IF(AK$1:AK$500&lt;&gt;"",ROW($1:$500),1000),ROW(AK79)))&amp;""</f>
        <v/>
      </c>
      <c r="AV79" s="6" t="str">
        <f t="array" ref="AV79">INDEX(AT:AT,SMALL(IF(AT$1:AT$500&lt;&gt;"",ROW($1:$500),1000),ROW(AT79)))&amp;""</f>
        <v/>
      </c>
      <c r="AW79" s="6" t="str">
        <f t="array" ref="AW79">INDEX(AU:AU,SMALL(IF(AU$1:AU$500&lt;&gt;"",ROW($1:$500),1000),ROW(AU79)))&amp;""</f>
        <v/>
      </c>
      <c r="BF79" s="6" t="str">
        <f t="array" ref="BF79">INDEX(BD:BD,SMALL(IF(BD$1:BD$500&lt;&gt;"",ROW($1:$500),1000),ROW(BD79)))&amp;""</f>
        <v/>
      </c>
      <c r="BG79" s="6" t="str">
        <f t="array" ref="BG79">INDEX(BE:BE,SMALL(IF(BE$1:BE$500&lt;&gt;"",ROW($1:$500),1000),ROW(BE79)))&amp;""</f>
        <v/>
      </c>
      <c r="BI79" s="8" t="s">
        <v>2654</v>
      </c>
      <c r="BJ79" s="8" t="s">
        <v>1506</v>
      </c>
      <c r="BK79" s="8" t="s">
        <v>494</v>
      </c>
      <c r="BL79" s="9">
        <v>3</v>
      </c>
      <c r="BN79" s="8" t="str">
        <f t="shared" si="12"/>
        <v/>
      </c>
      <c r="BO79" s="8" t="str">
        <f>IF(AND(VLOOKUP(BK79,查询!$C$8:$E$15,3,FALSE)="启用",$B$1=BL79),BJ79,"")</f>
        <v/>
      </c>
      <c r="BP79" s="6" t="str">
        <f t="array" ref="BP79">INDEX(BN:BN,SMALL(IF(BN$1:BN$500&lt;&gt;"",ROW($1:$500),1000),ROW(BN79)))&amp;""</f>
        <v/>
      </c>
      <c r="BQ79" s="6" t="str">
        <f t="array" ref="BQ79">INDEX(BO:BO,SMALL(IF(BO$1:BO$500&lt;&gt;"",ROW($1:$500),1000),ROW(BO79)))&amp;""</f>
        <v/>
      </c>
      <c r="BS79" s="8" t="s">
        <v>2654</v>
      </c>
      <c r="BT79" s="8" t="s">
        <v>1506</v>
      </c>
      <c r="BU79" s="8" t="s">
        <v>494</v>
      </c>
      <c r="BV79" s="9">
        <v>3</v>
      </c>
      <c r="BX79" s="8" t="str">
        <f t="shared" si="13"/>
        <v/>
      </c>
      <c r="BY79" s="8" t="str">
        <f>IF(AND(VLOOKUP(BU79,查询!$C$8:$E$15,3,FALSE)="启用",$B$1=BV79),BT79,"")</f>
        <v/>
      </c>
      <c r="BZ79" s="6" t="str">
        <f t="array" ref="BZ79">INDEX(BX:BX,SMALL(IF(BX$1:BX$500&lt;&gt;"",ROW($1:$500),1000),ROW(BX79)))&amp;""</f>
        <v/>
      </c>
      <c r="CA79" s="6" t="str">
        <f t="array" ref="CA79">INDEX(BY:BY,SMALL(IF(BY$1:BY$500&lt;&gt;"",ROW($1:$500),1000),ROW(BY79)))&amp;""</f>
        <v/>
      </c>
    </row>
    <row r="80" spans="1:79">
      <c r="A80" s="8" t="s">
        <v>2290</v>
      </c>
      <c r="B80" s="8" t="s">
        <v>1376</v>
      </c>
      <c r="C80" s="8" t="s">
        <v>494</v>
      </c>
      <c r="D80" s="9">
        <v>2</v>
      </c>
      <c r="F80" s="8" t="str">
        <f t="shared" si="8"/>
        <v>Ray of Enfeeblement</v>
      </c>
      <c r="G80" s="8" t="str">
        <f>IF(AND(VLOOKUP(C80,查询!$C$8:$E$15,3,FALSE)="启用",$B$1=D80),B80,"")</f>
        <v>衰弱射线</v>
      </c>
      <c r="H80" s="6" t="str">
        <f t="array" ref="H80">INDEX(F:F,SMALL(IF($F$1:$F$500&lt;&gt;"",ROW($1:$500),1000),ROW(F80)))&amp;""</f>
        <v/>
      </c>
      <c r="I80" s="6" t="str">
        <f t="array" ref="I80">INDEX(G:G,SMALL(IF($F$1:$F$500&lt;&gt;"",ROW($1:$500),1000),ROW(G80)))&amp;""</f>
        <v/>
      </c>
      <c r="K80" s="8" t="s">
        <v>2311</v>
      </c>
      <c r="L80" s="8" t="s">
        <v>1402</v>
      </c>
      <c r="M80" s="8" t="s">
        <v>494</v>
      </c>
      <c r="N80" s="9">
        <v>2</v>
      </c>
      <c r="P80" s="8" t="str">
        <f t="shared" si="9"/>
        <v>Blur</v>
      </c>
      <c r="Q80" s="8" t="str">
        <f>IF(AND(VLOOKUP(M80,查询!$C$8:$E$15,3,FALSE)="启用",$B$1=N80),L80,"")</f>
        <v>朦胧术</v>
      </c>
      <c r="R80" s="6" t="str">
        <f t="array" ref="R80">INDEX(P:P,SMALL(IF(P$1:P$500&lt;&gt;"",ROW($1:$500),1000),ROW(P80)))&amp;""</f>
        <v/>
      </c>
      <c r="S80" s="6" t="str">
        <f t="array" ref="S80">INDEX(Q:Q,SMALL(IF(Q$1:Q$500&lt;&gt;"",ROW($1:$500),1000),ROW(Q80)))&amp;""</f>
        <v/>
      </c>
      <c r="U80" s="8" t="s">
        <v>2923</v>
      </c>
      <c r="V80" s="8" t="s">
        <v>1269</v>
      </c>
      <c r="W80" s="8" t="s">
        <v>1249</v>
      </c>
      <c r="X80" s="9">
        <v>5</v>
      </c>
      <c r="Z80" s="8" t="str">
        <f t="shared" si="10"/>
        <v/>
      </c>
      <c r="AA80" s="8" t="str">
        <f>IF(AND(VLOOKUP(W80,查询!$C$8:$E$15,3,FALSE)="启用",$B$1=X80),V80,"")</f>
        <v/>
      </c>
      <c r="AB80" s="6" t="str">
        <f t="array" ref="AB80">INDEX(Z:Z,SMALL(IF(Z$1:Z$500&lt;&gt;"",ROW($1:$500),1000),ROW(Z80)))&amp;""</f>
        <v/>
      </c>
      <c r="AC80" s="6" t="str">
        <f t="array" ref="AC80">INDEX(AA:AA,SMALL(IF(AA$1:AA$500&lt;&gt;"",ROW($1:$500),1000),ROW(AA80)))&amp;""</f>
        <v/>
      </c>
      <c r="AE80" s="8" t="s">
        <v>2938</v>
      </c>
      <c r="AF80" s="8" t="s">
        <v>1303</v>
      </c>
      <c r="AG80" s="8" t="s">
        <v>1249</v>
      </c>
      <c r="AH80" s="9">
        <v>5</v>
      </c>
      <c r="AJ80" s="8" t="str">
        <f t="shared" si="11"/>
        <v/>
      </c>
      <c r="AK80" s="8" t="str">
        <f>IF(AND(VLOOKUP(AG80,查询!$C$8:$E$15,3,FALSE)="启用",$B$1=AH80),AF80,"")</f>
        <v/>
      </c>
      <c r="AL80" s="6" t="str">
        <f t="array" ref="AL80">INDEX(AJ:AJ,SMALL(IF(AJ$1:AJ$500&lt;&gt;"",ROW($1:$500),1000),ROW(AJ80)))&amp;""</f>
        <v/>
      </c>
      <c r="AM80" s="6" t="str">
        <f t="array" ref="AM80">INDEX(AK:AK,SMALL(IF(AK$1:AK$500&lt;&gt;"",ROW($1:$500),1000),ROW(AK80)))&amp;""</f>
        <v/>
      </c>
      <c r="AV80" s="6" t="str">
        <f t="array" ref="AV80">INDEX(AT:AT,SMALL(IF(AT$1:AT$500&lt;&gt;"",ROW($1:$500),1000),ROW(AT80)))&amp;""</f>
        <v/>
      </c>
      <c r="AW80" s="6" t="str">
        <f t="array" ref="AW80">INDEX(AU:AU,SMALL(IF(AU$1:AU$500&lt;&gt;"",ROW($1:$500),1000),ROW(AU80)))&amp;""</f>
        <v/>
      </c>
      <c r="BF80" s="6" t="str">
        <f t="array" ref="BF80">INDEX(BD:BD,SMALL(IF(BD$1:BD$500&lt;&gt;"",ROW($1:$500),1000),ROW(BD80)))&amp;""</f>
        <v/>
      </c>
      <c r="BG80" s="6" t="str">
        <f t="array" ref="BG80">INDEX(BE:BE,SMALL(IF(BE$1:BE$500&lt;&gt;"",ROW($1:$500),1000),ROW(BE80)))&amp;""</f>
        <v/>
      </c>
      <c r="BI80" s="8" t="s">
        <v>2671</v>
      </c>
      <c r="BJ80" s="8" t="s">
        <v>1534</v>
      </c>
      <c r="BK80" s="8" t="s">
        <v>494</v>
      </c>
      <c r="BL80" s="9">
        <v>3</v>
      </c>
      <c r="BN80" s="8" t="str">
        <f t="shared" si="12"/>
        <v/>
      </c>
      <c r="BO80" s="8" t="str">
        <f>IF(AND(VLOOKUP(BK80,查询!$C$8:$E$15,3,FALSE)="启用",$B$1=BL80),BJ80,"")</f>
        <v/>
      </c>
      <c r="BP80" s="6" t="str">
        <f t="array" ref="BP80">INDEX(BN:BN,SMALL(IF(BN$1:BN$500&lt;&gt;"",ROW($1:$500),1000),ROW(BN80)))&amp;""</f>
        <v/>
      </c>
      <c r="BQ80" s="6" t="str">
        <f t="array" ref="BQ80">INDEX(BO:BO,SMALL(IF(BO$1:BO$500&lt;&gt;"",ROW($1:$500),1000),ROW(BO80)))&amp;""</f>
        <v/>
      </c>
      <c r="BS80" s="8" t="s">
        <v>2660</v>
      </c>
      <c r="BT80" s="8" t="s">
        <v>1516</v>
      </c>
      <c r="BU80" s="8" t="s">
        <v>494</v>
      </c>
      <c r="BV80" s="9">
        <v>3</v>
      </c>
      <c r="BX80" s="8" t="str">
        <f t="shared" si="13"/>
        <v/>
      </c>
      <c r="BY80" s="8" t="str">
        <f>IF(AND(VLOOKUP(BU80,查询!$C$8:$E$15,3,FALSE)="启用",$B$1=BV80),BT80,"")</f>
        <v/>
      </c>
      <c r="BZ80" s="6" t="str">
        <f t="array" ref="BZ80">INDEX(BX:BX,SMALL(IF(BX$1:BX$500&lt;&gt;"",ROW($1:$500),1000),ROW(BX80)))&amp;""</f>
        <v/>
      </c>
      <c r="CA80" s="6" t="str">
        <f t="array" ref="CA80">INDEX(BY:BY,SMALL(IF(BY$1:BY$500&lt;&gt;"",ROW($1:$500),1000),ROW(BY80)))&amp;""</f>
        <v/>
      </c>
    </row>
    <row r="81" spans="1:79">
      <c r="A81" s="8" t="s">
        <v>2244</v>
      </c>
      <c r="B81" s="8" t="s">
        <v>1271</v>
      </c>
      <c r="C81" s="8" t="s">
        <v>1249</v>
      </c>
      <c r="D81" s="9">
        <v>2</v>
      </c>
      <c r="F81" s="8" t="str">
        <f t="shared" si="8"/>
        <v>Mind Spike</v>
      </c>
      <c r="G81" s="8" t="str">
        <f>IF(AND(VLOOKUP(C81,查询!$C$8:$E$15,3,FALSE)="启用",$B$1=D81),B81,"")</f>
        <v>心灵尖刺</v>
      </c>
      <c r="H81" s="6" t="str">
        <f t="array" ref="H81">INDEX(F:F,SMALL(IF($F$1:$F$500&lt;&gt;"",ROW($1:$500),1000),ROW(F81)))&amp;""</f>
        <v/>
      </c>
      <c r="I81" s="6" t="str">
        <f t="array" ref="I81">INDEX(G:G,SMALL(IF($F$1:$F$500&lt;&gt;"",ROW($1:$500),1000),ROW(G81)))&amp;""</f>
        <v/>
      </c>
      <c r="K81" s="8" t="s">
        <v>2313</v>
      </c>
      <c r="L81" s="8" t="s">
        <v>1411</v>
      </c>
      <c r="M81" s="8" t="s">
        <v>494</v>
      </c>
      <c r="N81" s="9">
        <v>2</v>
      </c>
      <c r="P81" s="8" t="str">
        <f t="shared" si="9"/>
        <v>Enlarge/Reduce</v>
      </c>
      <c r="Q81" s="8" t="str">
        <f>IF(AND(VLOOKUP(M81,查询!$C$8:$E$15,3,FALSE)="启用",$B$1=N81),L81,"")</f>
        <v>变巨/缩小术</v>
      </c>
      <c r="R81" s="6" t="str">
        <f t="array" ref="R81">INDEX(P:P,SMALL(IF(P$1:P$500&lt;&gt;"",ROW($1:$500),1000),ROW(P81)))&amp;""</f>
        <v/>
      </c>
      <c r="S81" s="6" t="str">
        <f t="array" ref="S81">INDEX(Q:Q,SMALL(IF(Q$1:Q$500&lt;&gt;"",ROW($1:$500),1000),ROW(Q81)))&amp;""</f>
        <v/>
      </c>
      <c r="U81" s="8" t="s">
        <v>2925</v>
      </c>
      <c r="V81" s="8" t="s">
        <v>1278</v>
      </c>
      <c r="W81" s="8" t="s">
        <v>1249</v>
      </c>
      <c r="X81" s="9">
        <v>5</v>
      </c>
      <c r="Z81" s="8" t="str">
        <f t="shared" si="10"/>
        <v/>
      </c>
      <c r="AA81" s="8" t="str">
        <f>IF(AND(VLOOKUP(W81,查询!$C$8:$E$15,3,FALSE)="启用",$B$1=X81),V81,"")</f>
        <v/>
      </c>
      <c r="AB81" s="6" t="str">
        <f t="array" ref="AB81">INDEX(Z:Z,SMALL(IF(Z$1:Z$500&lt;&gt;"",ROW($1:$500),1000),ROW(Z81)))&amp;""</f>
        <v/>
      </c>
      <c r="AC81" s="6" t="str">
        <f t="array" ref="AC81">INDEX(AA:AA,SMALL(IF(AA$1:AA$500&lt;&gt;"",ROW($1:$500),1000),ROW(AA81)))&amp;""</f>
        <v/>
      </c>
      <c r="AE81" s="8" t="s">
        <v>2940</v>
      </c>
      <c r="AF81" s="8" t="s">
        <v>1305</v>
      </c>
      <c r="AG81" s="8" t="s">
        <v>1249</v>
      </c>
      <c r="AH81" s="9">
        <v>5</v>
      </c>
      <c r="AJ81" s="8" t="str">
        <f t="shared" si="11"/>
        <v/>
      </c>
      <c r="AK81" s="8" t="str">
        <f>IF(AND(VLOOKUP(AG81,查询!$C$8:$E$15,3,FALSE)="启用",$B$1=AH81),AF81,"")</f>
        <v/>
      </c>
      <c r="AL81" s="6" t="str">
        <f t="array" ref="AL81">INDEX(AJ:AJ,SMALL(IF(AJ$1:AJ$500&lt;&gt;"",ROW($1:$500),1000),ROW(AJ81)))&amp;""</f>
        <v/>
      </c>
      <c r="AM81" s="6" t="str">
        <f t="array" ref="AM81">INDEX(AK:AK,SMALL(IF(AK$1:AK$500&lt;&gt;"",ROW($1:$500),1000),ROW(AK81)))&amp;""</f>
        <v/>
      </c>
      <c r="AV81" s="6" t="str">
        <f t="array" ref="AV81">INDEX(AT:AT,SMALL(IF(AT$1:AT$500&lt;&gt;"",ROW($1:$500),1000),ROW(AT81)))&amp;""</f>
        <v/>
      </c>
      <c r="AW81" s="6" t="str">
        <f t="array" ref="AW81">INDEX(AU:AU,SMALL(IF(AU$1:AU$500&lt;&gt;"",ROW($1:$500),1000),ROW(AU81)))&amp;""</f>
        <v/>
      </c>
      <c r="BF81" s="6" t="str">
        <f t="array" ref="BF81">INDEX(BD:BD,SMALL(IF(BD$1:BD$500&lt;&gt;"",ROW($1:$500),1000),ROW(BD81)))&amp;""</f>
        <v/>
      </c>
      <c r="BG81" s="6" t="str">
        <f t="array" ref="BG81">INDEX(BE:BE,SMALL(IF(BE$1:BE$500&lt;&gt;"",ROW($1:$500),1000),ROW(BE81)))&amp;""</f>
        <v/>
      </c>
      <c r="BI81" s="8" t="s">
        <v>2674</v>
      </c>
      <c r="BJ81" s="8" t="s">
        <v>1536</v>
      </c>
      <c r="BK81" s="8" t="s">
        <v>494</v>
      </c>
      <c r="BL81" s="9">
        <v>3</v>
      </c>
      <c r="BN81" s="8" t="str">
        <f t="shared" si="12"/>
        <v/>
      </c>
      <c r="BO81" s="8" t="str">
        <f>IF(AND(VLOOKUP(BK81,查询!$C$8:$E$15,3,FALSE)="启用",$B$1=BL81),BJ81,"")</f>
        <v/>
      </c>
      <c r="BP81" s="6" t="str">
        <f t="array" ref="BP81">INDEX(BN:BN,SMALL(IF(BN$1:BN$500&lt;&gt;"",ROW($1:$500),1000),ROW(BN81)))&amp;""</f>
        <v/>
      </c>
      <c r="BQ81" s="6" t="str">
        <f t="array" ref="BQ81">INDEX(BO:BO,SMALL(IF(BO$1:BO$500&lt;&gt;"",ROW($1:$500),1000),ROW(BO81)))&amp;""</f>
        <v/>
      </c>
      <c r="BS81" s="8" t="s">
        <v>2664</v>
      </c>
      <c r="BT81" s="8" t="s">
        <v>1519</v>
      </c>
      <c r="BU81" s="8" t="s">
        <v>494</v>
      </c>
      <c r="BV81" s="9">
        <v>3</v>
      </c>
      <c r="BX81" s="8" t="str">
        <f t="shared" si="13"/>
        <v/>
      </c>
      <c r="BY81" s="8" t="str">
        <f>IF(AND(VLOOKUP(BU81,查询!$C$8:$E$15,3,FALSE)="启用",$B$1=BV81),BT81,"")</f>
        <v/>
      </c>
      <c r="BZ81" s="6" t="str">
        <f t="array" ref="BZ81">INDEX(BX:BX,SMALL(IF(BX$1:BX$500&lt;&gt;"",ROW($1:$500),1000),ROW(BX81)))&amp;""</f>
        <v/>
      </c>
      <c r="CA81" s="6" t="str">
        <f t="array" ref="CA81">INDEX(BY:BY,SMALL(IF(BY$1:BY$500&lt;&gt;"",ROW($1:$500),1000),ROW(BY81)))&amp;""</f>
        <v/>
      </c>
    </row>
    <row r="82" spans="1:79">
      <c r="A82" s="8" t="s">
        <v>2248</v>
      </c>
      <c r="B82" s="8" t="s">
        <v>1275</v>
      </c>
      <c r="C82" s="8" t="s">
        <v>1249</v>
      </c>
      <c r="D82" s="9">
        <v>2</v>
      </c>
      <c r="F82" s="8" t="str">
        <f t="shared" si="8"/>
        <v>Shadow Blade</v>
      </c>
      <c r="G82" s="8" t="str">
        <f>IF(AND(VLOOKUP(C82,查询!$C$8:$E$15,3,FALSE)="启用",$B$1=D82),B82,"")</f>
        <v>幽影刃</v>
      </c>
      <c r="H82" s="6" t="str">
        <f t="array" ref="H82">INDEX(F:F,SMALL(IF($F$1:$F$500&lt;&gt;"",ROW($1:$500),1000),ROW(F82)))&amp;""</f>
        <v/>
      </c>
      <c r="I82" s="6" t="str">
        <f t="array" ref="I82">INDEX(G:G,SMALL(IF($F$1:$F$500&lt;&gt;"",ROW($1:$500),1000),ROW(G82)))&amp;""</f>
        <v/>
      </c>
      <c r="K82" s="8" t="s">
        <v>2317</v>
      </c>
      <c r="L82" s="8" t="s">
        <v>1418</v>
      </c>
      <c r="M82" s="8" t="s">
        <v>494</v>
      </c>
      <c r="N82" s="9">
        <v>2</v>
      </c>
      <c r="P82" s="8" t="str">
        <f t="shared" si="9"/>
        <v>Levitate</v>
      </c>
      <c r="Q82" s="8" t="str">
        <f>IF(AND(VLOOKUP(M82,查询!$C$8:$E$15,3,FALSE)="启用",$B$1=N82),L82,"")</f>
        <v>浮空术</v>
      </c>
      <c r="R82" s="6" t="str">
        <f t="array" ref="R82">INDEX(P:P,SMALL(IF(P$1:P$500&lt;&gt;"",ROW($1:$500),1000),ROW(P82)))&amp;""</f>
        <v/>
      </c>
      <c r="S82" s="6" t="str">
        <f t="array" ref="S82">INDEX(Q:Q,SMALL(IF(Q$1:Q$500&lt;&gt;"",ROW($1:$500),1000),ROW(Q82)))&amp;""</f>
        <v/>
      </c>
      <c r="U82" s="8" t="s">
        <v>2932</v>
      </c>
      <c r="V82" s="8" t="s">
        <v>1291</v>
      </c>
      <c r="W82" s="8" t="s">
        <v>1249</v>
      </c>
      <c r="X82" s="9">
        <v>5</v>
      </c>
      <c r="Z82" s="8" t="str">
        <f t="shared" si="10"/>
        <v/>
      </c>
      <c r="AA82" s="8" t="str">
        <f>IF(AND(VLOOKUP(W82,查询!$C$8:$E$15,3,FALSE)="启用",$B$1=X82),V82,"")</f>
        <v/>
      </c>
      <c r="AB82" s="6" t="str">
        <f t="array" ref="AB82">INDEX(Z:Z,SMALL(IF(Z$1:Z$500&lt;&gt;"",ROW($1:$500),1000),ROW(Z82)))&amp;""</f>
        <v/>
      </c>
      <c r="AC82" s="6" t="str">
        <f t="array" ref="AC82">INDEX(AA:AA,SMALL(IF(AA$1:AA$500&lt;&gt;"",ROW($1:$500),1000),ROW(AA82)))&amp;""</f>
        <v/>
      </c>
      <c r="AE82" s="8" t="s">
        <v>3048</v>
      </c>
      <c r="AF82" s="8" t="s">
        <v>1583</v>
      </c>
      <c r="AG82" s="8" t="s">
        <v>494</v>
      </c>
      <c r="AH82" s="9">
        <v>5</v>
      </c>
      <c r="AJ82" s="8" t="str">
        <f t="shared" si="11"/>
        <v/>
      </c>
      <c r="AK82" s="8" t="str">
        <f>IF(AND(VLOOKUP(AG82,查询!$C$8:$E$15,3,FALSE)="启用",$B$1=AH82),AF82,"")</f>
        <v/>
      </c>
      <c r="AL82" s="6" t="str">
        <f t="array" ref="AL82">INDEX(AJ:AJ,SMALL(IF(AJ$1:AJ$500&lt;&gt;"",ROW($1:$500),1000),ROW(AJ82)))&amp;""</f>
        <v/>
      </c>
      <c r="AM82" s="6" t="str">
        <f t="array" ref="AM82">INDEX(AK:AK,SMALL(IF(AK$1:AK$500&lt;&gt;"",ROW($1:$500),1000),ROW(AK82)))&amp;""</f>
        <v/>
      </c>
      <c r="AV82" s="6" t="str">
        <f t="array" ref="AV82">INDEX(AT:AT,SMALL(IF(AT$1:AT$500&lt;&gt;"",ROW($1:$500),1000),ROW(AT82)))&amp;""</f>
        <v/>
      </c>
      <c r="AW82" s="6" t="str">
        <f t="array" ref="AW82">INDEX(AU:AU,SMALL(IF(AU$1:AU$500&lt;&gt;"",ROW($1:$500),1000),ROW(AU82)))&amp;""</f>
        <v/>
      </c>
      <c r="BF82" s="6" t="str">
        <f t="array" ref="BF82">INDEX(BD:BD,SMALL(IF(BD$1:BD$500&lt;&gt;"",ROW($1:$500),1000),ROW(BD82)))&amp;""</f>
        <v/>
      </c>
      <c r="BG82" s="6" t="str">
        <f t="array" ref="BG82">INDEX(BE:BE,SMALL(IF(BE$1:BE$500&lt;&gt;"",ROW($1:$500),1000),ROW(BE82)))&amp;""</f>
        <v/>
      </c>
      <c r="BI82" s="8" t="s">
        <v>2703</v>
      </c>
      <c r="BJ82" s="8" t="s">
        <v>1590</v>
      </c>
      <c r="BK82" s="8" t="s">
        <v>494</v>
      </c>
      <c r="BL82" s="9">
        <v>3</v>
      </c>
      <c r="BN82" s="8" t="str">
        <f t="shared" si="12"/>
        <v/>
      </c>
      <c r="BO82" s="8" t="str">
        <f>IF(AND(VLOOKUP(BK82,查询!$C$8:$E$15,3,FALSE)="启用",$B$1=BL82),BJ82,"")</f>
        <v/>
      </c>
      <c r="BP82" s="6" t="str">
        <f t="array" ref="BP82">INDEX(BN:BN,SMALL(IF(BN$1:BN$500&lt;&gt;"",ROW($1:$500),1000),ROW(BN82)))&amp;""</f>
        <v/>
      </c>
      <c r="BQ82" s="6" t="str">
        <f t="array" ref="BQ82">INDEX(BO:BO,SMALL(IF(BO$1:BO$500&lt;&gt;"",ROW($1:$500),1000),ROW(BO82)))&amp;""</f>
        <v/>
      </c>
      <c r="BS82" s="8" t="s">
        <v>2671</v>
      </c>
      <c r="BT82" s="8" t="s">
        <v>1534</v>
      </c>
      <c r="BU82" s="8" t="s">
        <v>494</v>
      </c>
      <c r="BV82" s="9">
        <v>3</v>
      </c>
      <c r="BX82" s="8" t="str">
        <f t="shared" si="13"/>
        <v/>
      </c>
      <c r="BY82" s="8" t="str">
        <f>IF(AND(VLOOKUP(BU82,查询!$C$8:$E$15,3,FALSE)="启用",$B$1=BV82),BT82,"")</f>
        <v/>
      </c>
      <c r="BZ82" s="6" t="str">
        <f t="array" ref="BZ82">INDEX(BX:BX,SMALL(IF(BX$1:BX$500&lt;&gt;"",ROW($1:$500),1000),ROW(BX82)))&amp;""</f>
        <v/>
      </c>
      <c r="CA82" s="6" t="str">
        <f t="array" ref="CA82">INDEX(BY:BY,SMALL(IF(BY$1:BY$500&lt;&gt;"",ROW($1:$500),1000),ROW(BY82)))&amp;""</f>
        <v/>
      </c>
    </row>
    <row r="83" spans="1:79">
      <c r="A83" s="8" t="s">
        <v>2251</v>
      </c>
      <c r="B83" s="8" t="s">
        <v>1282</v>
      </c>
      <c r="C83" s="8" t="s">
        <v>1249</v>
      </c>
      <c r="D83" s="9">
        <v>2</v>
      </c>
      <c r="F83" s="8" t="str">
        <f t="shared" si="8"/>
        <v>Dragon's Breath</v>
      </c>
      <c r="G83" s="8" t="str">
        <f>IF(AND(VLOOKUP(C83,查询!$C$8:$E$15,3,FALSE)="启用",$B$1=D83),B83,"")</f>
        <v>龙息术</v>
      </c>
      <c r="H83" s="6" t="str">
        <f t="array" ref="H83">INDEX(F:F,SMALL(IF($F$1:$F$500&lt;&gt;"",ROW($1:$500),1000),ROW(F83)))&amp;""</f>
        <v/>
      </c>
      <c r="I83" s="6" t="str">
        <f t="array" ref="I83">INDEX(G:G,SMALL(IF($F$1:$F$500&lt;&gt;"",ROW($1:$500),1000),ROW(G83)))&amp;""</f>
        <v/>
      </c>
      <c r="K83" s="8" t="s">
        <v>2321</v>
      </c>
      <c r="L83" s="8" t="s">
        <v>1431</v>
      </c>
      <c r="M83" s="8" t="s">
        <v>494</v>
      </c>
      <c r="N83" s="9">
        <v>2</v>
      </c>
      <c r="P83" s="8" t="str">
        <f t="shared" si="9"/>
        <v>Web</v>
      </c>
      <c r="Q83" s="8" t="str">
        <f>IF(AND(VLOOKUP(M83,查询!$C$8:$E$15,3,FALSE)="启用",$B$1=N83),L83,"")</f>
        <v>蛛网术</v>
      </c>
      <c r="R83" s="6" t="str">
        <f t="array" ref="R83">INDEX(P:P,SMALL(IF(P$1:P$500&lt;&gt;"",ROW($1:$500),1000),ROW(P83)))&amp;""</f>
        <v/>
      </c>
      <c r="S83" s="6" t="str">
        <f t="array" ref="S83">INDEX(Q:Q,SMALL(IF(Q$1:Q$500&lt;&gt;"",ROW($1:$500),1000),ROW(Q83)))&amp;""</f>
        <v/>
      </c>
      <c r="U83" s="8" t="s">
        <v>2988</v>
      </c>
      <c r="V83" s="8" t="s">
        <v>1434</v>
      </c>
      <c r="W83" s="8" t="s">
        <v>494</v>
      </c>
      <c r="X83" s="9">
        <v>5</v>
      </c>
      <c r="Z83" s="8" t="str">
        <f t="shared" si="10"/>
        <v/>
      </c>
      <c r="AA83" s="8" t="str">
        <f>IF(AND(VLOOKUP(W83,查询!$C$8:$E$15,3,FALSE)="启用",$B$1=X83),V83,"")</f>
        <v/>
      </c>
      <c r="AB83" s="6" t="str">
        <f t="array" ref="AB83">INDEX(Z:Z,SMALL(IF(Z$1:Z$500&lt;&gt;"",ROW($1:$500),1000),ROW(Z83)))&amp;""</f>
        <v/>
      </c>
      <c r="AC83" s="6" t="str">
        <f t="array" ref="AC83">INDEX(AA:AA,SMALL(IF(AA$1:AA$500&lt;&gt;"",ROW($1:$500),1000),ROW(AA83)))&amp;""</f>
        <v/>
      </c>
      <c r="AE83" s="8" t="s">
        <v>3052</v>
      </c>
      <c r="AF83" s="8" t="s">
        <v>1596</v>
      </c>
      <c r="AG83" s="8" t="s">
        <v>494</v>
      </c>
      <c r="AH83" s="9">
        <v>5</v>
      </c>
      <c r="AJ83" s="8" t="str">
        <f t="shared" si="11"/>
        <v/>
      </c>
      <c r="AK83" s="8" t="str">
        <f>IF(AND(VLOOKUP(AG83,查询!$C$8:$E$15,3,FALSE)="启用",$B$1=AH83),AF83,"")</f>
        <v/>
      </c>
      <c r="AL83" s="6" t="str">
        <f t="array" ref="AL83">INDEX(AJ:AJ,SMALL(IF(AJ$1:AJ$500&lt;&gt;"",ROW($1:$500),1000),ROW(AJ83)))&amp;""</f>
        <v/>
      </c>
      <c r="AM83" s="6" t="str">
        <f t="array" ref="AM83">INDEX(AK:AK,SMALL(IF(AK$1:AK$500&lt;&gt;"",ROW($1:$500),1000),ROW(AK83)))&amp;""</f>
        <v/>
      </c>
      <c r="AV83" s="6" t="str">
        <f t="array" ref="AV83">INDEX(AT:AT,SMALL(IF(AT$1:AT$500&lt;&gt;"",ROW($1:$500),1000),ROW(AT83)))&amp;""</f>
        <v/>
      </c>
      <c r="AW83" s="6" t="str">
        <f t="array" ref="AW83">INDEX(AU:AU,SMALL(IF(AU$1:AU$500&lt;&gt;"",ROW($1:$500),1000),ROW(AU83)))&amp;""</f>
        <v/>
      </c>
      <c r="BF83" s="6" t="str">
        <f t="array" ref="BF83">INDEX(BD:BD,SMALL(IF(BD$1:BD$500&lt;&gt;"",ROW($1:$500),1000),ROW(BD83)))&amp;""</f>
        <v/>
      </c>
      <c r="BG83" s="6" t="str">
        <f t="array" ref="BG83">INDEX(BE:BE,SMALL(IF(BE$1:BE$500&lt;&gt;"",ROW($1:$500),1000),ROW(BE83)))&amp;""</f>
        <v/>
      </c>
      <c r="BI83" s="8" t="s">
        <v>2706</v>
      </c>
      <c r="BJ83" s="8" t="s">
        <v>1591</v>
      </c>
      <c r="BK83" s="8" t="s">
        <v>494</v>
      </c>
      <c r="BL83" s="9">
        <v>3</v>
      </c>
      <c r="BN83" s="8" t="str">
        <f t="shared" si="12"/>
        <v/>
      </c>
      <c r="BO83" s="8" t="str">
        <f>IF(AND(VLOOKUP(BK83,查询!$C$8:$E$15,3,FALSE)="启用",$B$1=BL83),BJ83,"")</f>
        <v/>
      </c>
      <c r="BP83" s="6" t="str">
        <f t="array" ref="BP83">INDEX(BN:BN,SMALL(IF(BN$1:BN$500&lt;&gt;"",ROW($1:$500),1000),ROW(BN83)))&amp;""</f>
        <v/>
      </c>
      <c r="BQ83" s="6" t="str">
        <f t="array" ref="BQ83">INDEX(BO:BO,SMALL(IF(BO$1:BO$500&lt;&gt;"",ROW($1:$500),1000),ROW(BO83)))&amp;""</f>
        <v/>
      </c>
      <c r="BS83" s="8" t="s">
        <v>2674</v>
      </c>
      <c r="BT83" s="8" t="s">
        <v>1536</v>
      </c>
      <c r="BU83" s="8" t="s">
        <v>494</v>
      </c>
      <c r="BV83" s="9">
        <v>3</v>
      </c>
      <c r="BX83" s="8" t="str">
        <f t="shared" si="13"/>
        <v/>
      </c>
      <c r="BY83" s="8" t="str">
        <f>IF(AND(VLOOKUP(BU83,查询!$C$8:$E$15,3,FALSE)="启用",$B$1=BV83),BT83,"")</f>
        <v/>
      </c>
      <c r="BZ83" s="6" t="str">
        <f t="array" ref="BZ83">INDEX(BX:BX,SMALL(IF(BX$1:BX$500&lt;&gt;"",ROW($1:$500),1000),ROW(BX83)))&amp;""</f>
        <v/>
      </c>
      <c r="CA83" s="6" t="str">
        <f t="array" ref="CA83">INDEX(BY:BY,SMALL(IF(BY$1:BY$500&lt;&gt;"",ROW($1:$500),1000),ROW(BY83)))&amp;""</f>
        <v/>
      </c>
    </row>
    <row r="84" spans="1:79">
      <c r="A84" s="8" t="s">
        <v>2256</v>
      </c>
      <c r="B84" s="8" t="s">
        <v>1724</v>
      </c>
      <c r="C84" s="8" t="s">
        <v>578</v>
      </c>
      <c r="D84" s="9">
        <v>2</v>
      </c>
      <c r="F84" s="8" t="str">
        <f t="shared" si="8"/>
        <v>Maximilian’s Earthen Grasp</v>
      </c>
      <c r="G84" s="8" t="str">
        <f>IF(AND(VLOOKUP(C84,查询!$C$8:$E$15,3,FALSE)="启用",$B$1=D84),B84,"")</f>
        <v>麦克斯米利安的地之攫E</v>
      </c>
      <c r="H84" s="6" t="str">
        <f t="array" ref="H84">INDEX(F:F,SMALL(IF($F$1:$F$500&lt;&gt;"",ROW($1:$500),1000),ROW(F84)))&amp;""</f>
        <v/>
      </c>
      <c r="I84" s="6" t="str">
        <f t="array" ref="I84">INDEX(G:G,SMALL(IF($F$1:$F$500&lt;&gt;"",ROW($1:$500),1000),ROW(G84)))&amp;""</f>
        <v/>
      </c>
      <c r="K84" s="8" t="s">
        <v>2265</v>
      </c>
      <c r="L84" s="8" t="s">
        <v>1730</v>
      </c>
      <c r="M84" s="8" t="s">
        <v>578</v>
      </c>
      <c r="N84" s="9">
        <v>2</v>
      </c>
      <c r="P84" s="8" t="str">
        <f t="shared" si="9"/>
        <v>Pyrotechnics</v>
      </c>
      <c r="Q84" s="8" t="str">
        <f>IF(AND(VLOOKUP(M84,查询!$C$8:$E$15,3,FALSE)="启用",$B$1=N84),L84,"")</f>
        <v>烟火E</v>
      </c>
      <c r="R84" s="6" t="str">
        <f t="array" ref="R84">INDEX(P:P,SMALL(IF(P$1:P$500&lt;&gt;"",ROW($1:$500),1000),ROW(P84)))&amp;""</f>
        <v/>
      </c>
      <c r="S84" s="6" t="str">
        <f t="array" ref="S84">INDEX(Q:Q,SMALL(IF(Q$1:Q$500&lt;&gt;"",ROW($1:$500),1000),ROW(Q84)))&amp;""</f>
        <v/>
      </c>
      <c r="U84" s="8" t="s">
        <v>2992</v>
      </c>
      <c r="V84" s="8" t="s">
        <v>1450</v>
      </c>
      <c r="W84" s="8" t="s">
        <v>494</v>
      </c>
      <c r="X84" s="9">
        <v>5</v>
      </c>
      <c r="Z84" s="8" t="str">
        <f t="shared" si="10"/>
        <v/>
      </c>
      <c r="AA84" s="8" t="str">
        <f>IF(AND(VLOOKUP(W84,查询!$C$8:$E$15,3,FALSE)="启用",$B$1=X84),V84,"")</f>
        <v/>
      </c>
      <c r="AB84" s="6" t="str">
        <f t="array" ref="AB84">INDEX(Z:Z,SMALL(IF(Z$1:Z$500&lt;&gt;"",ROW($1:$500),1000),ROW(Z84)))&amp;""</f>
        <v/>
      </c>
      <c r="AC84" s="6" t="str">
        <f t="array" ref="AC84">INDEX(AA:AA,SMALL(IF(AA$1:AA$500&lt;&gt;"",ROW($1:$500),1000),ROW(AA84)))&amp;""</f>
        <v/>
      </c>
      <c r="AE84" s="8" t="s">
        <v>3057</v>
      </c>
      <c r="AF84" s="8" t="s">
        <v>1604</v>
      </c>
      <c r="AG84" s="8" t="s">
        <v>494</v>
      </c>
      <c r="AH84" s="9">
        <v>5</v>
      </c>
      <c r="AJ84" s="8" t="str">
        <f t="shared" si="11"/>
        <v/>
      </c>
      <c r="AK84" s="8" t="str">
        <f>IF(AND(VLOOKUP(AG84,查询!$C$8:$E$15,3,FALSE)="启用",$B$1=AH84),AF84,"")</f>
        <v/>
      </c>
      <c r="AL84" s="6" t="str">
        <f t="array" ref="AL84">INDEX(AJ:AJ,SMALL(IF(AJ$1:AJ$500&lt;&gt;"",ROW($1:$500),1000),ROW(AJ84)))&amp;""</f>
        <v/>
      </c>
      <c r="AM84" s="6" t="str">
        <f t="array" ref="AM84">INDEX(AK:AK,SMALL(IF(AK$1:AK$500&lt;&gt;"",ROW($1:$500),1000),ROW(AK84)))&amp;""</f>
        <v/>
      </c>
      <c r="AV84" s="6" t="str">
        <f t="array" ref="AV84">INDEX(AT:AT,SMALL(IF(AT$1:AT$500&lt;&gt;"",ROW($1:$500),1000),ROW(AT84)))&amp;""</f>
        <v/>
      </c>
      <c r="AW84" s="6" t="str">
        <f t="array" ref="AW84">INDEX(AU:AU,SMALL(IF(AU$1:AU$500&lt;&gt;"",ROW($1:$500),1000),ROW(AU84)))&amp;""</f>
        <v/>
      </c>
      <c r="BF84" s="6" t="str">
        <f t="array" ref="BF84">INDEX(BD:BD,SMALL(IF(BD$1:BD$500&lt;&gt;"",ROW($1:$500),1000),ROW(BD84)))&amp;""</f>
        <v/>
      </c>
      <c r="BG84" s="6" t="str">
        <f t="array" ref="BG84">INDEX(BE:BE,SMALL(IF(BE$1:BE$500&lt;&gt;"",ROW($1:$500),1000),ROW(BE84)))&amp;""</f>
        <v/>
      </c>
      <c r="BI84" s="8" t="s">
        <v>2712</v>
      </c>
      <c r="BJ84" s="8" t="s">
        <v>1597</v>
      </c>
      <c r="BK84" s="8" t="s">
        <v>494</v>
      </c>
      <c r="BL84" s="9">
        <v>3</v>
      </c>
      <c r="BN84" s="8" t="str">
        <f t="shared" si="12"/>
        <v/>
      </c>
      <c r="BO84" s="8" t="str">
        <f>IF(AND(VLOOKUP(BK84,查询!$C$8:$E$15,3,FALSE)="启用",$B$1=BL84),BJ84,"")</f>
        <v/>
      </c>
      <c r="BP84" s="6" t="str">
        <f t="array" ref="BP84">INDEX(BN:BN,SMALL(IF(BN$1:BN$500&lt;&gt;"",ROW($1:$500),1000),ROW(BN84)))&amp;""</f>
        <v/>
      </c>
      <c r="BQ84" s="6" t="str">
        <f t="array" ref="BQ84">INDEX(BO:BO,SMALL(IF(BO$1:BO$500&lt;&gt;"",ROW($1:$500),1000),ROW(BO84)))&amp;""</f>
        <v/>
      </c>
      <c r="BS84" s="8" t="s">
        <v>2767</v>
      </c>
      <c r="BT84" s="8" t="s">
        <v>1296</v>
      </c>
      <c r="BU84" s="8" t="s">
        <v>1249</v>
      </c>
      <c r="BV84" s="9">
        <v>4</v>
      </c>
      <c r="BX84" s="8" t="str">
        <f t="shared" si="13"/>
        <v/>
      </c>
      <c r="BY84" s="8" t="str">
        <f>IF(AND(VLOOKUP(BU84,查询!$C$8:$E$15,3,FALSE)="启用",$B$1=BV84),BT84,"")</f>
        <v/>
      </c>
      <c r="BZ84" s="6" t="str">
        <f t="array" ref="BZ84">INDEX(BX:BX,SMALL(IF(BX$1:BX$500&lt;&gt;"",ROW($1:$500),1000),ROW(BX84)))&amp;""</f>
        <v/>
      </c>
      <c r="CA84" s="6" t="str">
        <f t="array" ref="CA84">INDEX(BY:BY,SMALL(IF(BY$1:BY$500&lt;&gt;"",ROW($1:$500),1000),ROW(BY84)))&amp;""</f>
        <v/>
      </c>
    </row>
    <row r="85" spans="1:79">
      <c r="A85" s="8" t="s">
        <v>2256</v>
      </c>
      <c r="B85" s="8" t="s">
        <v>1284</v>
      </c>
      <c r="C85" s="8" t="s">
        <v>1249</v>
      </c>
      <c r="D85" s="9">
        <v>2</v>
      </c>
      <c r="F85" s="8" t="str">
        <f t="shared" si="8"/>
        <v>Maximilian’s Earthen Grasp</v>
      </c>
      <c r="G85" s="8" t="str">
        <f>IF(AND(VLOOKUP(C85,查询!$C$8:$E$15,3,FALSE)="启用",$B$1=D85),B85,"")</f>
        <v>麦克斯米利安的地之攫</v>
      </c>
      <c r="H85" s="6" t="str">
        <f t="array" ref="H85">INDEX(F:F,SMALL(IF($F$1:$F$500&lt;&gt;"",ROW($1:$500),1000),ROW(F85)))&amp;""</f>
        <v/>
      </c>
      <c r="I85" s="6" t="str">
        <f t="array" ref="I85">INDEX(G:G,SMALL(IF($F$1:$F$500&lt;&gt;"",ROW($1:$500),1000),ROW(G85)))&amp;""</f>
        <v/>
      </c>
      <c r="K85" s="8" t="s">
        <v>2265</v>
      </c>
      <c r="L85" s="8" t="s">
        <v>1294</v>
      </c>
      <c r="M85" s="8" t="s">
        <v>1249</v>
      </c>
      <c r="N85" s="9">
        <v>2</v>
      </c>
      <c r="P85" s="8" t="str">
        <f t="shared" si="9"/>
        <v>Pyrotechnics</v>
      </c>
      <c r="Q85" s="8" t="str">
        <f>IF(AND(VLOOKUP(M85,查询!$C$8:$E$15,3,FALSE)="启用",$B$1=N85),L85,"")</f>
        <v>烟火</v>
      </c>
      <c r="R85" s="6" t="str">
        <f t="array" ref="R85">INDEX(P:P,SMALL(IF(P$1:P$500&lt;&gt;"",ROW($1:$500),1000),ROW(P85)))&amp;""</f>
        <v/>
      </c>
      <c r="S85" s="6" t="str">
        <f t="array" ref="S85">INDEX(Q:Q,SMALL(IF(Q$1:Q$500&lt;&gt;"",ROW($1:$500),1000),ROW(Q85)))&amp;""</f>
        <v/>
      </c>
      <c r="U85" s="8" t="s">
        <v>3013</v>
      </c>
      <c r="V85" s="8" t="s">
        <v>1495</v>
      </c>
      <c r="W85" s="8" t="s">
        <v>494</v>
      </c>
      <c r="X85" s="9">
        <v>5</v>
      </c>
      <c r="Z85" s="8" t="str">
        <f t="shared" si="10"/>
        <v/>
      </c>
      <c r="AA85" s="8" t="str">
        <f>IF(AND(VLOOKUP(W85,查询!$C$8:$E$15,3,FALSE)="启用",$B$1=X85),V85,"")</f>
        <v/>
      </c>
      <c r="AB85" s="6" t="str">
        <f t="array" ref="AB85">INDEX(Z:Z,SMALL(IF(Z$1:Z$500&lt;&gt;"",ROW($1:$500),1000),ROW(Z85)))&amp;""</f>
        <v/>
      </c>
      <c r="AC85" s="6" t="str">
        <f t="array" ref="AC85">INDEX(AA:AA,SMALL(IF(AA$1:AA$500&lt;&gt;"",ROW($1:$500),1000),ROW(AA85)))&amp;""</f>
        <v/>
      </c>
      <c r="AE85" s="8" t="s">
        <v>3060</v>
      </c>
      <c r="AF85" s="8" t="s">
        <v>1615</v>
      </c>
      <c r="AG85" s="8" t="s">
        <v>494</v>
      </c>
      <c r="AH85" s="9">
        <v>5</v>
      </c>
      <c r="AJ85" s="8" t="str">
        <f t="shared" si="11"/>
        <v/>
      </c>
      <c r="AK85" s="8" t="str">
        <f>IF(AND(VLOOKUP(AG85,查询!$C$8:$E$15,3,FALSE)="启用",$B$1=AH85),AF85,"")</f>
        <v/>
      </c>
      <c r="AL85" s="6" t="str">
        <f t="array" ref="AL85">INDEX(AJ:AJ,SMALL(IF(AJ$1:AJ$500&lt;&gt;"",ROW($1:$500),1000),ROW(AJ85)))&amp;""</f>
        <v/>
      </c>
      <c r="AM85" s="6" t="str">
        <f t="array" ref="AM85">INDEX(AK:AK,SMALL(IF(AK$1:AK$500&lt;&gt;"",ROW($1:$500),1000),ROW(AK85)))&amp;""</f>
        <v/>
      </c>
      <c r="AV85" s="6" t="str">
        <f t="array" ref="AV85">INDEX(AT:AT,SMALL(IF(AT$1:AT$500&lt;&gt;"",ROW($1:$500),1000),ROW(AT85)))&amp;""</f>
        <v/>
      </c>
      <c r="AW85" s="6" t="str">
        <f t="array" ref="AW85">INDEX(AU:AU,SMALL(IF(AU$1:AU$500&lt;&gt;"",ROW($1:$500),1000),ROW(AU85)))&amp;""</f>
        <v/>
      </c>
      <c r="BF85" s="6" t="str">
        <f t="array" ref="BF85">INDEX(BD:BD,SMALL(IF(BD$1:BD$500&lt;&gt;"",ROW($1:$500),1000),ROW(BD85)))&amp;""</f>
        <v/>
      </c>
      <c r="BG85" s="6" t="str">
        <f t="array" ref="BG85">INDEX(BE:BE,SMALL(IF(BE$1:BE$500&lt;&gt;"",ROW($1:$500),1000),ROW(BE85)))&amp;""</f>
        <v/>
      </c>
      <c r="BI85" s="8" t="s">
        <v>2715</v>
      </c>
      <c r="BJ85" s="8" t="s">
        <v>1609</v>
      </c>
      <c r="BK85" s="8" t="s">
        <v>494</v>
      </c>
      <c r="BL85" s="9">
        <v>3</v>
      </c>
      <c r="BN85" s="8" t="str">
        <f t="shared" si="12"/>
        <v/>
      </c>
      <c r="BO85" s="8" t="str">
        <f>IF(AND(VLOOKUP(BK85,查询!$C$8:$E$15,3,FALSE)="启用",$B$1=BL85),BJ85,"")</f>
        <v/>
      </c>
      <c r="BP85" s="6" t="str">
        <f t="array" ref="BP85">INDEX(BN:BN,SMALL(IF(BN$1:BN$500&lt;&gt;"",ROW($1:$500),1000),ROW(BN85)))&amp;""</f>
        <v/>
      </c>
      <c r="BQ85" s="6" t="str">
        <f t="array" ref="BQ85">INDEX(BO:BO,SMALL(IF(BO$1:BO$500&lt;&gt;"",ROW($1:$500),1000),ROW(BO85)))&amp;""</f>
        <v/>
      </c>
      <c r="BS85" s="8" t="s">
        <v>2784</v>
      </c>
      <c r="BT85" s="8" t="s">
        <v>1445</v>
      </c>
      <c r="BU85" s="8" t="s">
        <v>494</v>
      </c>
      <c r="BV85" s="9">
        <v>4</v>
      </c>
      <c r="BX85" s="8" t="str">
        <f t="shared" si="13"/>
        <v/>
      </c>
      <c r="BY85" s="8" t="str">
        <f>IF(AND(VLOOKUP(BU85,查询!$C$8:$E$15,3,FALSE)="启用",$B$1=BV85),BT85,"")</f>
        <v/>
      </c>
      <c r="BZ85" s="6" t="str">
        <f t="array" ref="BZ85">INDEX(BX:BX,SMALL(IF(BX$1:BX$500&lt;&gt;"",ROW($1:$500),1000),ROW(BX85)))&amp;""</f>
        <v/>
      </c>
      <c r="CA85" s="6" t="str">
        <f t="array" ref="CA85">INDEX(BY:BY,SMALL(IF(BY$1:BY$500&lt;&gt;"",ROW($1:$500),1000),ROW(BY85)))&amp;""</f>
        <v/>
      </c>
    </row>
    <row r="86" spans="1:79">
      <c r="A86" s="8" t="s">
        <v>2294</v>
      </c>
      <c r="B86" s="8" t="s">
        <v>1385</v>
      </c>
      <c r="C86" s="8" t="s">
        <v>494</v>
      </c>
      <c r="D86" s="9">
        <v>2</v>
      </c>
      <c r="F86" s="8" t="str">
        <f t="shared" si="8"/>
        <v>Scorching Ray</v>
      </c>
      <c r="G86" s="8" t="str">
        <f>IF(AND(VLOOKUP(C86,查询!$C$8:$E$15,3,FALSE)="启用",$B$1=D86),B86,"")</f>
        <v>灼热射线</v>
      </c>
      <c r="H86" s="6" t="str">
        <f t="array" ref="H86">INDEX(F:F,SMALL(IF($F$1:$F$500&lt;&gt;"",ROW($1:$500),1000),ROW(F86)))&amp;""</f>
        <v/>
      </c>
      <c r="I86" s="6" t="str">
        <f t="array" ref="I86">INDEX(G:G,SMALL(IF($F$1:$F$500&lt;&gt;"",ROW($1:$500),1000),ROW(G86)))&amp;""</f>
        <v/>
      </c>
      <c r="K86" s="8" t="s">
        <v>2267</v>
      </c>
      <c r="L86" s="8" t="s">
        <v>1299</v>
      </c>
      <c r="M86" s="8" t="s">
        <v>1249</v>
      </c>
      <c r="N86" s="9">
        <v>2</v>
      </c>
      <c r="P86" s="8" t="str">
        <f t="shared" si="9"/>
        <v>Warding Wind</v>
      </c>
      <c r="Q86" s="8" t="str">
        <f>IF(AND(VLOOKUP(M86,查询!$C$8:$E$15,3,FALSE)="启用",$B$1=N86),L86,"")</f>
        <v>守护之风</v>
      </c>
      <c r="R86" s="6" t="str">
        <f t="array" ref="R86">INDEX(P:P,SMALL(IF(P$1:P$500&lt;&gt;"",ROW($1:$500),1000),ROW(P86)))&amp;""</f>
        <v/>
      </c>
      <c r="S86" s="6" t="str">
        <f t="array" ref="S86">INDEX(Q:Q,SMALL(IF(Q$1:Q$500&lt;&gt;"",ROW($1:$500),1000),ROW(Q86)))&amp;""</f>
        <v/>
      </c>
      <c r="U86" s="8" t="s">
        <v>2944</v>
      </c>
      <c r="V86" s="8" t="s">
        <v>1311</v>
      </c>
      <c r="W86" s="8" t="s">
        <v>1249</v>
      </c>
      <c r="X86" s="9">
        <v>5</v>
      </c>
      <c r="Z86" s="8" t="str">
        <f t="shared" si="10"/>
        <v/>
      </c>
      <c r="AA86" s="8" t="str">
        <f>IF(AND(VLOOKUP(W86,查询!$C$8:$E$15,3,FALSE)="启用",$B$1=X86),V86,"")</f>
        <v/>
      </c>
      <c r="AB86" s="6" t="str">
        <f t="array" ref="AB86">INDEX(Z:Z,SMALL(IF(Z$1:Z$500&lt;&gt;"",ROW($1:$500),1000),ROW(Z86)))&amp;""</f>
        <v/>
      </c>
      <c r="AC86" s="6" t="str">
        <f t="array" ref="AC86">INDEX(AA:AA,SMALL(IF(AA$1:AA$500&lt;&gt;"",ROW($1:$500),1000),ROW(AA86)))&amp;""</f>
        <v/>
      </c>
      <c r="AE86" s="8" t="s">
        <v>3064</v>
      </c>
      <c r="AF86" s="8" t="s">
        <v>1619</v>
      </c>
      <c r="AG86" s="8" t="s">
        <v>494</v>
      </c>
      <c r="AH86" s="9">
        <v>5</v>
      </c>
      <c r="AJ86" s="8" t="str">
        <f t="shared" si="11"/>
        <v/>
      </c>
      <c r="AK86" s="8" t="str">
        <f>IF(AND(VLOOKUP(AG86,查询!$C$8:$E$15,3,FALSE)="启用",$B$1=AH86),AF86,"")</f>
        <v/>
      </c>
      <c r="AL86" s="6" t="str">
        <f t="array" ref="AL86">INDEX(AJ:AJ,SMALL(IF(AJ$1:AJ$500&lt;&gt;"",ROW($1:$500),1000),ROW(AJ86)))&amp;""</f>
        <v/>
      </c>
      <c r="AM86" s="6" t="str">
        <f t="array" ref="AM86">INDEX(AK:AK,SMALL(IF(AK$1:AK$500&lt;&gt;"",ROW($1:$500),1000),ROW(AK86)))&amp;""</f>
        <v/>
      </c>
      <c r="AV86" s="6" t="str">
        <f t="array" ref="AV86">INDEX(AT:AT,SMALL(IF(AT$1:AT$500&lt;&gt;"",ROW($1:$500),1000),ROW(AT86)))&amp;""</f>
        <v/>
      </c>
      <c r="AW86" s="6" t="str">
        <f t="array" ref="AW86">INDEX(AU:AU,SMALL(IF(AU$1:AU$500&lt;&gt;"",ROW($1:$500),1000),ROW(AU86)))&amp;""</f>
        <v/>
      </c>
      <c r="BF86" s="6" t="str">
        <f t="array" ref="BF86">INDEX(BD:BD,SMALL(IF(BD$1:BD$500&lt;&gt;"",ROW($1:$500),1000),ROW(BD86)))&amp;""</f>
        <v/>
      </c>
      <c r="BG86" s="6" t="str">
        <f t="array" ref="BG86">INDEX(BE:BE,SMALL(IF(BE$1:BE$500&lt;&gt;"",ROW($1:$500),1000),ROW(BE86)))&amp;""</f>
        <v/>
      </c>
      <c r="BI86" s="8" t="s">
        <v>2547</v>
      </c>
      <c r="BJ86" s="8" t="s">
        <v>1325</v>
      </c>
      <c r="BK86" s="8" t="s">
        <v>1249</v>
      </c>
      <c r="BL86" s="9">
        <v>3</v>
      </c>
      <c r="BN86" s="8" t="str">
        <f t="shared" si="12"/>
        <v/>
      </c>
      <c r="BO86" s="8" t="str">
        <f>IF(AND(VLOOKUP(BK86,查询!$C$8:$E$15,3,FALSE)="启用",$B$1=BL86),BJ86,"")</f>
        <v/>
      </c>
      <c r="BP86" s="6" t="str">
        <f t="array" ref="BP86">INDEX(BN:BN,SMALL(IF(BN$1:BN$500&lt;&gt;"",ROW($1:$500),1000),ROW(BN86)))&amp;""</f>
        <v/>
      </c>
      <c r="BQ86" s="6" t="str">
        <f t="array" ref="BQ86">INDEX(BO:BO,SMALL(IF(BO$1:BO$500&lt;&gt;"",ROW($1:$500),1000),ROW(BO86)))&amp;""</f>
        <v/>
      </c>
      <c r="BS86" s="8" t="s">
        <v>2787</v>
      </c>
      <c r="BT86" s="8" t="s">
        <v>1468</v>
      </c>
      <c r="BU86" s="8" t="s">
        <v>494</v>
      </c>
      <c r="BV86" s="9">
        <v>4</v>
      </c>
      <c r="BX86" s="8" t="str">
        <f t="shared" si="13"/>
        <v/>
      </c>
      <c r="BY86" s="8" t="str">
        <f>IF(AND(VLOOKUP(BU86,查询!$C$8:$E$15,3,FALSE)="启用",$B$1=BV86),BT86,"")</f>
        <v/>
      </c>
      <c r="BZ86" s="6" t="str">
        <f t="array" ref="BZ86">INDEX(BX:BX,SMALL(IF(BX$1:BX$500&lt;&gt;"",ROW($1:$500),1000),ROW(BX86)))&amp;""</f>
        <v/>
      </c>
      <c r="CA86" s="6" t="str">
        <f t="array" ref="CA86">INDEX(BY:BY,SMALL(IF(BY$1:BY$500&lt;&gt;"",ROW($1:$500),1000),ROW(BY86)))&amp;""</f>
        <v/>
      </c>
    </row>
    <row r="87" spans="1:79">
      <c r="A87" s="8" t="s">
        <v>2260</v>
      </c>
      <c r="B87" s="8" t="s">
        <v>1725</v>
      </c>
      <c r="C87" s="8" t="s">
        <v>578</v>
      </c>
      <c r="D87" s="9">
        <v>2</v>
      </c>
      <c r="F87" s="8" t="str">
        <f t="shared" si="8"/>
        <v>Snilloc’s Snowball Swarm</v>
      </c>
      <c r="G87" s="8" t="str">
        <f>IF(AND(VLOOKUP(C87,查询!$C$8:$E$15,3,FALSE)="启用",$B$1=D87),B87,"")</f>
        <v>史尼洛雪球群E</v>
      </c>
      <c r="H87" s="6" t="str">
        <f t="array" ref="H87">INDEX(F:F,SMALL(IF($F$1:$F$500&lt;&gt;"",ROW($1:$500),1000),ROW(F87)))&amp;""</f>
        <v/>
      </c>
      <c r="I87" s="6" t="str">
        <f t="array" ref="I87">INDEX(G:G,SMALL(IF($F$1:$F$500&lt;&gt;"",ROW($1:$500),1000),ROW(G87)))&amp;""</f>
        <v/>
      </c>
      <c r="K87" s="8" t="s">
        <v>2330</v>
      </c>
      <c r="L87" s="8" t="s">
        <v>1442</v>
      </c>
      <c r="M87" s="8" t="s">
        <v>494</v>
      </c>
      <c r="N87" s="9">
        <v>2</v>
      </c>
      <c r="P87" s="8" t="str">
        <f t="shared" si="9"/>
        <v>Cloud of Daggers</v>
      </c>
      <c r="Q87" s="8" t="str">
        <f>IF(AND(VLOOKUP(M87,查询!$C$8:$E$15,3,FALSE)="启用",$B$1=N87),L87,"")</f>
        <v>匕首之云</v>
      </c>
      <c r="R87" s="6" t="str">
        <f t="array" ref="R87">INDEX(P:P,SMALL(IF(P$1:P$500&lt;&gt;"",ROW($1:$500),1000),ROW(P87)))&amp;""</f>
        <v/>
      </c>
      <c r="S87" s="6" t="str">
        <f t="array" ref="S87">INDEX(Q:Q,SMALL(IF(Q$1:Q$500&lt;&gt;"",ROW($1:$500),1000),ROW(Q87)))&amp;""</f>
        <v/>
      </c>
      <c r="U87" s="8" t="s">
        <v>2946</v>
      </c>
      <c r="V87" s="8" t="s">
        <v>1312</v>
      </c>
      <c r="W87" s="8" t="s">
        <v>1249</v>
      </c>
      <c r="X87" s="9">
        <v>5</v>
      </c>
      <c r="Z87" s="8" t="str">
        <f t="shared" si="10"/>
        <v/>
      </c>
      <c r="AA87" s="8" t="str">
        <f>IF(AND(VLOOKUP(W87,查询!$C$8:$E$15,3,FALSE)="启用",$B$1=X87),V87,"")</f>
        <v/>
      </c>
      <c r="AB87" s="6" t="str">
        <f t="array" ref="AB87">INDEX(Z:Z,SMALL(IF(Z$1:Z$500&lt;&gt;"",ROW($1:$500),1000),ROW(Z87)))&amp;""</f>
        <v/>
      </c>
      <c r="AC87" s="6" t="str">
        <f t="array" ref="AC87">INDEX(AA:AA,SMALL(IF(AA$1:AA$500&lt;&gt;"",ROW($1:$500),1000),ROW(AA87)))&amp;""</f>
        <v/>
      </c>
      <c r="AE87" s="8" t="s">
        <v>3068</v>
      </c>
      <c r="AF87" s="8" t="s">
        <v>1623</v>
      </c>
      <c r="AG87" s="8" t="s">
        <v>494</v>
      </c>
      <c r="AH87" s="9">
        <v>5</v>
      </c>
      <c r="AJ87" s="8" t="str">
        <f t="shared" si="11"/>
        <v/>
      </c>
      <c r="AK87" s="8" t="str">
        <f>IF(AND(VLOOKUP(AG87,查询!$C$8:$E$15,3,FALSE)="启用",$B$1=AH87),AF87,"")</f>
        <v/>
      </c>
      <c r="AL87" s="6" t="str">
        <f t="array" ref="AL87">INDEX(AJ:AJ,SMALL(IF(AJ$1:AJ$500&lt;&gt;"",ROW($1:$500),1000),ROW(AJ87)))&amp;""</f>
        <v/>
      </c>
      <c r="AM87" s="6" t="str">
        <f t="array" ref="AM87">INDEX(AK:AK,SMALL(IF(AK$1:AK$500&lt;&gt;"",ROW($1:$500),1000),ROW(AK87)))&amp;""</f>
        <v/>
      </c>
      <c r="AV87" s="6" t="str">
        <f t="array" ref="AV87">INDEX(AT:AT,SMALL(IF(AT$1:AT$500&lt;&gt;"",ROW($1:$500),1000),ROW(AT87)))&amp;""</f>
        <v/>
      </c>
      <c r="AW87" s="6" t="str">
        <f t="array" ref="AW87">INDEX(AU:AU,SMALL(IF(AU$1:AU$500&lt;&gt;"",ROW($1:$500),1000),ROW(AU87)))&amp;""</f>
        <v/>
      </c>
      <c r="BF87" s="6" t="str">
        <f t="array" ref="BF87">INDEX(BD:BD,SMALL(IF(BD$1:BD$500&lt;&gt;"",ROW($1:$500),1000),ROW(BD87)))&amp;""</f>
        <v/>
      </c>
      <c r="BG87" s="6" t="str">
        <f t="array" ref="BG87">INDEX(BE:BE,SMALL(IF(BE$1:BE$500&lt;&gt;"",ROW($1:$500),1000),ROW(BE87)))&amp;""</f>
        <v/>
      </c>
      <c r="BI87" s="8" t="s">
        <v>2549</v>
      </c>
      <c r="BJ87" s="8" t="s">
        <v>1742</v>
      </c>
      <c r="BK87" s="8" t="s">
        <v>578</v>
      </c>
      <c r="BL87" s="9">
        <v>3</v>
      </c>
      <c r="BN87" s="8" t="str">
        <f t="shared" si="12"/>
        <v/>
      </c>
      <c r="BO87" s="8" t="str">
        <f>IF(AND(VLOOKUP(BK87,查询!$C$8:$E$15,3,FALSE)="启用",$B$1=BL87),BJ87,"")</f>
        <v/>
      </c>
      <c r="BP87" s="6" t="str">
        <f t="array" ref="BP87">INDEX(BN:BN,SMALL(IF(BN$1:BN$500&lt;&gt;"",ROW($1:$500),1000),ROW(BN87)))&amp;""</f>
        <v/>
      </c>
      <c r="BQ87" s="6" t="str">
        <f t="array" ref="BQ87">INDEX(BO:BO,SMALL(IF(BO$1:BO$500&lt;&gt;"",ROW($1:$500),1000),ROW(BO87)))&amp;""</f>
        <v/>
      </c>
      <c r="BS87" s="8" t="s">
        <v>2790</v>
      </c>
      <c r="BT87" s="8" t="s">
        <v>1494</v>
      </c>
      <c r="BU87" s="8" t="s">
        <v>494</v>
      </c>
      <c r="BV87" s="9">
        <v>4</v>
      </c>
      <c r="BX87" s="8" t="str">
        <f t="shared" si="13"/>
        <v/>
      </c>
      <c r="BY87" s="8" t="str">
        <f>IF(AND(VLOOKUP(BU87,查询!$C$8:$E$15,3,FALSE)="启用",$B$1=BV87),BT87,"")</f>
        <v/>
      </c>
      <c r="BZ87" s="6" t="str">
        <f t="array" ref="BZ87">INDEX(BX:BX,SMALL(IF(BX$1:BX$500&lt;&gt;"",ROW($1:$500),1000),ROW(BX87)))&amp;""</f>
        <v/>
      </c>
      <c r="CA87" s="6" t="str">
        <f t="array" ref="CA87">INDEX(BY:BY,SMALL(IF(BY$1:BY$500&lt;&gt;"",ROW($1:$500),1000),ROW(BY87)))&amp;""</f>
        <v/>
      </c>
    </row>
    <row r="88" spans="1:79">
      <c r="A88" s="8" t="s">
        <v>2260</v>
      </c>
      <c r="B88" s="8" t="s">
        <v>1286</v>
      </c>
      <c r="C88" s="8" t="s">
        <v>1249</v>
      </c>
      <c r="D88" s="9">
        <v>2</v>
      </c>
      <c r="F88" s="8" t="str">
        <f t="shared" si="8"/>
        <v>Snilloc’s Snowball Swarm</v>
      </c>
      <c r="G88" s="8" t="str">
        <f>IF(AND(VLOOKUP(C88,查询!$C$8:$E$15,3,FALSE)="启用",$B$1=D88),B88,"")</f>
        <v>史尼洛雪球群</v>
      </c>
      <c r="H88" s="6" t="str">
        <f t="array" ref="H88">INDEX(F:F,SMALL(IF($F$1:$F$500&lt;&gt;"",ROW($1:$500),1000),ROW(F88)))&amp;""</f>
        <v/>
      </c>
      <c r="I88" s="6" t="str">
        <f t="array" ref="I88">INDEX(G:G,SMALL(IF($F$1:$F$500&lt;&gt;"",ROW($1:$500),1000),ROW(G88)))&amp;""</f>
        <v/>
      </c>
      <c r="K88" s="8" t="s">
        <v>2334</v>
      </c>
      <c r="L88" s="8" t="s">
        <v>1444</v>
      </c>
      <c r="M88" s="8" t="s">
        <v>494</v>
      </c>
      <c r="N88" s="9">
        <v>2</v>
      </c>
      <c r="P88" s="8" t="str">
        <f t="shared" si="9"/>
        <v>Crown of Madness</v>
      </c>
      <c r="Q88" s="8" t="str">
        <f>IF(AND(VLOOKUP(M88,查询!$C$8:$E$15,3,FALSE)="启用",$B$1=N88),L88,"")</f>
        <v>疯狂冠冕</v>
      </c>
      <c r="R88" s="6" t="str">
        <f t="array" ref="R88">INDEX(P:P,SMALL(IF(P$1:P$500&lt;&gt;"",ROW($1:$500),1000),ROW(P88)))&amp;""</f>
        <v/>
      </c>
      <c r="S88" s="6" t="str">
        <f t="array" ref="S88">INDEX(Q:Q,SMALL(IF(Q$1:Q$500&lt;&gt;"",ROW($1:$500),1000),ROW(Q88)))&amp;""</f>
        <v/>
      </c>
      <c r="U88" s="8" t="s">
        <v>2950</v>
      </c>
      <c r="V88" s="8" t="s">
        <v>1314</v>
      </c>
      <c r="W88" s="8" t="s">
        <v>1249</v>
      </c>
      <c r="X88" s="9">
        <v>5</v>
      </c>
      <c r="Z88" s="8" t="str">
        <f t="shared" si="10"/>
        <v/>
      </c>
      <c r="AA88" s="8" t="str">
        <f>IF(AND(VLOOKUP(W88,查询!$C$8:$E$15,3,FALSE)="启用",$B$1=X88),V88,"")</f>
        <v/>
      </c>
      <c r="AB88" s="6" t="str">
        <f t="array" ref="AB88">INDEX(Z:Z,SMALL(IF(Z$1:Z$500&lt;&gt;"",ROW($1:$500),1000),ROW(Z88)))&amp;""</f>
        <v/>
      </c>
      <c r="AC88" s="6" t="str">
        <f t="array" ref="AC88">INDEX(AA:AA,SMALL(IF(AA$1:AA$500&lt;&gt;"",ROW($1:$500),1000),ROW(AA88)))&amp;""</f>
        <v/>
      </c>
      <c r="AE88" s="8" t="s">
        <v>3184</v>
      </c>
      <c r="AF88" s="8" t="s">
        <v>1483</v>
      </c>
      <c r="AG88" s="8" t="s">
        <v>494</v>
      </c>
      <c r="AH88" s="9">
        <v>6</v>
      </c>
      <c r="AJ88" s="8" t="str">
        <f t="shared" si="11"/>
        <v/>
      </c>
      <c r="AK88" s="8" t="str">
        <f>IF(AND(VLOOKUP(AG88,查询!$C$8:$E$15,3,FALSE)="启用",$B$1=AH88),AF88,"")</f>
        <v/>
      </c>
      <c r="AL88" s="6" t="str">
        <f t="array" ref="AL88">INDEX(AJ:AJ,SMALL(IF(AJ$1:AJ$500&lt;&gt;"",ROW($1:$500),1000),ROW(AJ88)))&amp;""</f>
        <v/>
      </c>
      <c r="AM88" s="6" t="str">
        <f t="array" ref="AM88">INDEX(AK:AK,SMALL(IF(AK$1:AK$500&lt;&gt;"",ROW($1:$500),1000),ROW(AK88)))&amp;""</f>
        <v/>
      </c>
      <c r="AV88" s="6" t="str">
        <f t="array" ref="AV88">INDEX(AT:AT,SMALL(IF(AT$1:AT$500&lt;&gt;"",ROW($1:$500),1000),ROW(AT88)))&amp;""</f>
        <v/>
      </c>
      <c r="AW88" s="6" t="str">
        <f t="array" ref="AW88">INDEX(AU:AU,SMALL(IF(AU$1:AU$500&lt;&gt;"",ROW($1:$500),1000),ROW(AU88)))&amp;""</f>
        <v/>
      </c>
      <c r="BF88" s="6" t="str">
        <f t="array" ref="BF88">INDEX(BD:BD,SMALL(IF(BD$1:BD$500&lt;&gt;"",ROW($1:$500),1000),ROW(BD88)))&amp;""</f>
        <v/>
      </c>
      <c r="BG88" s="6" t="str">
        <f t="array" ref="BG88">INDEX(BE:BE,SMALL(IF(BE$1:BE$500&lt;&gt;"",ROW($1:$500),1000),ROW(BE88)))&amp;""</f>
        <v/>
      </c>
      <c r="BI88" s="8" t="s">
        <v>2549</v>
      </c>
      <c r="BJ88" s="8" t="s">
        <v>1341</v>
      </c>
      <c r="BK88" s="8" t="s">
        <v>1249</v>
      </c>
      <c r="BL88" s="9">
        <v>3</v>
      </c>
      <c r="BN88" s="8" t="str">
        <f t="shared" si="12"/>
        <v/>
      </c>
      <c r="BO88" s="8" t="str">
        <f>IF(AND(VLOOKUP(BK88,查询!$C$8:$E$15,3,FALSE)="启用",$B$1=BL88),BJ88,"")</f>
        <v/>
      </c>
      <c r="BP88" s="6" t="str">
        <f t="array" ref="BP88">INDEX(BN:BN,SMALL(IF(BN$1:BN$500&lt;&gt;"",ROW($1:$500),1000),ROW(BN88)))&amp;""</f>
        <v/>
      </c>
      <c r="BQ88" s="6" t="str">
        <f t="array" ref="BQ88">INDEX(BO:BO,SMALL(IF(BO$1:BO$500&lt;&gt;"",ROW($1:$500),1000),ROW(BO88)))&amp;""</f>
        <v/>
      </c>
      <c r="BS88" s="8" t="s">
        <v>2796</v>
      </c>
      <c r="BT88" s="8" t="s">
        <v>1500</v>
      </c>
      <c r="BU88" s="8" t="s">
        <v>494</v>
      </c>
      <c r="BV88" s="9">
        <v>4</v>
      </c>
      <c r="BX88" s="8" t="str">
        <f t="shared" si="13"/>
        <v/>
      </c>
      <c r="BY88" s="8" t="str">
        <f>IF(AND(VLOOKUP(BU88,查询!$C$8:$E$15,3,FALSE)="启用",$B$1=BV88),BT88,"")</f>
        <v/>
      </c>
      <c r="BZ88" s="6" t="str">
        <f t="array" ref="BZ88">INDEX(BX:BX,SMALL(IF(BX$1:BX$500&lt;&gt;"",ROW($1:$500),1000),ROW(BX88)))&amp;""</f>
        <v/>
      </c>
      <c r="CA88" s="6" t="str">
        <f t="array" ref="CA88">INDEX(BY:BY,SMALL(IF(BY$1:BY$500&lt;&gt;"",ROW($1:$500),1000),ROW(BY88)))&amp;""</f>
        <v/>
      </c>
    </row>
    <row r="89" spans="1:79">
      <c r="A89" s="8" t="s">
        <v>2296</v>
      </c>
      <c r="B89" s="8" t="s">
        <v>1390</v>
      </c>
      <c r="C89" s="8" t="s">
        <v>494</v>
      </c>
      <c r="D89" s="9">
        <v>2</v>
      </c>
      <c r="F89" s="8" t="str">
        <f t="shared" si="8"/>
        <v>Darkness</v>
      </c>
      <c r="G89" s="8" t="str">
        <f>IF(AND(VLOOKUP(C89,查询!$C$8:$E$15,3,FALSE)="启用",$B$1=D89),B89,"")</f>
        <v>黑暗术</v>
      </c>
      <c r="H89" s="6" t="str">
        <f t="array" ref="H89">INDEX(F:F,SMALL(IF($F$1:$F$500&lt;&gt;"",ROW($1:$500),1000),ROW(F89)))&amp;""</f>
        <v/>
      </c>
      <c r="I89" s="6" t="str">
        <f t="array" ref="I89">INDEX(G:G,SMALL(IF($F$1:$F$500&lt;&gt;"",ROW($1:$500),1000),ROW(G89)))&amp;""</f>
        <v/>
      </c>
      <c r="K89" s="8" t="s">
        <v>2336</v>
      </c>
      <c r="L89" s="8" t="s">
        <v>1452</v>
      </c>
      <c r="M89" s="8" t="s">
        <v>494</v>
      </c>
      <c r="N89" s="9">
        <v>2</v>
      </c>
      <c r="P89" s="8" t="str">
        <f t="shared" si="9"/>
        <v>Invisibility</v>
      </c>
      <c r="Q89" s="8" t="str">
        <f>IF(AND(VLOOKUP(M89,查询!$C$8:$E$15,3,FALSE)="启用",$B$1=N89),L89,"")</f>
        <v>隐形术</v>
      </c>
      <c r="R89" s="6" t="str">
        <f t="array" ref="R89">INDEX(P:P,SMALL(IF(P$1:P$500&lt;&gt;"",ROW($1:$500),1000),ROW(P89)))&amp;""</f>
        <v/>
      </c>
      <c r="S89" s="6" t="str">
        <f t="array" ref="S89">INDEX(Q:Q,SMALL(IF(Q$1:Q$500&lt;&gt;"",ROW($1:$500),1000),ROW(Q89)))&amp;""</f>
        <v/>
      </c>
      <c r="U89" s="8" t="s">
        <v>3137</v>
      </c>
      <c r="V89" s="8" t="s">
        <v>1736</v>
      </c>
      <c r="W89" s="8" t="s">
        <v>578</v>
      </c>
      <c r="X89" s="9">
        <v>5</v>
      </c>
      <c r="Z89" s="8" t="str">
        <f t="shared" si="10"/>
        <v/>
      </c>
      <c r="AA89" s="8" t="str">
        <f>IF(AND(VLOOKUP(W89,查询!$C$8:$E$15,3,FALSE)="启用",$B$1=X89),V89,"")</f>
        <v/>
      </c>
      <c r="AB89" s="6" t="str">
        <f t="array" ref="AB89">INDEX(Z:Z,SMALL(IF(Z$1:Z$500&lt;&gt;"",ROW($1:$500),1000),ROW(Z89)))&amp;""</f>
        <v/>
      </c>
      <c r="AC89" s="6" t="str">
        <f t="array" ref="AC89">INDEX(AA:AA,SMALL(IF(AA$1:AA$500&lt;&gt;"",ROW($1:$500),1000),ROW(AA89)))&amp;""</f>
        <v/>
      </c>
      <c r="AE89" s="8" t="s">
        <v>3189</v>
      </c>
      <c r="AF89" s="8" t="s">
        <v>1508</v>
      </c>
      <c r="AG89" s="8" t="s">
        <v>494</v>
      </c>
      <c r="AH89" s="9">
        <v>6</v>
      </c>
      <c r="AJ89" s="8" t="str">
        <f t="shared" si="11"/>
        <v/>
      </c>
      <c r="AK89" s="8" t="str">
        <f>IF(AND(VLOOKUP(AG89,查询!$C$8:$E$15,3,FALSE)="启用",$B$1=AH89),AF89,"")</f>
        <v/>
      </c>
      <c r="AL89" s="6" t="str">
        <f t="array" ref="AL89">INDEX(AJ:AJ,SMALL(IF(AJ$1:AJ$500&lt;&gt;"",ROW($1:$500),1000),ROW(AJ89)))&amp;""</f>
        <v/>
      </c>
      <c r="AM89" s="6" t="str">
        <f t="array" ref="AM89">INDEX(AK:AK,SMALL(IF(AK$1:AK$500&lt;&gt;"",ROW($1:$500),1000),ROW(AK89)))&amp;""</f>
        <v/>
      </c>
      <c r="AV89" s="6" t="str">
        <f t="array" ref="AV89">INDEX(AT:AT,SMALL(IF(AT$1:AT$500&lt;&gt;"",ROW($1:$500),1000),ROW(AT89)))&amp;""</f>
        <v/>
      </c>
      <c r="AW89" s="6" t="str">
        <f t="array" ref="AW89">INDEX(AU:AU,SMALL(IF(AU$1:AU$500&lt;&gt;"",ROW($1:$500),1000),ROW(AU89)))&amp;""</f>
        <v/>
      </c>
      <c r="BF89" s="6" t="str">
        <f t="array" ref="BF89">INDEX(BD:BD,SMALL(IF(BD$1:BD$500&lt;&gt;"",ROW($1:$500),1000),ROW(BD89)))&amp;""</f>
        <v/>
      </c>
      <c r="BG89" s="6" t="str">
        <f t="array" ref="BG89">INDEX(BE:BE,SMALL(IF(BE$1:BE$500&lt;&gt;"",ROW($1:$500),1000),ROW(BE89)))&amp;""</f>
        <v/>
      </c>
      <c r="BI89" s="8" t="s">
        <v>2553</v>
      </c>
      <c r="BJ89" s="8" t="s">
        <v>1747</v>
      </c>
      <c r="BK89" s="8" t="s">
        <v>578</v>
      </c>
      <c r="BL89" s="9">
        <v>3</v>
      </c>
      <c r="BN89" s="8" t="str">
        <f t="shared" si="12"/>
        <v/>
      </c>
      <c r="BO89" s="8" t="str">
        <f>IF(AND(VLOOKUP(BK89,查询!$C$8:$E$15,3,FALSE)="启用",$B$1=BL89),BJ89,"")</f>
        <v/>
      </c>
      <c r="BP89" s="6" t="str">
        <f t="array" ref="BP89">INDEX(BN:BN,SMALL(IF(BN$1:BN$500&lt;&gt;"",ROW($1:$500),1000),ROW(BN89)))&amp;""</f>
        <v/>
      </c>
      <c r="BQ89" s="6" t="str">
        <f t="array" ref="BQ89">INDEX(BO:BO,SMALL(IF(BO$1:BO$500&lt;&gt;"",ROW($1:$500),1000),ROW(BO89)))&amp;""</f>
        <v/>
      </c>
      <c r="BS89" s="8" t="s">
        <v>2799</v>
      </c>
      <c r="BT89" s="8" t="s">
        <v>1539</v>
      </c>
      <c r="BU89" s="8" t="s">
        <v>494</v>
      </c>
      <c r="BV89" s="9">
        <v>4</v>
      </c>
      <c r="BX89" s="8" t="str">
        <f t="shared" si="13"/>
        <v/>
      </c>
      <c r="BY89" s="8" t="str">
        <f>IF(AND(VLOOKUP(BU89,查询!$C$8:$E$15,3,FALSE)="启用",$B$1=BV89),BT89,"")</f>
        <v/>
      </c>
      <c r="BZ89" s="6" t="str">
        <f t="array" ref="BZ89">INDEX(BX:BX,SMALL(IF(BX$1:BX$500&lt;&gt;"",ROW($1:$500),1000),ROW(BX89)))&amp;""</f>
        <v/>
      </c>
      <c r="CA89" s="6" t="str">
        <f t="array" ref="CA89">INDEX(BY:BY,SMALL(IF(BY$1:BY$500&lt;&gt;"",ROW($1:$500),1000),ROW(BY89)))&amp;""</f>
        <v/>
      </c>
    </row>
    <row r="90" spans="1:79">
      <c r="A90" s="8" t="s">
        <v>2300</v>
      </c>
      <c r="B90" s="8" t="s">
        <v>1395</v>
      </c>
      <c r="C90" s="8" t="s">
        <v>494</v>
      </c>
      <c r="D90" s="9">
        <v>2</v>
      </c>
      <c r="F90" s="8" t="str">
        <f t="shared" si="8"/>
        <v>Mirror Image</v>
      </c>
      <c r="G90" s="8" t="str">
        <f>IF(AND(VLOOKUP(C90,查询!$C$8:$E$15,3,FALSE)="启用",$B$1=D90),B90,"")</f>
        <v>镜影术</v>
      </c>
      <c r="H90" s="6" t="str">
        <f t="array" ref="H90">INDEX(F:F,SMALL(IF($F$1:$F$500&lt;&gt;"",ROW($1:$500),1000),ROW(F90)))&amp;""</f>
        <v/>
      </c>
      <c r="I90" s="6" t="str">
        <f t="array" ref="I90">INDEX(G:G,SMALL(IF($F$1:$F$500&lt;&gt;"",ROW($1:$500),1000),ROW(G90)))&amp;""</f>
        <v/>
      </c>
      <c r="K90" s="8" t="s">
        <v>2340</v>
      </c>
      <c r="L90" s="8" t="s">
        <v>1460</v>
      </c>
      <c r="M90" s="8" t="s">
        <v>494</v>
      </c>
      <c r="N90" s="9">
        <v>2</v>
      </c>
      <c r="P90" s="8" t="str">
        <f t="shared" si="9"/>
        <v>Shatter</v>
      </c>
      <c r="Q90" s="8" t="str">
        <f>IF(AND(VLOOKUP(M90,查询!$C$8:$E$15,3,FALSE)="启用",$B$1=N90),L90,"")</f>
        <v>粉碎音波</v>
      </c>
      <c r="R90" s="6" t="str">
        <f t="array" ref="R90">INDEX(P:P,SMALL(IF(P$1:P$500&lt;&gt;"",ROW($1:$500),1000),ROW(P90)))&amp;""</f>
        <v/>
      </c>
      <c r="S90" s="6" t="str">
        <f t="array" ref="S90">INDEX(Q:Q,SMALL(IF(Q$1:Q$500&lt;&gt;"",ROW($1:$500),1000),ROW(Q90)))&amp;""</f>
        <v/>
      </c>
      <c r="U90" s="8" t="s">
        <v>3154</v>
      </c>
      <c r="V90" s="8" t="s">
        <v>1374</v>
      </c>
      <c r="W90" s="8" t="s">
        <v>494</v>
      </c>
      <c r="X90" s="9">
        <v>6</v>
      </c>
      <c r="Z90" s="8" t="str">
        <f t="shared" si="10"/>
        <v/>
      </c>
      <c r="AA90" s="8" t="str">
        <f>IF(AND(VLOOKUP(W90,查询!$C$8:$E$15,3,FALSE)="启用",$B$1=X90),V90,"")</f>
        <v/>
      </c>
      <c r="AB90" s="6" t="str">
        <f t="array" ref="AB90">INDEX(Z:Z,SMALL(IF(Z$1:Z$500&lt;&gt;"",ROW($1:$500),1000),ROW(Z90)))&amp;""</f>
        <v/>
      </c>
      <c r="AC90" s="6" t="str">
        <f t="array" ref="AC90">INDEX(AA:AA,SMALL(IF(AA$1:AA$500&lt;&gt;"",ROW($1:$500),1000),ROW(AA90)))&amp;""</f>
        <v/>
      </c>
      <c r="AE90" s="8" t="s">
        <v>3205</v>
      </c>
      <c r="AF90" s="8" t="s">
        <v>1571</v>
      </c>
      <c r="AG90" s="8" t="s">
        <v>494</v>
      </c>
      <c r="AH90" s="9">
        <v>6</v>
      </c>
      <c r="AJ90" s="8" t="str">
        <f t="shared" si="11"/>
        <v/>
      </c>
      <c r="AK90" s="8" t="str">
        <f>IF(AND(VLOOKUP(AG90,查询!$C$8:$E$15,3,FALSE)="启用",$B$1=AH90),AF90,"")</f>
        <v/>
      </c>
      <c r="AL90" s="6" t="str">
        <f t="array" ref="AL90">INDEX(AJ:AJ,SMALL(IF(AJ$1:AJ$500&lt;&gt;"",ROW($1:$500),1000),ROW(AJ90)))&amp;""</f>
        <v/>
      </c>
      <c r="AM90" s="6" t="str">
        <f t="array" ref="AM90">INDEX(AK:AK,SMALL(IF(AK$1:AK$500&lt;&gt;"",ROW($1:$500),1000),ROW(AK90)))&amp;""</f>
        <v/>
      </c>
      <c r="AV90" s="6" t="str">
        <f t="array" ref="AV90">INDEX(AT:AT,SMALL(IF(AT$1:AT$500&lt;&gt;"",ROW($1:$500),1000),ROW(AT90)))&amp;""</f>
        <v/>
      </c>
      <c r="AW90" s="6" t="str">
        <f t="array" ref="AW90">INDEX(AU:AU,SMALL(IF(AU$1:AU$500&lt;&gt;"",ROW($1:$500),1000),ROW(AU90)))&amp;""</f>
        <v/>
      </c>
      <c r="BF90" s="6" t="str">
        <f t="array" ref="BF90">INDEX(BD:BD,SMALL(IF(BD$1:BD$500&lt;&gt;"",ROW($1:$500),1000),ROW(BD90)))&amp;""</f>
        <v/>
      </c>
      <c r="BG90" s="6" t="str">
        <f t="array" ref="BG90">INDEX(BE:BE,SMALL(IF(BE$1:BE$500&lt;&gt;"",ROW($1:$500),1000),ROW(BE90)))&amp;""</f>
        <v/>
      </c>
      <c r="BI90" s="8" t="s">
        <v>2553</v>
      </c>
      <c r="BJ90" s="8" t="s">
        <v>1346</v>
      </c>
      <c r="BK90" s="8" t="s">
        <v>1249</v>
      </c>
      <c r="BL90" s="9">
        <v>3</v>
      </c>
      <c r="BN90" s="8" t="str">
        <f t="shared" si="12"/>
        <v/>
      </c>
      <c r="BO90" s="8" t="str">
        <f>IF(AND(VLOOKUP(BK90,查询!$C$8:$E$15,3,FALSE)="启用",$B$1=BL90),BJ90,"")</f>
        <v/>
      </c>
      <c r="BP90" s="6" t="str">
        <f t="array" ref="BP90">INDEX(BN:BN,SMALL(IF(BN$1:BN$500&lt;&gt;"",ROW($1:$500),1000),ROW(BN90)))&amp;""</f>
        <v/>
      </c>
      <c r="BQ90" s="6" t="str">
        <f t="array" ref="BQ90">INDEX(BO:BO,SMALL(IF(BO$1:BO$500&lt;&gt;"",ROW($1:$500),1000),ROW(BO90)))&amp;""</f>
        <v/>
      </c>
      <c r="BS90" s="8" t="s">
        <v>2804</v>
      </c>
      <c r="BT90" s="8" t="s">
        <v>1541</v>
      </c>
      <c r="BU90" s="8" t="s">
        <v>494</v>
      </c>
      <c r="BV90" s="9">
        <v>4</v>
      </c>
      <c r="BX90" s="8" t="str">
        <f t="shared" si="13"/>
        <v/>
      </c>
      <c r="BY90" s="8" t="str">
        <f>IF(AND(VLOOKUP(BU90,查询!$C$8:$E$15,3,FALSE)="启用",$B$1=BV90),BT90,"")</f>
        <v/>
      </c>
      <c r="BZ90" s="6" t="str">
        <f t="array" ref="BZ90">INDEX(BX:BX,SMALL(IF(BX$1:BX$500&lt;&gt;"",ROW($1:$500),1000),ROW(BX90)))&amp;""</f>
        <v/>
      </c>
      <c r="CA90" s="6" t="str">
        <f t="array" ref="CA90">INDEX(BY:BY,SMALL(IF(BY$1:BY$500&lt;&gt;"",ROW($1:$500),1000),ROW(BY90)))&amp;""</f>
        <v/>
      </c>
    </row>
    <row r="91" spans="1:79">
      <c r="A91" s="8" t="s">
        <v>2302</v>
      </c>
      <c r="B91" s="8" t="s">
        <v>1396</v>
      </c>
      <c r="C91" s="8" t="s">
        <v>494</v>
      </c>
      <c r="D91" s="9">
        <v>2</v>
      </c>
      <c r="F91" s="8" t="str">
        <f t="shared" si="8"/>
        <v>Misty Step</v>
      </c>
      <c r="G91" s="8" t="str">
        <f>IF(AND(VLOOKUP(C91,查询!$C$8:$E$15,3,FALSE)="启用",$B$1=D91),B91,"")</f>
        <v>迷踪步</v>
      </c>
      <c r="H91" s="6" t="str">
        <f t="array" ref="H91">INDEX(F:F,SMALL(IF($F$1:$F$500&lt;&gt;"",ROW($1:$500),1000),ROW(F91)))&amp;""</f>
        <v/>
      </c>
      <c r="I91" s="6" t="str">
        <f t="array" ref="I91">INDEX(G:G,SMALL(IF($F$1:$F$500&lt;&gt;"",ROW($1:$500),1000),ROW(G91)))&amp;""</f>
        <v/>
      </c>
      <c r="K91" s="8" t="s">
        <v>2344</v>
      </c>
      <c r="L91" s="8" t="s">
        <v>1461</v>
      </c>
      <c r="M91" s="8" t="s">
        <v>494</v>
      </c>
      <c r="N91" s="9">
        <v>2</v>
      </c>
      <c r="P91" s="8" t="str">
        <f t="shared" si="9"/>
        <v>Suggestion</v>
      </c>
      <c r="Q91" s="8" t="str">
        <f>IF(AND(VLOOKUP(M91,查询!$C$8:$E$15,3,FALSE)="启用",$B$1=N91),L91,"")</f>
        <v>暗示术</v>
      </c>
      <c r="R91" s="6" t="str">
        <f t="array" ref="R91">INDEX(P:P,SMALL(IF(P$1:P$500&lt;&gt;"",ROW($1:$500),1000),ROW(P91)))&amp;""</f>
        <v/>
      </c>
      <c r="S91" s="6" t="str">
        <f t="array" ref="S91">INDEX(Q:Q,SMALL(IF(Q$1:Q$500&lt;&gt;"",ROW($1:$500),1000),ROW(Q91)))&amp;""</f>
        <v/>
      </c>
      <c r="U91" s="8" t="s">
        <v>3116</v>
      </c>
      <c r="V91" s="8" t="s">
        <v>1270</v>
      </c>
      <c r="W91" s="8" t="s">
        <v>1249</v>
      </c>
      <c r="X91" s="9">
        <v>6</v>
      </c>
      <c r="Z91" s="8" t="str">
        <f t="shared" si="10"/>
        <v/>
      </c>
      <c r="AA91" s="8" t="str">
        <f>IF(AND(VLOOKUP(W91,查询!$C$8:$E$15,3,FALSE)="启用",$B$1=X91),V91,"")</f>
        <v/>
      </c>
      <c r="AB91" s="6" t="str">
        <f t="array" ref="AB91">INDEX(Z:Z,SMALL(IF(Z$1:Z$500&lt;&gt;"",ROW($1:$500),1000),ROW(Z91)))&amp;""</f>
        <v/>
      </c>
      <c r="AC91" s="6" t="str">
        <f t="array" ref="AC91">INDEX(AA:AA,SMALL(IF(AA$1:AA$500&lt;&gt;"",ROW($1:$500),1000),ROW(AA91)))&amp;""</f>
        <v/>
      </c>
      <c r="AE91" s="8" t="s">
        <v>3210</v>
      </c>
      <c r="AF91" s="8" t="s">
        <v>1607</v>
      </c>
      <c r="AG91" s="8" t="s">
        <v>494</v>
      </c>
      <c r="AH91" s="9">
        <v>6</v>
      </c>
      <c r="AJ91" s="8" t="str">
        <f t="shared" si="11"/>
        <v/>
      </c>
      <c r="AK91" s="8" t="str">
        <f>IF(AND(VLOOKUP(AG91,查询!$C$8:$E$15,3,FALSE)="启用",$B$1=AH91),AF91,"")</f>
        <v/>
      </c>
      <c r="AL91" s="6" t="str">
        <f t="array" ref="AL91">INDEX(AJ:AJ,SMALL(IF(AJ$1:AJ$500&lt;&gt;"",ROW($1:$500),1000),ROW(AJ91)))&amp;""</f>
        <v/>
      </c>
      <c r="AM91" s="6" t="str">
        <f t="array" ref="AM91">INDEX(AK:AK,SMALL(IF(AK$1:AK$500&lt;&gt;"",ROW($1:$500),1000),ROW(AK91)))&amp;""</f>
        <v/>
      </c>
      <c r="AV91" s="6" t="str">
        <f t="array" ref="AV91">INDEX(AT:AT,SMALL(IF(AT$1:AT$500&lt;&gt;"",ROW($1:$500),1000),ROW(AT91)))&amp;""</f>
        <v/>
      </c>
      <c r="AW91" s="6" t="str">
        <f t="array" ref="AW91">INDEX(AU:AU,SMALL(IF(AU$1:AU$500&lt;&gt;"",ROW($1:$500),1000),ROW(AU91)))&amp;""</f>
        <v/>
      </c>
      <c r="BF91" s="6" t="str">
        <f t="array" ref="BF91">INDEX(BD:BD,SMALL(IF(BD$1:BD$500&lt;&gt;"",ROW($1:$500),1000),ROW(BD91)))&amp;""</f>
        <v/>
      </c>
      <c r="BG91" s="6" t="str">
        <f t="array" ref="BG91">INDEX(BE:BE,SMALL(IF(BE$1:BE$500&lt;&gt;"",ROW($1:$500),1000),ROW(BE91)))&amp;""</f>
        <v/>
      </c>
      <c r="BI91" s="8" t="s">
        <v>2557</v>
      </c>
      <c r="BJ91" s="8" t="s">
        <v>1748</v>
      </c>
      <c r="BK91" s="8" t="s">
        <v>578</v>
      </c>
      <c r="BL91" s="9">
        <v>3</v>
      </c>
      <c r="BN91" s="8" t="str">
        <f t="shared" si="12"/>
        <v/>
      </c>
      <c r="BO91" s="8" t="str">
        <f>IF(AND(VLOOKUP(BK91,查询!$C$8:$E$15,3,FALSE)="启用",$B$1=BL91),BJ91,"")</f>
        <v/>
      </c>
      <c r="BP91" s="6" t="str">
        <f t="array" ref="BP91">INDEX(BN:BN,SMALL(IF(BN$1:BN$500&lt;&gt;"",ROW($1:$500),1000),ROW(BN91)))&amp;""</f>
        <v/>
      </c>
      <c r="BQ91" s="6" t="str">
        <f t="array" ref="BQ91">INDEX(BO:BO,SMALL(IF(BO$1:BO$500&lt;&gt;"",ROW($1:$500),1000),ROW(BO91)))&amp;""</f>
        <v/>
      </c>
      <c r="BS91" s="8" t="s">
        <v>2808</v>
      </c>
      <c r="BT91" s="8" t="s">
        <v>1542</v>
      </c>
      <c r="BU91" s="8" t="s">
        <v>494</v>
      </c>
      <c r="BV91" s="9">
        <v>4</v>
      </c>
      <c r="BX91" s="8" t="str">
        <f t="shared" si="13"/>
        <v/>
      </c>
      <c r="BY91" s="8" t="str">
        <f>IF(AND(VLOOKUP(BU91,查询!$C$8:$E$15,3,FALSE)="启用",$B$1=BV91),BT91,"")</f>
        <v/>
      </c>
      <c r="BZ91" s="6" t="str">
        <f t="array" ref="BZ91">INDEX(BX:BX,SMALL(IF(BX$1:BX$500&lt;&gt;"",ROW($1:$500),1000),ROW(BX91)))&amp;""</f>
        <v/>
      </c>
      <c r="CA91" s="6" t="str">
        <f t="array" ref="CA91">INDEX(BY:BY,SMALL(IF(BY$1:BY$500&lt;&gt;"",ROW($1:$500),1000),ROW(BY91)))&amp;""</f>
        <v/>
      </c>
    </row>
    <row r="92" spans="1:79">
      <c r="A92" s="8" t="s">
        <v>2304</v>
      </c>
      <c r="B92" s="8" t="s">
        <v>1397</v>
      </c>
      <c r="C92" s="8" t="s">
        <v>494</v>
      </c>
      <c r="D92" s="9">
        <v>2</v>
      </c>
      <c r="F92" s="8" t="str">
        <f t="shared" si="8"/>
        <v>Spider Climb</v>
      </c>
      <c r="G92" s="8" t="str">
        <f>IF(AND(VLOOKUP(C92,查询!$C$8:$E$15,3,FALSE)="启用",$B$1=D92),B92,"")</f>
        <v>蛛行术</v>
      </c>
      <c r="H92" s="6" t="str">
        <f t="array" ref="H92">INDEX(F:F,SMALL(IF($F$1:$F$500&lt;&gt;"",ROW($1:$500),1000),ROW(F92)))&amp;""</f>
        <v/>
      </c>
      <c r="I92" s="6" t="str">
        <f t="array" ref="I92">INDEX(G:G,SMALL(IF($F$1:$F$500&lt;&gt;"",ROW($1:$500),1000),ROW(G92)))&amp;""</f>
        <v/>
      </c>
      <c r="K92" s="8" t="s">
        <v>1255</v>
      </c>
      <c r="L92" s="8" t="s">
        <v>1253</v>
      </c>
      <c r="M92" s="8" t="s">
        <v>494</v>
      </c>
      <c r="N92" s="9">
        <v>2</v>
      </c>
      <c r="P92" s="8" t="str">
        <f t="shared" si="9"/>
        <v>Detect Thoughts</v>
      </c>
      <c r="Q92" s="8" t="str">
        <f>IF(AND(VLOOKUP(M92,查询!$C$8:$E$15,3,FALSE)="启用",$B$1=N92),L92,"")</f>
        <v>侦测思想</v>
      </c>
      <c r="R92" s="6" t="str">
        <f t="array" ref="R92">INDEX(P:P,SMALL(IF(P$1:P$500&lt;&gt;"",ROW($1:$500),1000),ROW(P92)))&amp;""</f>
        <v/>
      </c>
      <c r="S92" s="6" t="str">
        <f t="array" ref="S92">INDEX(Q:Q,SMALL(IF(Q$1:Q$500&lt;&gt;"",ROW($1:$500),1000),ROW(Q92)))&amp;""</f>
        <v/>
      </c>
      <c r="U92" s="8" t="s">
        <v>3119</v>
      </c>
      <c r="V92" s="8" t="s">
        <v>1274</v>
      </c>
      <c r="W92" s="8" t="s">
        <v>1249</v>
      </c>
      <c r="X92" s="9">
        <v>6</v>
      </c>
      <c r="Z92" s="8" t="str">
        <f t="shared" si="10"/>
        <v/>
      </c>
      <c r="AA92" s="8" t="str">
        <f>IF(AND(VLOOKUP(W92,查询!$C$8:$E$15,3,FALSE)="启用",$B$1=X92),V92,"")</f>
        <v/>
      </c>
      <c r="AB92" s="6" t="str">
        <f t="array" ref="AB92">INDEX(Z:Z,SMALL(IF(Z$1:Z$500&lt;&gt;"",ROW($1:$500),1000),ROW(Z92)))&amp;""</f>
        <v/>
      </c>
      <c r="AC92" s="6" t="str">
        <f t="array" ref="AC92">INDEX(AA:AA,SMALL(IF(AA$1:AA$500&lt;&gt;"",ROW($1:$500),1000),ROW(AA92)))&amp;""</f>
        <v/>
      </c>
      <c r="AE92" s="8" t="s">
        <v>3212</v>
      </c>
      <c r="AF92" s="8" t="s">
        <v>1608</v>
      </c>
      <c r="AG92" s="8" t="s">
        <v>494</v>
      </c>
      <c r="AH92" s="9">
        <v>6</v>
      </c>
      <c r="AJ92" s="8" t="str">
        <f t="shared" si="11"/>
        <v/>
      </c>
      <c r="AK92" s="8" t="str">
        <f>IF(AND(VLOOKUP(AG92,查询!$C$8:$E$15,3,FALSE)="启用",$B$1=AH92),AF92,"")</f>
        <v/>
      </c>
      <c r="AL92" s="6" t="str">
        <f t="array" ref="AL92">INDEX(AJ:AJ,SMALL(IF(AJ$1:AJ$500&lt;&gt;"",ROW($1:$500),1000),ROW(AJ92)))&amp;""</f>
        <v/>
      </c>
      <c r="AM92" s="6" t="str">
        <f t="array" ref="AM92">INDEX(AK:AK,SMALL(IF(AK$1:AK$500&lt;&gt;"",ROW($1:$500),1000),ROW(AK92)))&amp;""</f>
        <v/>
      </c>
      <c r="AV92" s="6" t="str">
        <f t="array" ref="AV92">INDEX(AT:AT,SMALL(IF(AT$1:AT$500&lt;&gt;"",ROW($1:$500),1000),ROW(AT92)))&amp;""</f>
        <v/>
      </c>
      <c r="AW92" s="6" t="str">
        <f t="array" ref="AW92">INDEX(AU:AU,SMALL(IF(AU$1:AU$500&lt;&gt;"",ROW($1:$500),1000),ROW(AU92)))&amp;""</f>
        <v/>
      </c>
      <c r="BF92" s="6" t="str">
        <f t="array" ref="BF92">INDEX(BD:BD,SMALL(IF(BD$1:BD$500&lt;&gt;"",ROW($1:$500),1000),ROW(BD92)))&amp;""</f>
        <v/>
      </c>
      <c r="BG92" s="6" t="str">
        <f t="array" ref="BG92">INDEX(BE:BE,SMALL(IF(BE$1:BE$500&lt;&gt;"",ROW($1:$500),1000),ROW(BE92)))&amp;""</f>
        <v/>
      </c>
      <c r="BI92" s="8" t="s">
        <v>2557</v>
      </c>
      <c r="BJ92" s="8" t="s">
        <v>1347</v>
      </c>
      <c r="BK92" s="8" t="s">
        <v>1249</v>
      </c>
      <c r="BL92" s="9">
        <v>3</v>
      </c>
      <c r="BN92" s="8" t="str">
        <f t="shared" si="12"/>
        <v/>
      </c>
      <c r="BO92" s="8" t="str">
        <f>IF(AND(VLOOKUP(BK92,查询!$C$8:$E$15,3,FALSE)="启用",$B$1=BL92),BJ92,"")</f>
        <v/>
      </c>
      <c r="BP92" s="6" t="str">
        <f t="array" ref="BP92">INDEX(BN:BN,SMALL(IF(BN$1:BN$500&lt;&gt;"",ROW($1:$500),1000),ROW(BN92)))&amp;""</f>
        <v/>
      </c>
      <c r="BQ92" s="6" t="str">
        <f t="array" ref="BQ92">INDEX(BO:BO,SMALL(IF(BO$1:BO$500&lt;&gt;"",ROW($1:$500),1000),ROW(BO92)))&amp;""</f>
        <v/>
      </c>
      <c r="BS92" s="8" t="s">
        <v>2812</v>
      </c>
      <c r="BT92" s="8" t="s">
        <v>1548</v>
      </c>
      <c r="BU92" s="8" t="s">
        <v>494</v>
      </c>
      <c r="BV92" s="9">
        <v>4</v>
      </c>
      <c r="BX92" s="8" t="str">
        <f t="shared" si="13"/>
        <v/>
      </c>
      <c r="BY92" s="8" t="str">
        <f>IF(AND(VLOOKUP(BU92,查询!$C$8:$E$15,3,FALSE)="启用",$B$1=BV92),BT92,"")</f>
        <v/>
      </c>
      <c r="BZ92" s="6" t="str">
        <f t="array" ref="BZ92">INDEX(BX:BX,SMALL(IF(BX$1:BX$500&lt;&gt;"",ROW($1:$500),1000),ROW(BX92)))&amp;""</f>
        <v/>
      </c>
      <c r="CA92" s="6" t="str">
        <f t="array" ref="CA92">INDEX(BY:BY,SMALL(IF(BY$1:BY$500&lt;&gt;"",ROW($1:$500),1000),ROW(BY92)))&amp;""</f>
        <v/>
      </c>
    </row>
    <row r="93" spans="1:79">
      <c r="A93" s="8" t="s">
        <v>2308</v>
      </c>
      <c r="B93" s="8" t="s">
        <v>1400</v>
      </c>
      <c r="C93" s="8" t="s">
        <v>494</v>
      </c>
      <c r="D93" s="9">
        <v>2</v>
      </c>
      <c r="F93" s="8" t="str">
        <f t="shared" si="8"/>
        <v>Alter Self</v>
      </c>
      <c r="G93" s="8" t="str">
        <f>IF(AND(VLOOKUP(C93,查询!$C$8:$E$15,3,FALSE)="启用",$B$1=D93),B93,"")</f>
        <v>变身术</v>
      </c>
      <c r="H93" s="6" t="str">
        <f t="array" ref="H93">INDEX(F:F,SMALL(IF($F$1:$F$500&lt;&gt;"",ROW($1:$500),1000),ROW(F93)))&amp;""</f>
        <v/>
      </c>
      <c r="I93" s="6" t="str">
        <f t="array" ref="I93">INDEX(G:G,SMALL(IF($F$1:$F$500&lt;&gt;"",ROW($1:$500),1000),ROW(G93)))&amp;""</f>
        <v/>
      </c>
      <c r="K93" s="8" t="s">
        <v>2352</v>
      </c>
      <c r="L93" s="8" t="s">
        <v>1469</v>
      </c>
      <c r="M93" s="8" t="s">
        <v>494</v>
      </c>
      <c r="N93" s="9">
        <v>2</v>
      </c>
      <c r="P93" s="8" t="str">
        <f t="shared" si="9"/>
        <v>Knock</v>
      </c>
      <c r="Q93" s="8" t="str">
        <f>IF(AND(VLOOKUP(M93,查询!$C$8:$E$15,3,FALSE)="启用",$B$1=N93),L93,"")</f>
        <v>敲击术</v>
      </c>
      <c r="R93" s="6" t="str">
        <f t="array" ref="R93">INDEX(P:P,SMALL(IF(P$1:P$500&lt;&gt;"",ROW($1:$500),1000),ROW(P93)))&amp;""</f>
        <v/>
      </c>
      <c r="S93" s="6" t="str">
        <f t="array" ref="S93">INDEX(Q:Q,SMALL(IF(Q$1:Q$500&lt;&gt;"",ROW($1:$500),1000),ROW(Q93)))&amp;""</f>
        <v/>
      </c>
      <c r="U93" s="8" t="s">
        <v>3158</v>
      </c>
      <c r="V93" s="8" t="s">
        <v>1386</v>
      </c>
      <c r="W93" s="8" t="s">
        <v>494</v>
      </c>
      <c r="X93" s="9">
        <v>6</v>
      </c>
      <c r="Z93" s="8" t="str">
        <f t="shared" si="10"/>
        <v/>
      </c>
      <c r="AA93" s="8" t="str">
        <f>IF(AND(VLOOKUP(W93,查询!$C$8:$E$15,3,FALSE)="启用",$B$1=X93),V93,"")</f>
        <v/>
      </c>
      <c r="AB93" s="6" t="str">
        <f t="array" ref="AB93">INDEX(Z:Z,SMALL(IF(Z$1:Z$500&lt;&gt;"",ROW($1:$500),1000),ROW(Z93)))&amp;""</f>
        <v/>
      </c>
      <c r="AC93" s="6" t="str">
        <f t="array" ref="AC93">INDEX(AA:AA,SMALL(IF(AA$1:AA$500&lt;&gt;"",ROW($1:$500),1000),ROW(AA93)))&amp;""</f>
        <v/>
      </c>
      <c r="AE93" s="8" t="s">
        <v>3216</v>
      </c>
      <c r="AF93" s="8" t="s">
        <v>1614</v>
      </c>
      <c r="AG93" s="8" t="s">
        <v>494</v>
      </c>
      <c r="AH93" s="9">
        <v>6</v>
      </c>
      <c r="AJ93" s="8" t="str">
        <f t="shared" si="11"/>
        <v/>
      </c>
      <c r="AK93" s="8" t="str">
        <f>IF(AND(VLOOKUP(AG93,查询!$C$8:$E$15,3,FALSE)="启用",$B$1=AH93),AF93,"")</f>
        <v/>
      </c>
      <c r="AL93" s="6" t="str">
        <f t="array" ref="AL93">INDEX(AJ:AJ,SMALL(IF(AJ$1:AJ$500&lt;&gt;"",ROW($1:$500),1000),ROW(AJ93)))&amp;""</f>
        <v/>
      </c>
      <c r="AM93" s="6" t="str">
        <f t="array" ref="AM93">INDEX(AK:AK,SMALL(IF(AK$1:AK$500&lt;&gt;"",ROW($1:$500),1000),ROW(AK93)))&amp;""</f>
        <v/>
      </c>
      <c r="AV93" s="6" t="str">
        <f t="array" ref="AV93">INDEX(AT:AT,SMALL(IF(AT$1:AT$500&lt;&gt;"",ROW($1:$500),1000),ROW(AT93)))&amp;""</f>
        <v/>
      </c>
      <c r="AW93" s="6" t="str">
        <f t="array" ref="AW93">INDEX(AU:AU,SMALL(IF(AU$1:AU$500&lt;&gt;"",ROW($1:$500),1000),ROW(AU93)))&amp;""</f>
        <v/>
      </c>
      <c r="BF93" s="6" t="str">
        <f t="array" ref="BF93">INDEX(BD:BD,SMALL(IF(BD$1:BD$500&lt;&gt;"",ROW($1:$500),1000),ROW(BD93)))&amp;""</f>
        <v/>
      </c>
      <c r="BG93" s="6" t="str">
        <f t="array" ref="BG93">INDEX(BE:BE,SMALL(IF(BE$1:BE$500&lt;&gt;"",ROW($1:$500),1000),ROW(BE93)))&amp;""</f>
        <v/>
      </c>
      <c r="BI93" s="8" t="s">
        <v>2729</v>
      </c>
      <c r="BJ93" s="8" t="s">
        <v>1678</v>
      </c>
      <c r="BK93" s="8" t="s">
        <v>494</v>
      </c>
      <c r="BL93" s="9">
        <v>3</v>
      </c>
      <c r="BN93" s="8" t="str">
        <f t="shared" si="12"/>
        <v/>
      </c>
      <c r="BO93" s="8" t="str">
        <f>IF(AND(VLOOKUP(BK93,查询!$C$8:$E$15,3,FALSE)="启用",$B$1=BL93),BJ93,"")</f>
        <v/>
      </c>
      <c r="BP93" s="6" t="str">
        <f t="array" ref="BP93">INDEX(BN:BN,SMALL(IF(BN$1:BN$500&lt;&gt;"",ROW($1:$500),1000),ROW(BN93)))&amp;""</f>
        <v/>
      </c>
      <c r="BQ93" s="6" t="str">
        <f t="array" ref="BQ93">INDEX(BO:BO,SMALL(IF(BO$1:BO$500&lt;&gt;"",ROW($1:$500),1000),ROW(BO93)))&amp;""</f>
        <v/>
      </c>
      <c r="BS93" s="8" t="s">
        <v>2932</v>
      </c>
      <c r="BT93" s="8" t="s">
        <v>1291</v>
      </c>
      <c r="BU93" s="8" t="s">
        <v>1249</v>
      </c>
      <c r="BV93" s="9">
        <v>5</v>
      </c>
      <c r="BX93" s="8" t="str">
        <f t="shared" si="13"/>
        <v/>
      </c>
      <c r="BY93" s="8" t="str">
        <f>IF(AND(VLOOKUP(BU93,查询!$C$8:$E$15,3,FALSE)="启用",$B$1=BV93),BT93,"")</f>
        <v/>
      </c>
      <c r="BZ93" s="6" t="str">
        <f t="array" ref="BZ93">INDEX(BX:BX,SMALL(IF(BX$1:BX$500&lt;&gt;"",ROW($1:$500),1000),ROW(BX93)))&amp;""</f>
        <v/>
      </c>
      <c r="CA93" s="6" t="str">
        <f t="array" ref="CA93">INDEX(BY:BY,SMALL(IF(BY$1:BY$500&lt;&gt;"",ROW($1:$500),1000),ROW(BY93)))&amp;""</f>
        <v/>
      </c>
    </row>
    <row r="94" spans="1:79">
      <c r="A94" s="8" t="s">
        <v>2311</v>
      </c>
      <c r="B94" s="8" t="s">
        <v>1402</v>
      </c>
      <c r="C94" s="8" t="s">
        <v>494</v>
      </c>
      <c r="D94" s="9">
        <v>2</v>
      </c>
      <c r="F94" s="8" t="str">
        <f t="shared" si="8"/>
        <v>Blur</v>
      </c>
      <c r="G94" s="8" t="str">
        <f>IF(AND(VLOOKUP(C94,查询!$C$8:$E$15,3,FALSE)="启用",$B$1=D94),B94,"")</f>
        <v>朦胧术</v>
      </c>
      <c r="H94" s="6" t="str">
        <f t="array" ref="H94">INDEX(F:F,SMALL(IF($F$1:$F$500&lt;&gt;"",ROW($1:$500),1000),ROW(F94)))&amp;""</f>
        <v/>
      </c>
      <c r="I94" s="6" t="str">
        <f t="array" ref="I94">INDEX(G:G,SMALL(IF($F$1:$F$500&lt;&gt;"",ROW($1:$500),1000),ROW(G94)))&amp;""</f>
        <v/>
      </c>
      <c r="K94" s="8" t="s">
        <v>2354</v>
      </c>
      <c r="L94" s="8" t="s">
        <v>1471</v>
      </c>
      <c r="M94" s="8" t="s">
        <v>494</v>
      </c>
      <c r="N94" s="9">
        <v>2</v>
      </c>
      <c r="P94" s="8" t="str">
        <f t="shared" si="9"/>
        <v>Phantasmal Force</v>
      </c>
      <c r="Q94" s="8" t="str">
        <f>IF(AND(VLOOKUP(M94,查询!$C$8:$E$15,3,FALSE)="启用",$B$1=N94),L94,"")</f>
        <v>魅影之力</v>
      </c>
      <c r="R94" s="6" t="str">
        <f t="array" ref="R94">INDEX(P:P,SMALL(IF(P$1:P$500&lt;&gt;"",ROW($1:$500),1000),ROW(P94)))&amp;""</f>
        <v/>
      </c>
      <c r="S94" s="6" t="str">
        <f t="array" ref="S94">INDEX(Q:Q,SMALL(IF(Q$1:Q$500&lt;&gt;"",ROW($1:$500),1000),ROW(Q94)))&amp;""</f>
        <v/>
      </c>
      <c r="U94" s="8" t="s">
        <v>3160</v>
      </c>
      <c r="V94" s="8" t="s">
        <v>1388</v>
      </c>
      <c r="W94" s="8" t="s">
        <v>494</v>
      </c>
      <c r="X94" s="9">
        <v>6</v>
      </c>
      <c r="Z94" s="8" t="str">
        <f t="shared" si="10"/>
        <v/>
      </c>
      <c r="AA94" s="8" t="str">
        <f>IF(AND(VLOOKUP(W94,查询!$C$8:$E$15,3,FALSE)="启用",$B$1=X94),V94,"")</f>
        <v/>
      </c>
      <c r="AB94" s="6" t="str">
        <f t="array" ref="AB94">INDEX(Z:Z,SMALL(IF(Z$1:Z$500&lt;&gt;"",ROW($1:$500),1000),ROW(Z94)))&amp;""</f>
        <v/>
      </c>
      <c r="AC94" s="6" t="str">
        <f t="array" ref="AC94">INDEX(AA:AA,SMALL(IF(AA$1:AA$500&lt;&gt;"",ROW($1:$500),1000),ROW(AA94)))&amp;""</f>
        <v/>
      </c>
      <c r="AE94" s="8" t="s">
        <v>3218</v>
      </c>
      <c r="AF94" s="8" t="s">
        <v>1620</v>
      </c>
      <c r="AG94" s="8" t="s">
        <v>494</v>
      </c>
      <c r="AH94" s="9">
        <v>6</v>
      </c>
      <c r="AJ94" s="8" t="str">
        <f t="shared" si="11"/>
        <v/>
      </c>
      <c r="AK94" s="8" t="str">
        <f>IF(AND(VLOOKUP(AG94,查询!$C$8:$E$15,3,FALSE)="启用",$B$1=AH94),AF94,"")</f>
        <v/>
      </c>
      <c r="AL94" s="6" t="str">
        <f t="array" ref="AL94">INDEX(AJ:AJ,SMALL(IF(AJ$1:AJ$500&lt;&gt;"",ROW($1:$500),1000),ROW(AJ94)))&amp;""</f>
        <v/>
      </c>
      <c r="AM94" s="6" t="str">
        <f t="array" ref="AM94">INDEX(AK:AK,SMALL(IF(AK$1:AK$500&lt;&gt;"",ROW($1:$500),1000),ROW(AK94)))&amp;""</f>
        <v/>
      </c>
      <c r="AV94" s="6" t="str">
        <f t="array" ref="AV94">INDEX(AT:AT,SMALL(IF(AT$1:AT$500&lt;&gt;"",ROW($1:$500),1000),ROW(AT94)))&amp;""</f>
        <v/>
      </c>
      <c r="AW94" s="6" t="str">
        <f t="array" ref="AW94">INDEX(AU:AU,SMALL(IF(AU$1:AU$500&lt;&gt;"",ROW($1:$500),1000),ROW(AU94)))&amp;""</f>
        <v/>
      </c>
      <c r="BF94" s="6" t="str">
        <f t="array" ref="BF94">INDEX(BD:BD,SMALL(IF(BD$1:BD$500&lt;&gt;"",ROW($1:$500),1000),ROW(BD94)))&amp;""</f>
        <v/>
      </c>
      <c r="BG94" s="6" t="str">
        <f t="array" ref="BG94">INDEX(BE:BE,SMALL(IF(BE$1:BE$500&lt;&gt;"",ROW($1:$500),1000),ROW(BE94)))&amp;""</f>
        <v/>
      </c>
      <c r="BI94" s="8" t="s">
        <v>2733</v>
      </c>
      <c r="BJ94" s="8" t="s">
        <v>1682</v>
      </c>
      <c r="BK94" s="8" t="s">
        <v>494</v>
      </c>
      <c r="BL94" s="9">
        <v>3</v>
      </c>
      <c r="BN94" s="8" t="str">
        <f t="shared" si="12"/>
        <v/>
      </c>
      <c r="BO94" s="8" t="str">
        <f>IF(AND(VLOOKUP(BK94,查询!$C$8:$E$15,3,FALSE)="启用",$B$1=BL94),BJ94,"")</f>
        <v/>
      </c>
      <c r="BP94" s="6" t="str">
        <f t="array" ref="BP94">INDEX(BN:BN,SMALL(IF(BN$1:BN$500&lt;&gt;"",ROW($1:$500),1000),ROW(BN94)))&amp;""</f>
        <v/>
      </c>
      <c r="BQ94" s="6" t="str">
        <f t="array" ref="BQ94">INDEX(BO:BO,SMALL(IF(BO$1:BO$500&lt;&gt;"",ROW($1:$500),1000),ROW(BO94)))&amp;""</f>
        <v/>
      </c>
      <c r="BS94" s="8" t="s">
        <v>2935</v>
      </c>
      <c r="BT94" s="8" t="s">
        <v>1295</v>
      </c>
      <c r="BU94" s="8" t="s">
        <v>1249</v>
      </c>
      <c r="BV94" s="9">
        <v>5</v>
      </c>
      <c r="BX94" s="8" t="str">
        <f t="shared" si="13"/>
        <v/>
      </c>
      <c r="BY94" s="8" t="str">
        <f>IF(AND(VLOOKUP(BU94,查询!$C$8:$E$15,3,FALSE)="启用",$B$1=BV94),BT94,"")</f>
        <v/>
      </c>
      <c r="BZ94" s="6" t="str">
        <f t="array" ref="BZ94">INDEX(BX:BX,SMALL(IF(BX$1:BX$500&lt;&gt;"",ROW($1:$500),1000),ROW(BX94)))&amp;""</f>
        <v/>
      </c>
      <c r="CA94" s="6" t="str">
        <f t="array" ref="CA94">INDEX(BY:BY,SMALL(IF(BY$1:BY$500&lt;&gt;"",ROW($1:$500),1000),ROW(BY94)))&amp;""</f>
        <v/>
      </c>
    </row>
    <row r="95" spans="1:79">
      <c r="A95" s="8" t="s">
        <v>2313</v>
      </c>
      <c r="B95" s="8" t="s">
        <v>1411</v>
      </c>
      <c r="C95" s="8" t="s">
        <v>494</v>
      </c>
      <c r="D95" s="9">
        <v>2</v>
      </c>
      <c r="F95" s="8" t="str">
        <f t="shared" si="8"/>
        <v>Enlarge/Reduce</v>
      </c>
      <c r="G95" s="8" t="str">
        <f>IF(AND(VLOOKUP(C95,查询!$C$8:$E$15,3,FALSE)="启用",$B$1=D95),B95,"")</f>
        <v>变巨/缩小术</v>
      </c>
      <c r="H95" s="6" t="str">
        <f t="array" ref="H95">INDEX(F:F,SMALL(IF($F$1:$F$500&lt;&gt;"",ROW($1:$500),1000),ROW(F95)))&amp;""</f>
        <v/>
      </c>
      <c r="I95" s="6" t="str">
        <f t="array" ref="I95">INDEX(G:G,SMALL(IF($F$1:$F$500&lt;&gt;"",ROW($1:$500),1000),ROW(G95)))&amp;""</f>
        <v/>
      </c>
      <c r="K95" s="8" t="s">
        <v>2358</v>
      </c>
      <c r="L95" s="8" t="s">
        <v>1472</v>
      </c>
      <c r="M95" s="8" t="s">
        <v>494</v>
      </c>
      <c r="N95" s="9">
        <v>2</v>
      </c>
      <c r="P95" s="8" t="str">
        <f t="shared" si="9"/>
        <v>See Invisibility</v>
      </c>
      <c r="Q95" s="8" t="str">
        <f>IF(AND(VLOOKUP(M95,查询!$C$8:$E$15,3,FALSE)="启用",$B$1=N95),L95,"")</f>
        <v>识破隐形</v>
      </c>
      <c r="R95" s="6" t="str">
        <f t="array" ref="R95">INDEX(P:P,SMALL(IF(P$1:P$500&lt;&gt;"",ROW($1:$500),1000),ROW(P95)))&amp;""</f>
        <v/>
      </c>
      <c r="S95" s="6" t="str">
        <f t="array" ref="S95">INDEX(Q:Q,SMALL(IF(Q$1:Q$500&lt;&gt;"",ROW($1:$500),1000),ROW(Q95)))&amp;""</f>
        <v/>
      </c>
      <c r="U95" s="8" t="s">
        <v>3177</v>
      </c>
      <c r="V95" s="8" t="s">
        <v>1447</v>
      </c>
      <c r="W95" s="8" t="s">
        <v>494</v>
      </c>
      <c r="X95" s="9">
        <v>6</v>
      </c>
      <c r="Z95" s="8" t="str">
        <f t="shared" si="10"/>
        <v/>
      </c>
      <c r="AA95" s="8" t="str">
        <f>IF(AND(VLOOKUP(W95,查询!$C$8:$E$15,3,FALSE)="启用",$B$1=X95),V95,"")</f>
        <v/>
      </c>
      <c r="AB95" s="6" t="str">
        <f t="array" ref="AB95">INDEX(Z:Z,SMALL(IF(Z$1:Z$500&lt;&gt;"",ROW($1:$500),1000),ROW(Z95)))&amp;""</f>
        <v/>
      </c>
      <c r="AC95" s="6" t="str">
        <f t="array" ref="AC95">INDEX(AA:AA,SMALL(IF(AA$1:AA$500&lt;&gt;"",ROW($1:$500),1000),ROW(AA95)))&amp;""</f>
        <v/>
      </c>
      <c r="AE95" s="8" t="s">
        <v>3224</v>
      </c>
      <c r="AF95" s="8" t="s">
        <v>1624</v>
      </c>
      <c r="AG95" s="8" t="s">
        <v>494</v>
      </c>
      <c r="AH95" s="9">
        <v>6</v>
      </c>
      <c r="AJ95" s="8" t="str">
        <f t="shared" si="11"/>
        <v/>
      </c>
      <c r="AK95" s="8" t="str">
        <f>IF(AND(VLOOKUP(AG95,查询!$C$8:$E$15,3,FALSE)="启用",$B$1=AH95),AF95,"")</f>
        <v/>
      </c>
      <c r="AL95" s="6" t="str">
        <f t="array" ref="AL95">INDEX(AJ:AJ,SMALL(IF(AJ$1:AJ$500&lt;&gt;"",ROW($1:$500),1000),ROW(AJ95)))&amp;""</f>
        <v/>
      </c>
      <c r="AM95" s="6" t="str">
        <f t="array" ref="AM95">INDEX(AK:AK,SMALL(IF(AK$1:AK$500&lt;&gt;"",ROW($1:$500),1000),ROW(AK95)))&amp;""</f>
        <v/>
      </c>
      <c r="AV95" s="6" t="str">
        <f t="array" ref="AV95">INDEX(AT:AT,SMALL(IF(AT$1:AT$500&lt;&gt;"",ROW($1:$500),1000),ROW(AT95)))&amp;""</f>
        <v/>
      </c>
      <c r="AW95" s="6" t="str">
        <f t="array" ref="AW95">INDEX(AU:AU,SMALL(IF(AU$1:AU$500&lt;&gt;"",ROW($1:$500),1000),ROW(AU95)))&amp;""</f>
        <v/>
      </c>
      <c r="BF95" s="6" t="str">
        <f t="array" ref="BF95">INDEX(BD:BD,SMALL(IF(BD$1:BD$500&lt;&gt;"",ROW($1:$500),1000),ROW(BD95)))&amp;""</f>
        <v/>
      </c>
      <c r="BG95" s="6" t="str">
        <f t="array" ref="BG95">INDEX(BE:BE,SMALL(IF(BE$1:BE$500&lt;&gt;"",ROW($1:$500),1000),ROW(BE95)))&amp;""</f>
        <v/>
      </c>
      <c r="BI95" s="8" t="s">
        <v>2735</v>
      </c>
      <c r="BJ95" s="8" t="s">
        <v>1689</v>
      </c>
      <c r="BK95" s="8" t="s">
        <v>494</v>
      </c>
      <c r="BL95" s="9">
        <v>3</v>
      </c>
      <c r="BN95" s="8" t="str">
        <f t="shared" si="12"/>
        <v/>
      </c>
      <c r="BO95" s="8" t="str">
        <f>IF(AND(VLOOKUP(BK95,查询!$C$8:$E$15,3,FALSE)="启用",$B$1=BL95),BJ95,"")</f>
        <v/>
      </c>
      <c r="BP95" s="6" t="str">
        <f t="array" ref="BP95">INDEX(BN:BN,SMALL(IF(BN$1:BN$500&lt;&gt;"",ROW($1:$500),1000),ROW(BN95)))&amp;""</f>
        <v/>
      </c>
      <c r="BQ95" s="6" t="str">
        <f t="array" ref="BQ95">INDEX(BO:BO,SMALL(IF(BO$1:BO$500&lt;&gt;"",ROW($1:$500),1000),ROW(BO95)))&amp;""</f>
        <v/>
      </c>
      <c r="BS95" s="8" t="s">
        <v>2988</v>
      </c>
      <c r="BT95" s="8" t="s">
        <v>1434</v>
      </c>
      <c r="BU95" s="8" t="s">
        <v>494</v>
      </c>
      <c r="BV95" s="9">
        <v>5</v>
      </c>
      <c r="BX95" s="8" t="str">
        <f t="shared" si="13"/>
        <v/>
      </c>
      <c r="BY95" s="8" t="str">
        <f>IF(AND(VLOOKUP(BU95,查询!$C$8:$E$15,3,FALSE)="启用",$B$1=BV95),BT95,"")</f>
        <v/>
      </c>
      <c r="BZ95" s="6" t="str">
        <f t="array" ref="BZ95">INDEX(BX:BX,SMALL(IF(BX$1:BX$500&lt;&gt;"",ROW($1:$500),1000),ROW(BX95)))&amp;""</f>
        <v/>
      </c>
      <c r="CA95" s="6" t="str">
        <f t="array" ref="CA95">INDEX(BY:BY,SMALL(IF(BY$1:BY$500&lt;&gt;"",ROW($1:$500),1000),ROW(BY95)))&amp;""</f>
        <v/>
      </c>
    </row>
    <row r="96" spans="1:79">
      <c r="A96" s="8" t="s">
        <v>2317</v>
      </c>
      <c r="B96" s="8" t="s">
        <v>1418</v>
      </c>
      <c r="C96" s="8" t="s">
        <v>494</v>
      </c>
      <c r="D96" s="9">
        <v>2</v>
      </c>
      <c r="F96" s="8" t="str">
        <f t="shared" si="8"/>
        <v>Levitate</v>
      </c>
      <c r="G96" s="8" t="str">
        <f>IF(AND(VLOOKUP(C96,查询!$C$8:$E$15,3,FALSE)="启用",$B$1=D96),B96,"")</f>
        <v>浮空术</v>
      </c>
      <c r="H96" s="6" t="str">
        <f t="array" ref="H96">INDEX(F:F,SMALL(IF($F$1:$F$500&lt;&gt;"",ROW($1:$500),1000),ROW(F96)))&amp;""</f>
        <v/>
      </c>
      <c r="I96" s="6" t="str">
        <f t="array" ref="I96">INDEX(G:G,SMALL(IF($F$1:$F$500&lt;&gt;"",ROW($1:$500),1000),ROW(G96)))&amp;""</f>
        <v/>
      </c>
      <c r="K96" s="8" t="s">
        <v>2366</v>
      </c>
      <c r="L96" s="8" t="s">
        <v>1484</v>
      </c>
      <c r="M96" s="8" t="s">
        <v>494</v>
      </c>
      <c r="N96" s="9">
        <v>2</v>
      </c>
      <c r="P96" s="8" t="str">
        <f t="shared" si="9"/>
        <v>Blindness/Deafness</v>
      </c>
      <c r="Q96" s="8" t="str">
        <f>IF(AND(VLOOKUP(M96,查询!$C$8:$E$15,3,FALSE)="启用",$B$1=N96),L96,"")</f>
        <v>目盲/耳聋术</v>
      </c>
      <c r="R96" s="6" t="str">
        <f t="array" ref="R96">INDEX(P:P,SMALL(IF(P$1:P$500&lt;&gt;"",ROW($1:$500),1000),ROW(P96)))&amp;""</f>
        <v/>
      </c>
      <c r="S96" s="6" t="str">
        <f t="array" ref="S96">INDEX(Q:Q,SMALL(IF(Q$1:Q$500&lt;&gt;"",ROW($1:$500),1000),ROW(Q96)))&amp;""</f>
        <v/>
      </c>
      <c r="U96" s="8" t="s">
        <v>3179</v>
      </c>
      <c r="V96" s="8" t="s">
        <v>1455</v>
      </c>
      <c r="W96" s="8" t="s">
        <v>494</v>
      </c>
      <c r="X96" s="9">
        <v>6</v>
      </c>
      <c r="Z96" s="8" t="str">
        <f t="shared" si="10"/>
        <v/>
      </c>
      <c r="AA96" s="8" t="str">
        <f>IF(AND(VLOOKUP(W96,查询!$C$8:$E$15,3,FALSE)="启用",$B$1=X96),V96,"")</f>
        <v/>
      </c>
      <c r="AB96" s="6" t="str">
        <f t="array" ref="AB96">INDEX(Z:Z,SMALL(IF(Z$1:Z$500&lt;&gt;"",ROW($1:$500),1000),ROW(Z96)))&amp;""</f>
        <v/>
      </c>
      <c r="AC96" s="6" t="str">
        <f t="array" ref="AC96">INDEX(AA:AA,SMALL(IF(AA$1:AA$500&lt;&gt;"",ROW($1:$500),1000),ROW(AA96)))&amp;""</f>
        <v/>
      </c>
      <c r="AE96" s="8" t="s">
        <v>3226</v>
      </c>
      <c r="AF96" s="8" t="s">
        <v>1629</v>
      </c>
      <c r="AG96" s="8" t="s">
        <v>494</v>
      </c>
      <c r="AH96" s="9">
        <v>6</v>
      </c>
      <c r="AJ96" s="8" t="str">
        <f t="shared" si="11"/>
        <v/>
      </c>
      <c r="AK96" s="8" t="str">
        <f>IF(AND(VLOOKUP(AG96,查询!$C$8:$E$15,3,FALSE)="启用",$B$1=AH96),AF96,"")</f>
        <v/>
      </c>
      <c r="AL96" s="6" t="str">
        <f t="array" ref="AL96">INDEX(AJ:AJ,SMALL(IF(AJ$1:AJ$500&lt;&gt;"",ROW($1:$500),1000),ROW(AJ96)))&amp;""</f>
        <v/>
      </c>
      <c r="AM96" s="6" t="str">
        <f t="array" ref="AM96">INDEX(AK:AK,SMALL(IF(AK$1:AK$500&lt;&gt;"",ROW($1:$500),1000),ROW(AK96)))&amp;""</f>
        <v/>
      </c>
      <c r="AV96" s="6" t="str">
        <f t="array" ref="AV96">INDEX(AT:AT,SMALL(IF(AT$1:AT$500&lt;&gt;"",ROW($1:$500),1000),ROW(AT96)))&amp;""</f>
        <v/>
      </c>
      <c r="AW96" s="6" t="str">
        <f t="array" ref="AW96">INDEX(AU:AU,SMALL(IF(AU$1:AU$500&lt;&gt;"",ROW($1:$500),1000),ROW(AU96)))&amp;""</f>
        <v/>
      </c>
      <c r="BF96" s="6" t="str">
        <f t="array" ref="BF96">INDEX(BD:BD,SMALL(IF(BD$1:BD$500&lt;&gt;"",ROW($1:$500),1000),ROW(BD96)))&amp;""</f>
        <v/>
      </c>
      <c r="BG96" s="6" t="str">
        <f t="array" ref="BG96">INDEX(BE:BE,SMALL(IF(BE$1:BE$500&lt;&gt;"",ROW($1:$500),1000),ROW(BE96)))&amp;""</f>
        <v/>
      </c>
      <c r="BI96" s="8" t="s">
        <v>2739</v>
      </c>
      <c r="BJ96" s="8" t="s">
        <v>1696</v>
      </c>
      <c r="BK96" s="8" t="s">
        <v>494</v>
      </c>
      <c r="BL96" s="9">
        <v>3</v>
      </c>
      <c r="BN96" s="8" t="str">
        <f t="shared" si="12"/>
        <v/>
      </c>
      <c r="BO96" s="8" t="str">
        <f>IF(AND(VLOOKUP(BK96,查询!$C$8:$E$15,3,FALSE)="启用",$B$1=BL96),BJ96,"")</f>
        <v/>
      </c>
      <c r="BP96" s="6" t="str">
        <f t="array" ref="BP96">INDEX(BN:BN,SMALL(IF(BN$1:BN$500&lt;&gt;"",ROW($1:$500),1000),ROW(BN96)))&amp;""</f>
        <v/>
      </c>
      <c r="BQ96" s="6" t="str">
        <f t="array" ref="BQ96">INDEX(BO:BO,SMALL(IF(BO$1:BO$500&lt;&gt;"",ROW($1:$500),1000),ROW(BO96)))&amp;""</f>
        <v/>
      </c>
      <c r="BS96" s="8" t="s">
        <v>2992</v>
      </c>
      <c r="BT96" s="8" t="s">
        <v>1450</v>
      </c>
      <c r="BU96" s="8" t="s">
        <v>494</v>
      </c>
      <c r="BV96" s="9">
        <v>5</v>
      </c>
      <c r="BX96" s="8" t="str">
        <f t="shared" si="13"/>
        <v/>
      </c>
      <c r="BY96" s="8" t="str">
        <f>IF(AND(VLOOKUP(BU96,查询!$C$8:$E$15,3,FALSE)="启用",$B$1=BV96),BT96,"")</f>
        <v/>
      </c>
      <c r="BZ96" s="6" t="str">
        <f t="array" ref="BZ96">INDEX(BX:BX,SMALL(IF(BX$1:BX$500&lt;&gt;"",ROW($1:$500),1000),ROW(BX96)))&amp;""</f>
        <v/>
      </c>
      <c r="CA96" s="6" t="str">
        <f t="array" ref="CA96">INDEX(BY:BY,SMALL(IF(BY$1:BY$500&lt;&gt;"",ROW($1:$500),1000),ROW(BY96)))&amp;""</f>
        <v/>
      </c>
    </row>
    <row r="97" spans="1:79">
      <c r="A97" s="8" t="s">
        <v>2321</v>
      </c>
      <c r="B97" s="8" t="s">
        <v>1431</v>
      </c>
      <c r="C97" s="8" t="s">
        <v>494</v>
      </c>
      <c r="D97" s="9">
        <v>2</v>
      </c>
      <c r="F97" s="8" t="str">
        <f t="shared" si="8"/>
        <v>Web</v>
      </c>
      <c r="G97" s="8" t="str">
        <f>IF(AND(VLOOKUP(C97,查询!$C$8:$E$15,3,FALSE)="启用",$B$1=D97),B97,"")</f>
        <v>蛛网术</v>
      </c>
      <c r="H97" s="6" t="str">
        <f t="array" ref="H97">INDEX(F:F,SMALL(IF($F$1:$F$500&lt;&gt;"",ROW($1:$500),1000),ROW(F97)))&amp;""</f>
        <v/>
      </c>
      <c r="I97" s="6" t="str">
        <f t="array" ref="I97">INDEX(G:G,SMALL(IF($F$1:$F$500&lt;&gt;"",ROW($1:$500),1000),ROW(G97)))&amp;""</f>
        <v/>
      </c>
      <c r="K97" s="8" t="s">
        <v>2372</v>
      </c>
      <c r="L97" s="8" t="s">
        <v>1496</v>
      </c>
      <c r="M97" s="8" t="s">
        <v>494</v>
      </c>
      <c r="N97" s="9">
        <v>2</v>
      </c>
      <c r="P97" s="8" t="str">
        <f t="shared" si="9"/>
        <v>Hold Person</v>
      </c>
      <c r="Q97" s="8" t="str">
        <f>IF(AND(VLOOKUP(M97,查询!$C$8:$E$15,3,FALSE)="启用",$B$1=N97),L97,"")</f>
        <v>人类定身术</v>
      </c>
      <c r="R97" s="6" t="str">
        <f t="array" ref="R97">INDEX(P:P,SMALL(IF(P$1:P$500&lt;&gt;"",ROW($1:$500),1000),ROW(P97)))&amp;""</f>
        <v/>
      </c>
      <c r="S97" s="6" t="str">
        <f t="array" ref="S97">INDEX(Q:Q,SMALL(IF(Q$1:Q$500&lt;&gt;"",ROW($1:$500),1000),ROW(Q97)))&amp;""</f>
        <v/>
      </c>
      <c r="U97" s="8" t="s">
        <v>3184</v>
      </c>
      <c r="V97" s="8" t="s">
        <v>1483</v>
      </c>
      <c r="W97" s="8" t="s">
        <v>494</v>
      </c>
      <c r="X97" s="9">
        <v>6</v>
      </c>
      <c r="Z97" s="8" t="str">
        <f t="shared" si="10"/>
        <v/>
      </c>
      <c r="AA97" s="8" t="str">
        <f>IF(AND(VLOOKUP(W97,查询!$C$8:$E$15,3,FALSE)="启用",$B$1=X97),V97,"")</f>
        <v/>
      </c>
      <c r="AB97" s="6" t="str">
        <f t="array" ref="AB97">INDEX(Z:Z,SMALL(IF(Z$1:Z$500&lt;&gt;"",ROW($1:$500),1000),ROW(Z97)))&amp;""</f>
        <v/>
      </c>
      <c r="AC97" s="6" t="str">
        <f t="array" ref="AC97">INDEX(AA:AA,SMALL(IF(AA$1:AA$500&lt;&gt;"",ROW($1:$500),1000),ROW(AA97)))&amp;""</f>
        <v/>
      </c>
      <c r="AE97" s="8" t="s">
        <v>3228</v>
      </c>
      <c r="AF97" s="8" t="s">
        <v>1638</v>
      </c>
      <c r="AG97" s="8" t="s">
        <v>494</v>
      </c>
      <c r="AH97" s="9">
        <v>6</v>
      </c>
      <c r="AJ97" s="8" t="str">
        <f t="shared" si="11"/>
        <v/>
      </c>
      <c r="AK97" s="8" t="str">
        <f>IF(AND(VLOOKUP(AG97,查询!$C$8:$E$15,3,FALSE)="启用",$B$1=AH97),AF97,"")</f>
        <v/>
      </c>
      <c r="AL97" s="6" t="str">
        <f t="array" ref="AL97">INDEX(AJ:AJ,SMALL(IF(AJ$1:AJ$500&lt;&gt;"",ROW($1:$500),1000),ROW(AJ97)))&amp;""</f>
        <v/>
      </c>
      <c r="AM97" s="6" t="str">
        <f t="array" ref="AM97">INDEX(AK:AK,SMALL(IF(AK$1:AK$500&lt;&gt;"",ROW($1:$500),1000),ROW(AK97)))&amp;""</f>
        <v/>
      </c>
      <c r="AV97" s="6" t="str">
        <f t="array" ref="AV97">INDEX(AT:AT,SMALL(IF(AT$1:AT$500&lt;&gt;"",ROW($1:$500),1000),ROW(AT97)))&amp;""</f>
        <v/>
      </c>
      <c r="AW97" s="6" t="str">
        <f t="array" ref="AW97">INDEX(AU:AU,SMALL(IF(AU$1:AU$500&lt;&gt;"",ROW($1:$500),1000),ROW(AU97)))&amp;""</f>
        <v/>
      </c>
      <c r="BF97" s="6" t="str">
        <f t="array" ref="BF97">INDEX(BD:BD,SMALL(IF(BD$1:BD$500&lt;&gt;"",ROW($1:$500),1000),ROW(BD97)))&amp;""</f>
        <v/>
      </c>
      <c r="BG97" s="6" t="str">
        <f t="array" ref="BG97">INDEX(BE:BE,SMALL(IF(BE$1:BE$500&lt;&gt;"",ROW($1:$500),1000),ROW(BE97)))&amp;""</f>
        <v/>
      </c>
      <c r="BI97" s="8" t="s">
        <v>2743</v>
      </c>
      <c r="BJ97" s="8" t="s">
        <v>1709</v>
      </c>
      <c r="BK97" s="8" t="s">
        <v>494</v>
      </c>
      <c r="BL97" s="9">
        <v>3</v>
      </c>
      <c r="BN97" s="8" t="str">
        <f t="shared" si="12"/>
        <v/>
      </c>
      <c r="BO97" s="8" t="str">
        <f>IF(AND(VLOOKUP(BK97,查询!$C$8:$E$15,3,FALSE)="启用",$B$1=BL97),BJ97,"")</f>
        <v/>
      </c>
      <c r="BP97" s="6" t="str">
        <f t="array" ref="BP97">INDEX(BN:BN,SMALL(IF(BN$1:BN$500&lt;&gt;"",ROW($1:$500),1000),ROW(BN97)))&amp;""</f>
        <v/>
      </c>
      <c r="BQ97" s="6" t="str">
        <f t="array" ref="BQ97">INDEX(BO:BO,SMALL(IF(BO$1:BO$500&lt;&gt;"",ROW($1:$500),1000),ROW(BO97)))&amp;""</f>
        <v/>
      </c>
      <c r="BS97" s="8" t="s">
        <v>2994</v>
      </c>
      <c r="BT97" s="8" t="s">
        <v>1463</v>
      </c>
      <c r="BU97" s="8" t="s">
        <v>494</v>
      </c>
      <c r="BV97" s="9">
        <v>5</v>
      </c>
      <c r="BX97" s="8" t="str">
        <f t="shared" si="13"/>
        <v/>
      </c>
      <c r="BY97" s="8" t="str">
        <f>IF(AND(VLOOKUP(BU97,查询!$C$8:$E$15,3,FALSE)="启用",$B$1=BV97),BT97,"")</f>
        <v/>
      </c>
      <c r="BZ97" s="6" t="str">
        <f t="array" ref="BZ97">INDEX(BX:BX,SMALL(IF(BX$1:BX$500&lt;&gt;"",ROW($1:$500),1000),ROW(BX97)))&amp;""</f>
        <v/>
      </c>
      <c r="CA97" s="6" t="str">
        <f t="array" ref="CA97">INDEX(BY:BY,SMALL(IF(BY$1:BY$500&lt;&gt;"",ROW($1:$500),1000),ROW(BY97)))&amp;""</f>
        <v/>
      </c>
    </row>
    <row r="98" spans="1:79">
      <c r="A98" s="8" t="s">
        <v>2265</v>
      </c>
      <c r="B98" s="8" t="s">
        <v>1730</v>
      </c>
      <c r="C98" s="8" t="s">
        <v>578</v>
      </c>
      <c r="D98" s="9">
        <v>2</v>
      </c>
      <c r="F98" s="8" t="str">
        <f t="shared" si="8"/>
        <v>Pyrotechnics</v>
      </c>
      <c r="G98" s="8" t="str">
        <f>IF(AND(VLOOKUP(C98,查询!$C$8:$E$15,3,FALSE)="启用",$B$1=D98),B98,"")</f>
        <v>烟火E</v>
      </c>
      <c r="H98" s="6" t="str">
        <f t="array" ref="H98">INDEX(F:F,SMALL(IF($F$1:$F$500&lt;&gt;"",ROW($1:$500),1000),ROW(F98)))&amp;""</f>
        <v/>
      </c>
      <c r="I98" s="6" t="str">
        <f t="array" ref="I98">INDEX(G:G,SMALL(IF($F$1:$F$500&lt;&gt;"",ROW($1:$500),1000),ROW(G98)))&amp;""</f>
        <v/>
      </c>
      <c r="K98" s="8" t="s">
        <v>2377</v>
      </c>
      <c r="L98" s="8" t="s">
        <v>1498</v>
      </c>
      <c r="M98" s="8" t="s">
        <v>494</v>
      </c>
      <c r="N98" s="9">
        <v>2</v>
      </c>
      <c r="P98" s="8" t="str">
        <f t="shared" si="9"/>
        <v>Enhance Ability</v>
      </c>
      <c r="Q98" s="8" t="str">
        <f>IF(AND(VLOOKUP(M98,查询!$C$8:$E$15,3,FALSE)="启用",$B$1=N98),L98,"")</f>
        <v>强化属性</v>
      </c>
      <c r="R98" s="6" t="str">
        <f t="array" ref="R98">INDEX(P:P,SMALL(IF(P$1:P$500&lt;&gt;"",ROW($1:$500),1000),ROW(P98)))&amp;""</f>
        <v/>
      </c>
      <c r="S98" s="6" t="str">
        <f t="array" ref="S98">INDEX(Q:Q,SMALL(IF(Q$1:Q$500&lt;&gt;"",ROW($1:$500),1000),ROW(Q98)))&amp;""</f>
        <v/>
      </c>
      <c r="U98" s="8" t="s">
        <v>3205</v>
      </c>
      <c r="V98" s="8" t="s">
        <v>1571</v>
      </c>
      <c r="W98" s="8" t="s">
        <v>494</v>
      </c>
      <c r="X98" s="9">
        <v>6</v>
      </c>
      <c r="Z98" s="8" t="str">
        <f t="shared" si="10"/>
        <v/>
      </c>
      <c r="AA98" s="8" t="str">
        <f>IF(AND(VLOOKUP(W98,查询!$C$8:$E$15,3,FALSE)="启用",$B$1=X98),V98,"")</f>
        <v/>
      </c>
      <c r="AB98" s="6" t="str">
        <f t="array" ref="AB98">INDEX(Z:Z,SMALL(IF(Z$1:Z$500&lt;&gt;"",ROW($1:$500),1000),ROW(Z98)))&amp;""</f>
        <v/>
      </c>
      <c r="AC98" s="6" t="str">
        <f t="array" ref="AC98">INDEX(AA:AA,SMALL(IF(AA$1:AA$500&lt;&gt;"",ROW($1:$500),1000),ROW(AA98)))&amp;""</f>
        <v/>
      </c>
      <c r="AE98" s="8" t="s">
        <v>3315</v>
      </c>
      <c r="AF98" s="8" t="s">
        <v>1481</v>
      </c>
      <c r="AG98" s="8" t="s">
        <v>494</v>
      </c>
      <c r="AH98" s="9">
        <v>7</v>
      </c>
      <c r="AJ98" s="8" t="str">
        <f t="shared" si="11"/>
        <v/>
      </c>
      <c r="AK98" s="8" t="str">
        <f>IF(AND(VLOOKUP(AG98,查询!$C$8:$E$15,3,FALSE)="启用",$B$1=AH98),AF98,"")</f>
        <v/>
      </c>
      <c r="AL98" s="6" t="str">
        <f t="array" ref="AL98">INDEX(AJ:AJ,SMALL(IF(AJ$1:AJ$500&lt;&gt;"",ROW($1:$500),1000),ROW(AJ98)))&amp;""</f>
        <v/>
      </c>
      <c r="AM98" s="6" t="str">
        <f t="array" ref="AM98">INDEX(AK:AK,SMALL(IF(AK$1:AK$500&lt;&gt;"",ROW($1:$500),1000),ROW(AK98)))&amp;""</f>
        <v/>
      </c>
      <c r="AV98" s="6" t="str">
        <f t="array" ref="AV98">INDEX(AT:AT,SMALL(IF(AT$1:AT$500&lt;&gt;"",ROW($1:$500),1000),ROW(AT98)))&amp;""</f>
        <v/>
      </c>
      <c r="AW98" s="6" t="str">
        <f t="array" ref="AW98">INDEX(AU:AU,SMALL(IF(AU$1:AU$500&lt;&gt;"",ROW($1:$500),1000),ROW(AU98)))&amp;""</f>
        <v/>
      </c>
      <c r="BF98" s="6" t="str">
        <f t="array" ref="BF98">INDEX(BD:BD,SMALL(IF(BD$1:BD$500&lt;&gt;"",ROW($1:$500),1000),ROW(BD98)))&amp;""</f>
        <v/>
      </c>
      <c r="BG98" s="6" t="str">
        <f t="array" ref="BG98">INDEX(BE:BE,SMALL(IF(BE$1:BE$500&lt;&gt;"",ROW($1:$500),1000),ROW(BE98)))&amp;""</f>
        <v/>
      </c>
      <c r="BI98" s="8" t="s">
        <v>2547</v>
      </c>
      <c r="BJ98" s="8" t="s">
        <v>1759</v>
      </c>
      <c r="BK98" s="8" t="s">
        <v>578</v>
      </c>
      <c r="BL98" s="9">
        <v>3</v>
      </c>
      <c r="BN98" s="8" t="str">
        <f t="shared" si="12"/>
        <v/>
      </c>
      <c r="BO98" s="8" t="str">
        <f>IF(AND(VLOOKUP(BK98,查询!$C$8:$E$15,3,FALSE)="启用",$B$1=BL98),BJ98,"")</f>
        <v/>
      </c>
      <c r="BP98" s="6" t="str">
        <f t="array" ref="BP98">INDEX(BN:BN,SMALL(IF(BN$1:BN$500&lt;&gt;"",ROW($1:$500),1000),ROW(BN98)))&amp;""</f>
        <v/>
      </c>
      <c r="BQ98" s="6" t="str">
        <f t="array" ref="BQ98">INDEX(BO:BO,SMALL(IF(BO$1:BO$500&lt;&gt;"",ROW($1:$500),1000),ROW(BO98)))&amp;""</f>
        <v/>
      </c>
      <c r="BS98" s="8" t="s">
        <v>2996</v>
      </c>
      <c r="BT98" s="8" t="s">
        <v>1466</v>
      </c>
      <c r="BU98" s="8" t="s">
        <v>494</v>
      </c>
      <c r="BV98" s="9">
        <v>5</v>
      </c>
      <c r="BX98" s="8" t="str">
        <f t="shared" si="13"/>
        <v/>
      </c>
      <c r="BY98" s="8" t="str">
        <f>IF(AND(VLOOKUP(BU98,查询!$C$8:$E$15,3,FALSE)="启用",$B$1=BV98),BT98,"")</f>
        <v/>
      </c>
      <c r="BZ98" s="6" t="str">
        <f t="array" ref="BZ98">INDEX(BX:BX,SMALL(IF(BX$1:BX$500&lt;&gt;"",ROW($1:$500),1000),ROW(BX98)))&amp;""</f>
        <v/>
      </c>
      <c r="CA98" s="6" t="str">
        <f t="array" ref="CA98">INDEX(BY:BY,SMALL(IF(BY$1:BY$500&lt;&gt;"",ROW($1:$500),1000),ROW(BY98)))&amp;""</f>
        <v/>
      </c>
    </row>
    <row r="99" spans="1:79">
      <c r="A99" s="8" t="s">
        <v>2265</v>
      </c>
      <c r="B99" s="8" t="s">
        <v>1294</v>
      </c>
      <c r="C99" s="8" t="s">
        <v>1249</v>
      </c>
      <c r="D99" s="9">
        <v>2</v>
      </c>
      <c r="F99" s="8" t="str">
        <f t="shared" si="8"/>
        <v>Pyrotechnics</v>
      </c>
      <c r="G99" s="8" t="str">
        <f>IF(AND(VLOOKUP(C99,查询!$C$8:$E$15,3,FALSE)="启用",$B$1=D99),B99,"")</f>
        <v>烟火</v>
      </c>
      <c r="H99" s="6" t="str">
        <f t="array" ref="H99">INDEX(F:F,SMALL(IF($F$1:$F$500&lt;&gt;"",ROW($1:$500),1000),ROW(F99)))&amp;""</f>
        <v/>
      </c>
      <c r="I99" s="6" t="str">
        <f t="array" ref="I99">INDEX(G:G,SMALL(IF($F$1:$F$500&lt;&gt;"",ROW($1:$500),1000),ROW(G99)))&amp;""</f>
        <v/>
      </c>
      <c r="K99" s="8" t="s">
        <v>2267</v>
      </c>
      <c r="L99" s="8" t="s">
        <v>1733</v>
      </c>
      <c r="M99" s="8" t="s">
        <v>578</v>
      </c>
      <c r="N99" s="9">
        <v>2</v>
      </c>
      <c r="P99" s="8" t="str">
        <f t="shared" si="9"/>
        <v>Warding Wind</v>
      </c>
      <c r="Q99" s="8" t="str">
        <f>IF(AND(VLOOKUP(M99,查询!$C$8:$E$15,3,FALSE)="启用",$B$1=N99),L99,"")</f>
        <v>守护之风E</v>
      </c>
      <c r="R99" s="6" t="str">
        <f t="array" ref="R99">INDEX(P:P,SMALL(IF(P$1:P$500&lt;&gt;"",ROW($1:$500),1000),ROW(P99)))&amp;""</f>
        <v/>
      </c>
      <c r="S99" s="6" t="str">
        <f t="array" ref="S99">INDEX(Q:Q,SMALL(IF(Q$1:Q$500&lt;&gt;"",ROW($1:$500),1000),ROW(Q99)))&amp;""</f>
        <v/>
      </c>
      <c r="U99" s="8" t="s">
        <v>3122</v>
      </c>
      <c r="V99" s="8" t="s">
        <v>1315</v>
      </c>
      <c r="W99" s="8" t="s">
        <v>1249</v>
      </c>
      <c r="X99" s="9">
        <v>6</v>
      </c>
      <c r="Z99" s="8" t="str">
        <f t="shared" si="10"/>
        <v/>
      </c>
      <c r="AA99" s="8" t="str">
        <f>IF(AND(VLOOKUP(W99,查询!$C$8:$E$15,3,FALSE)="启用",$B$1=X99),V99,"")</f>
        <v/>
      </c>
      <c r="AB99" s="6" t="str">
        <f t="array" ref="AB99">INDEX(Z:Z,SMALL(IF(Z$1:Z$500&lt;&gt;"",ROW($1:$500),1000),ROW(Z99)))&amp;""</f>
        <v/>
      </c>
      <c r="AC99" s="6" t="str">
        <f t="array" ref="AC99">INDEX(AA:AA,SMALL(IF(AA$1:AA$500&lt;&gt;"",ROW($1:$500),1000),ROW(AA99)))&amp;""</f>
        <v/>
      </c>
      <c r="AE99" s="8" t="s">
        <v>3319</v>
      </c>
      <c r="AF99" s="8" t="s">
        <v>1493</v>
      </c>
      <c r="AG99" s="8" t="s">
        <v>494</v>
      </c>
      <c r="AH99" s="9">
        <v>7</v>
      </c>
      <c r="AJ99" s="8" t="str">
        <f t="shared" si="11"/>
        <v/>
      </c>
      <c r="AK99" s="8" t="str">
        <f>IF(AND(VLOOKUP(AG99,查询!$C$8:$E$15,3,FALSE)="启用",$B$1=AH99),AF99,"")</f>
        <v/>
      </c>
      <c r="AL99" s="6" t="str">
        <f t="array" ref="AL99">INDEX(AJ:AJ,SMALL(IF(AJ$1:AJ$500&lt;&gt;"",ROW($1:$500),1000),ROW(AJ99)))&amp;""</f>
        <v/>
      </c>
      <c r="AM99" s="6" t="str">
        <f t="array" ref="AM99">INDEX(AK:AK,SMALL(IF(AK$1:AK$500&lt;&gt;"",ROW($1:$500),1000),ROW(AK99)))&amp;""</f>
        <v/>
      </c>
      <c r="AV99" s="6" t="str">
        <f t="array" ref="AV99">INDEX(AT:AT,SMALL(IF(AT$1:AT$500&lt;&gt;"",ROW($1:$500),1000),ROW(AT99)))&amp;""</f>
        <v/>
      </c>
      <c r="AW99" s="6" t="str">
        <f t="array" ref="AW99">INDEX(AU:AU,SMALL(IF(AU$1:AU$500&lt;&gt;"",ROW($1:$500),1000),ROW(AU99)))&amp;""</f>
        <v/>
      </c>
      <c r="BF99" s="6" t="str">
        <f t="array" ref="BF99">INDEX(BD:BD,SMALL(IF(BD$1:BD$500&lt;&gt;"",ROW($1:$500),1000),ROW(BD99)))&amp;""</f>
        <v/>
      </c>
      <c r="BG99" s="6" t="str">
        <f t="array" ref="BG99">INDEX(BE:BE,SMALL(IF(BE$1:BE$500&lt;&gt;"",ROW($1:$500),1000),ROW(BE99)))&amp;""</f>
        <v/>
      </c>
      <c r="BI99" s="8" t="s">
        <v>2767</v>
      </c>
      <c r="BJ99" s="8" t="s">
        <v>1296</v>
      </c>
      <c r="BK99" s="8" t="s">
        <v>1249</v>
      </c>
      <c r="BL99" s="9">
        <v>4</v>
      </c>
      <c r="BN99" s="8" t="str">
        <f t="shared" si="12"/>
        <v/>
      </c>
      <c r="BO99" s="8" t="str">
        <f>IF(AND(VLOOKUP(BK99,查询!$C$8:$E$15,3,FALSE)="启用",$B$1=BL99),BJ99,"")</f>
        <v/>
      </c>
      <c r="BP99" s="6" t="str">
        <f t="array" ref="BP99">INDEX(BN:BN,SMALL(IF(BN$1:BN$500&lt;&gt;"",ROW($1:$500),1000),ROW(BN99)))&amp;""</f>
        <v/>
      </c>
      <c r="BQ99" s="6" t="str">
        <f t="array" ref="BQ99">INDEX(BO:BO,SMALL(IF(BO$1:BO$500&lt;&gt;"",ROW($1:$500),1000),ROW(BO99)))&amp;""</f>
        <v/>
      </c>
      <c r="BS99" s="8" t="s">
        <v>2998</v>
      </c>
      <c r="BT99" s="8" t="s">
        <v>1473</v>
      </c>
      <c r="BU99" s="8" t="s">
        <v>494</v>
      </c>
      <c r="BV99" s="9">
        <v>5</v>
      </c>
      <c r="BX99" s="8" t="str">
        <f t="shared" si="13"/>
        <v/>
      </c>
      <c r="BY99" s="8" t="str">
        <f>IF(AND(VLOOKUP(BU99,查询!$C$8:$E$15,3,FALSE)="启用",$B$1=BV99),BT99,"")</f>
        <v/>
      </c>
      <c r="BZ99" s="6" t="str">
        <f t="array" ref="BZ99">INDEX(BX:BX,SMALL(IF(BX$1:BX$500&lt;&gt;"",ROW($1:$500),1000),ROW(BX99)))&amp;""</f>
        <v/>
      </c>
      <c r="CA99" s="6" t="str">
        <f t="array" ref="CA99">INDEX(BY:BY,SMALL(IF(BY$1:BY$500&lt;&gt;"",ROW($1:$500),1000),ROW(BY99)))&amp;""</f>
        <v/>
      </c>
    </row>
    <row r="100" spans="1:79">
      <c r="A100" s="8" t="s">
        <v>2267</v>
      </c>
      <c r="B100" s="8" t="s">
        <v>1299</v>
      </c>
      <c r="C100" s="8" t="s">
        <v>1249</v>
      </c>
      <c r="D100" s="9">
        <v>2</v>
      </c>
      <c r="F100" s="8" t="str">
        <f t="shared" si="8"/>
        <v>Warding Wind</v>
      </c>
      <c r="G100" s="8" t="str">
        <f>IF(AND(VLOOKUP(C100,查询!$C$8:$E$15,3,FALSE)="启用",$B$1=D100),B100,"")</f>
        <v>守护之风</v>
      </c>
      <c r="H100" s="6" t="str">
        <f t="array" ref="H100">INDEX(F:F,SMALL(IF($F$1:$F$500&lt;&gt;"",ROW($1:$500),1000),ROW(F100)))&amp;""</f>
        <v/>
      </c>
      <c r="I100" s="6" t="str">
        <f t="array" ref="I100">INDEX(G:G,SMALL(IF($F$1:$F$500&lt;&gt;"",ROW($1:$500),1000),ROW(G100)))&amp;""</f>
        <v/>
      </c>
      <c r="K100" s="8" t="s">
        <v>2277</v>
      </c>
      <c r="L100" s="8" t="s">
        <v>1333</v>
      </c>
      <c r="M100" s="8" t="s">
        <v>578</v>
      </c>
      <c r="N100" s="9">
        <v>2</v>
      </c>
      <c r="P100" s="8" t="str">
        <f t="shared" si="9"/>
        <v>Earthbind</v>
      </c>
      <c r="Q100" s="8" t="str">
        <f>IF(AND(VLOOKUP(M100,查询!$C$8:$E$15,3,FALSE)="启用",$B$1=N100),L100,"")</f>
        <v>地缚</v>
      </c>
      <c r="R100" s="6" t="str">
        <f t="array" ref="R100">INDEX(P:P,SMALL(IF(P$1:P$500&lt;&gt;"",ROW($1:$500),1000),ROW(P100)))&amp;""</f>
        <v/>
      </c>
      <c r="S100" s="6" t="str">
        <f t="array" ref="S100">INDEX(Q:Q,SMALL(IF(Q$1:Q$500&lt;&gt;"",ROW($1:$500),1000),ROW(Q100)))&amp;""</f>
        <v/>
      </c>
      <c r="U100" s="8" t="s">
        <v>3137</v>
      </c>
      <c r="V100" s="8" t="s">
        <v>1335</v>
      </c>
      <c r="W100" s="8" t="s">
        <v>1249</v>
      </c>
      <c r="X100" s="9">
        <v>6</v>
      </c>
      <c r="Z100" s="8" t="str">
        <f t="shared" si="10"/>
        <v/>
      </c>
      <c r="AA100" s="8" t="str">
        <f>IF(AND(VLOOKUP(W100,查询!$C$8:$E$15,3,FALSE)="启用",$B$1=X100),V100,"")</f>
        <v/>
      </c>
      <c r="AB100" s="6" t="str">
        <f t="array" ref="AB100">INDEX(Z:Z,SMALL(IF(Z$1:Z$500&lt;&gt;"",ROW($1:$500),1000),ROW(Z100)))&amp;""</f>
        <v/>
      </c>
      <c r="AC100" s="6" t="str">
        <f t="array" ref="AC100">INDEX(AA:AA,SMALL(IF(AA$1:AA$500&lt;&gt;"",ROW($1:$500),1000),ROW(AA100)))&amp;""</f>
        <v/>
      </c>
      <c r="AE100" s="8" t="s">
        <v>3325</v>
      </c>
      <c r="AF100" s="8" t="s">
        <v>1512</v>
      </c>
      <c r="AG100" s="8" t="s">
        <v>494</v>
      </c>
      <c r="AH100" s="9">
        <v>7</v>
      </c>
      <c r="AJ100" s="8" t="str">
        <f t="shared" si="11"/>
        <v/>
      </c>
      <c r="AK100" s="8" t="str">
        <f>IF(AND(VLOOKUP(AG100,查询!$C$8:$E$15,3,FALSE)="启用",$B$1=AH100),AF100,"")</f>
        <v/>
      </c>
      <c r="AL100" s="6" t="str">
        <f t="array" ref="AL100">INDEX(AJ:AJ,SMALL(IF(AJ$1:AJ$500&lt;&gt;"",ROW($1:$500),1000),ROW(AJ100)))&amp;""</f>
        <v/>
      </c>
      <c r="AM100" s="6" t="str">
        <f t="array" ref="AM100">INDEX(AK:AK,SMALL(IF(AK$1:AK$500&lt;&gt;"",ROW($1:$500),1000),ROW(AK100)))&amp;""</f>
        <v/>
      </c>
      <c r="AV100" s="6" t="str">
        <f t="array" ref="AV100">INDEX(AT:AT,SMALL(IF(AT$1:AT$500&lt;&gt;"",ROW($1:$500),1000),ROW(AT100)))&amp;""</f>
        <v/>
      </c>
      <c r="AW100" s="6" t="str">
        <f t="array" ref="AW100">INDEX(AU:AU,SMALL(IF(AU$1:AU$500&lt;&gt;"",ROW($1:$500),1000),ROW(AU100)))&amp;""</f>
        <v/>
      </c>
      <c r="BF100" s="6" t="str">
        <f t="array" ref="BF100">INDEX(BD:BD,SMALL(IF(BD$1:BD$500&lt;&gt;"",ROW($1:$500),1000),ROW(BD100)))&amp;""</f>
        <v/>
      </c>
      <c r="BG100" s="6" t="str">
        <f t="array" ref="BG100">INDEX(BE:BE,SMALL(IF(BE$1:BE$500&lt;&gt;"",ROW($1:$500),1000),ROW(BE100)))&amp;""</f>
        <v/>
      </c>
      <c r="BI100" s="8" t="s">
        <v>2790</v>
      </c>
      <c r="BJ100" s="8" t="s">
        <v>1494</v>
      </c>
      <c r="BK100" s="8" t="s">
        <v>494</v>
      </c>
      <c r="BL100" s="9">
        <v>4</v>
      </c>
      <c r="BN100" s="8" t="str">
        <f t="shared" si="12"/>
        <v/>
      </c>
      <c r="BO100" s="8" t="str">
        <f>IF(AND(VLOOKUP(BK100,查询!$C$8:$E$15,3,FALSE)="启用",$B$1=BL100),BJ100,"")</f>
        <v/>
      </c>
      <c r="BP100" s="6" t="str">
        <f t="array" ref="BP100">INDEX(BN:BN,SMALL(IF(BN$1:BN$500&lt;&gt;"",ROW($1:$500),1000),ROW(BN100)))&amp;""</f>
        <v/>
      </c>
      <c r="BQ100" s="6" t="str">
        <f t="array" ref="BQ100">INDEX(BO:BO,SMALL(IF(BO$1:BO$500&lt;&gt;"",ROW($1:$500),1000),ROW(BO100)))&amp;""</f>
        <v/>
      </c>
      <c r="BS100" s="8" t="s">
        <v>3000</v>
      </c>
      <c r="BT100" s="8" t="s">
        <v>1478</v>
      </c>
      <c r="BU100" s="8" t="s">
        <v>494</v>
      </c>
      <c r="BV100" s="9">
        <v>5</v>
      </c>
      <c r="BX100" s="8" t="str">
        <f t="shared" si="13"/>
        <v/>
      </c>
      <c r="BY100" s="8" t="str">
        <f>IF(AND(VLOOKUP(BU100,查询!$C$8:$E$15,3,FALSE)="启用",$B$1=BV100),BT100,"")</f>
        <v/>
      </c>
      <c r="BZ100" s="6" t="str">
        <f t="array" ref="BZ100">INDEX(BX:BX,SMALL(IF(BX$1:BX$500&lt;&gt;"",ROW($1:$500),1000),ROW(BX100)))&amp;""</f>
        <v/>
      </c>
      <c r="CA100" s="6" t="str">
        <f t="array" ref="CA100">INDEX(BY:BY,SMALL(IF(BY$1:BY$500&lt;&gt;"",ROW($1:$500),1000),ROW(BY100)))&amp;""</f>
        <v/>
      </c>
    </row>
    <row r="101" spans="1:79">
      <c r="A101" s="8" t="s">
        <v>2269</v>
      </c>
      <c r="B101" s="8" t="s">
        <v>1732</v>
      </c>
      <c r="C101" s="8" t="s">
        <v>578</v>
      </c>
      <c r="D101" s="9">
        <v>2</v>
      </c>
      <c r="F101" s="8" t="str">
        <f t="shared" si="8"/>
        <v>Skywrite</v>
      </c>
      <c r="G101" s="8" t="str">
        <f>IF(AND(VLOOKUP(C101,查询!$C$8:$E$15,3,FALSE)="启用",$B$1=D101),B101,"")</f>
        <v>空中写字E</v>
      </c>
      <c r="H101" s="6" t="str">
        <f t="array" ref="H101">INDEX(F:F,SMALL(IF($F$1:$F$500&lt;&gt;"",ROW($1:$500),1000),ROW(F101)))&amp;""</f>
        <v/>
      </c>
      <c r="I101" s="6" t="str">
        <f t="array" ref="I101">INDEX(G:G,SMALL(IF($F$1:$F$500&lt;&gt;"",ROW($1:$500),1000),ROW(G101)))&amp;""</f>
        <v/>
      </c>
      <c r="K101" s="8" t="s">
        <v>2277</v>
      </c>
      <c r="L101" s="8" t="s">
        <v>1333</v>
      </c>
      <c r="M101" s="8" t="s">
        <v>1249</v>
      </c>
      <c r="N101" s="9">
        <v>2</v>
      </c>
      <c r="P101" s="8" t="str">
        <f t="shared" si="9"/>
        <v>Earthbind</v>
      </c>
      <c r="Q101" s="8" t="str">
        <f>IF(AND(VLOOKUP(M101,查询!$C$8:$E$15,3,FALSE)="启用",$B$1=N101),L101,"")</f>
        <v>地缚</v>
      </c>
      <c r="R101" s="6" t="str">
        <f t="array" ref="R101">INDEX(P:P,SMALL(IF(P$1:P$500&lt;&gt;"",ROW($1:$500),1000),ROW(P101)))&amp;""</f>
        <v/>
      </c>
      <c r="S101" s="6" t="str">
        <f t="array" ref="S101">INDEX(Q:Q,SMALL(IF(Q$1:Q$500&lt;&gt;"",ROW($1:$500),1000),ROW(Q101)))&amp;""</f>
        <v/>
      </c>
      <c r="U101" s="8" t="s">
        <v>3139</v>
      </c>
      <c r="V101" s="8" t="s">
        <v>1737</v>
      </c>
      <c r="W101" s="8" t="s">
        <v>578</v>
      </c>
      <c r="X101" s="9">
        <v>6</v>
      </c>
      <c r="Z101" s="8" t="str">
        <f t="shared" si="10"/>
        <v/>
      </c>
      <c r="AA101" s="8" t="str">
        <f>IF(AND(VLOOKUP(W101,查询!$C$8:$E$15,3,FALSE)="启用",$B$1=X101),V101,"")</f>
        <v/>
      </c>
      <c r="AB101" s="6" t="str">
        <f t="array" ref="AB101">INDEX(Z:Z,SMALL(IF(Z$1:Z$500&lt;&gt;"",ROW($1:$500),1000),ROW(Z101)))&amp;""</f>
        <v/>
      </c>
      <c r="AC101" s="6" t="str">
        <f t="array" ref="AC101">INDEX(AA:AA,SMALL(IF(AA$1:AA$500&lt;&gt;"",ROW($1:$500),1000),ROW(AA101)))&amp;""</f>
        <v/>
      </c>
      <c r="AE101" s="8" t="s">
        <v>3329</v>
      </c>
      <c r="AF101" s="8" t="s">
        <v>1515</v>
      </c>
      <c r="AG101" s="8" t="s">
        <v>494</v>
      </c>
      <c r="AH101" s="9">
        <v>7</v>
      </c>
      <c r="AJ101" s="8" t="str">
        <f t="shared" si="11"/>
        <v/>
      </c>
      <c r="AK101" s="8" t="str">
        <f>IF(AND(VLOOKUP(AG101,查询!$C$8:$E$15,3,FALSE)="启用",$B$1=AH101),AF101,"")</f>
        <v/>
      </c>
      <c r="AL101" s="6" t="str">
        <f t="array" ref="AL101">INDEX(AJ:AJ,SMALL(IF(AJ$1:AJ$500&lt;&gt;"",ROW($1:$500),1000),ROW(AJ101)))&amp;""</f>
        <v/>
      </c>
      <c r="AM101" s="6" t="str">
        <f t="array" ref="AM101">INDEX(AK:AK,SMALL(IF(AK$1:AK$500&lt;&gt;"",ROW($1:$500),1000),ROW(AK101)))&amp;""</f>
        <v/>
      </c>
      <c r="AV101" s="6" t="str">
        <f t="array" ref="AV101">INDEX(AT:AT,SMALL(IF(AT$1:AT$500&lt;&gt;"",ROW($1:$500),1000),ROW(AT101)))&amp;""</f>
        <v/>
      </c>
      <c r="AW101" s="6" t="str">
        <f t="array" ref="AW101">INDEX(AU:AU,SMALL(IF(AU$1:AU$500&lt;&gt;"",ROW($1:$500),1000),ROW(AU101)))&amp;""</f>
        <v/>
      </c>
      <c r="BF101" s="6" t="str">
        <f t="array" ref="BF101">INDEX(BD:BD,SMALL(IF(BD$1:BD$500&lt;&gt;"",ROW($1:$500),1000),ROW(BD101)))&amp;""</f>
        <v/>
      </c>
      <c r="BG101" s="6" t="str">
        <f t="array" ref="BG101">INDEX(BE:BE,SMALL(IF(BE$1:BE$500&lt;&gt;"",ROW($1:$500),1000),ROW(BE101)))&amp;""</f>
        <v/>
      </c>
      <c r="BI101" s="8" t="s">
        <v>2796</v>
      </c>
      <c r="BJ101" s="8" t="s">
        <v>1500</v>
      </c>
      <c r="BK101" s="8" t="s">
        <v>494</v>
      </c>
      <c r="BL101" s="9">
        <v>4</v>
      </c>
      <c r="BN101" s="8" t="str">
        <f t="shared" si="12"/>
        <v/>
      </c>
      <c r="BO101" s="8" t="str">
        <f>IF(AND(VLOOKUP(BK101,查询!$C$8:$E$15,3,FALSE)="启用",$B$1=BL101),BJ101,"")</f>
        <v/>
      </c>
      <c r="BP101" s="6" t="str">
        <f t="array" ref="BP101">INDEX(BN:BN,SMALL(IF(BN$1:BN$500&lt;&gt;"",ROW($1:$500),1000),ROW(BN101)))&amp;""</f>
        <v/>
      </c>
      <c r="BQ101" s="6" t="str">
        <f t="array" ref="BQ101">INDEX(BO:BO,SMALL(IF(BO$1:BO$500&lt;&gt;"",ROW($1:$500),1000),ROW(BO101)))&amp;""</f>
        <v/>
      </c>
      <c r="BS101" s="8" t="s">
        <v>3004</v>
      </c>
      <c r="BT101" s="8" t="s">
        <v>1487</v>
      </c>
      <c r="BU101" s="8" t="s">
        <v>494</v>
      </c>
      <c r="BV101" s="9">
        <v>5</v>
      </c>
      <c r="BX101" s="8" t="str">
        <f t="shared" si="13"/>
        <v/>
      </c>
      <c r="BY101" s="8" t="str">
        <f>IF(AND(VLOOKUP(BU101,查询!$C$8:$E$15,3,FALSE)="启用",$B$1=BV101),BT101,"")</f>
        <v/>
      </c>
      <c r="BZ101" s="6" t="str">
        <f t="array" ref="BZ101">INDEX(BX:BX,SMALL(IF(BX$1:BX$500&lt;&gt;"",ROW($1:$500),1000),ROW(BX101)))&amp;""</f>
        <v/>
      </c>
      <c r="CA101" s="6" t="str">
        <f t="array" ref="CA101">INDEX(BY:BY,SMALL(IF(BY$1:BY$500&lt;&gt;"",ROW($1:$500),1000),ROW(BY101)))&amp;""</f>
        <v/>
      </c>
    </row>
    <row r="102" spans="1:79">
      <c r="A102" s="8" t="s">
        <v>2269</v>
      </c>
      <c r="B102" s="8" t="s">
        <v>1300</v>
      </c>
      <c r="C102" s="8" t="s">
        <v>1249</v>
      </c>
      <c r="D102" s="9">
        <v>2</v>
      </c>
      <c r="F102" s="8" t="str">
        <f t="shared" si="8"/>
        <v>Skywrite</v>
      </c>
      <c r="G102" s="8" t="str">
        <f>IF(AND(VLOOKUP(C102,查询!$C$8:$E$15,3,FALSE)="启用",$B$1=D102),B102,"")</f>
        <v>空中写字</v>
      </c>
      <c r="H102" s="6" t="str">
        <f t="array" ref="H102">INDEX(F:F,SMALL(IF($F$1:$F$500&lt;&gt;"",ROW($1:$500),1000),ROW(F102)))&amp;""</f>
        <v/>
      </c>
      <c r="I102" s="6" t="str">
        <f t="array" ref="I102">INDEX(G:G,SMALL(IF($F$1:$F$500&lt;&gt;"",ROW($1:$500),1000),ROW(G102)))&amp;""</f>
        <v/>
      </c>
      <c r="K102" s="8" t="s">
        <v>2281</v>
      </c>
      <c r="L102" s="8" t="s">
        <v>1741</v>
      </c>
      <c r="M102" s="8" t="s">
        <v>578</v>
      </c>
      <c r="N102" s="9">
        <v>2</v>
      </c>
      <c r="P102" s="8" t="str">
        <f t="shared" si="9"/>
        <v>Dust Devil</v>
      </c>
      <c r="Q102" s="8" t="str">
        <f>IF(AND(VLOOKUP(M102,查询!$C$8:$E$15,3,FALSE)="启用",$B$1=N102),L102,"")</f>
        <v>尘土恶魔E</v>
      </c>
      <c r="R102" s="6" t="str">
        <f t="array" ref="R102">INDEX(P:P,SMALL(IF(P$1:P$500&lt;&gt;"",ROW($1:$500),1000),ROW(P102)))&amp;""</f>
        <v/>
      </c>
      <c r="S102" s="6" t="str">
        <f t="array" ref="S102">INDEX(Q:Q,SMALL(IF(Q$1:Q$500&lt;&gt;"",ROW($1:$500),1000),ROW(Q102)))&amp;""</f>
        <v/>
      </c>
      <c r="U102" s="8" t="s">
        <v>3139</v>
      </c>
      <c r="V102" s="8" t="s">
        <v>1336</v>
      </c>
      <c r="W102" s="8" t="s">
        <v>1249</v>
      </c>
      <c r="X102" s="9">
        <v>6</v>
      </c>
      <c r="Z102" s="8" t="str">
        <f t="shared" si="10"/>
        <v/>
      </c>
      <c r="AA102" s="8" t="str">
        <f>IF(AND(VLOOKUP(W102,查询!$C$8:$E$15,3,FALSE)="启用",$B$1=X102),V102,"")</f>
        <v/>
      </c>
      <c r="AB102" s="6" t="str">
        <f t="array" ref="AB102">INDEX(Z:Z,SMALL(IF(Z$1:Z$500&lt;&gt;"",ROW($1:$500),1000),ROW(Z102)))&amp;""</f>
        <v/>
      </c>
      <c r="AC102" s="6" t="str">
        <f t="array" ref="AC102">INDEX(AA:AA,SMALL(IF(AA$1:AA$500&lt;&gt;"",ROW($1:$500),1000),ROW(AA102)))&amp;""</f>
        <v/>
      </c>
      <c r="AE102" s="8" t="s">
        <v>3349</v>
      </c>
      <c r="AF102" s="8" t="s">
        <v>1593</v>
      </c>
      <c r="AG102" s="8" t="s">
        <v>494</v>
      </c>
      <c r="AH102" s="9">
        <v>7</v>
      </c>
      <c r="AJ102" s="8" t="str">
        <f t="shared" si="11"/>
        <v/>
      </c>
      <c r="AK102" s="8" t="str">
        <f>IF(AND(VLOOKUP(AG102,查询!$C$8:$E$15,3,FALSE)="启用",$B$1=AH102),AF102,"")</f>
        <v/>
      </c>
      <c r="AL102" s="6" t="str">
        <f t="array" ref="AL102">INDEX(AJ:AJ,SMALL(IF(AJ$1:AJ$500&lt;&gt;"",ROW($1:$500),1000),ROW(AJ102)))&amp;""</f>
        <v/>
      </c>
      <c r="AM102" s="6" t="str">
        <f t="array" ref="AM102">INDEX(AK:AK,SMALL(IF(AK$1:AK$500&lt;&gt;"",ROW($1:$500),1000),ROW(AK102)))&amp;""</f>
        <v/>
      </c>
      <c r="AV102" s="6" t="str">
        <f t="array" ref="AV102">INDEX(AT:AT,SMALL(IF(AT$1:AT$500&lt;&gt;"",ROW($1:$500),1000),ROW(AT102)))&amp;""</f>
        <v/>
      </c>
      <c r="AW102" s="6" t="str">
        <f t="array" ref="AW102">INDEX(AU:AU,SMALL(IF(AU$1:AU$500&lt;&gt;"",ROW($1:$500),1000),ROW(AU102)))&amp;""</f>
        <v/>
      </c>
      <c r="BF102" s="6" t="str">
        <f t="array" ref="BF102">INDEX(BD:BD,SMALL(IF(BD$1:BD$500&lt;&gt;"",ROW($1:$500),1000),ROW(BD102)))&amp;""</f>
        <v/>
      </c>
      <c r="BG102" s="6" t="str">
        <f t="array" ref="BG102">INDEX(BE:BE,SMALL(IF(BE$1:BE$500&lt;&gt;"",ROW($1:$500),1000),ROW(BE102)))&amp;""</f>
        <v/>
      </c>
      <c r="BI102" s="8" t="s">
        <v>2799</v>
      </c>
      <c r="BJ102" s="8" t="s">
        <v>1539</v>
      </c>
      <c r="BK102" s="8" t="s">
        <v>494</v>
      </c>
      <c r="BL102" s="9">
        <v>4</v>
      </c>
      <c r="BN102" s="8" t="str">
        <f t="shared" si="12"/>
        <v/>
      </c>
      <c r="BO102" s="8" t="str">
        <f>IF(AND(VLOOKUP(BK102,查询!$C$8:$E$15,3,FALSE)="启用",$B$1=BL102),BJ102,"")</f>
        <v/>
      </c>
      <c r="BP102" s="6" t="str">
        <f t="array" ref="BP102">INDEX(BN:BN,SMALL(IF(BN$1:BN$500&lt;&gt;"",ROW($1:$500),1000),ROW(BN102)))&amp;""</f>
        <v/>
      </c>
      <c r="BQ102" s="6" t="str">
        <f t="array" ref="BQ102">INDEX(BO:BO,SMALL(IF(BO$1:BO$500&lt;&gt;"",ROW($1:$500),1000),ROW(BO102)))&amp;""</f>
        <v/>
      </c>
      <c r="BS102" s="8" t="s">
        <v>3008</v>
      </c>
      <c r="BT102" s="8" t="s">
        <v>1491</v>
      </c>
      <c r="BU102" s="8" t="s">
        <v>494</v>
      </c>
      <c r="BV102" s="9">
        <v>5</v>
      </c>
      <c r="BX102" s="8" t="str">
        <f t="shared" si="13"/>
        <v/>
      </c>
      <c r="BY102" s="8" t="str">
        <f>IF(AND(VLOOKUP(BU102,查询!$C$8:$E$15,3,FALSE)="启用",$B$1=BV102),BT102,"")</f>
        <v/>
      </c>
      <c r="BZ102" s="6" t="str">
        <f t="array" ref="BZ102">INDEX(BX:BX,SMALL(IF(BX$1:BX$500&lt;&gt;"",ROW($1:$500),1000),ROW(BX102)))&amp;""</f>
        <v/>
      </c>
      <c r="CA102" s="6" t="str">
        <f t="array" ref="CA102">INDEX(BY:BY,SMALL(IF(BY$1:BY$500&lt;&gt;"",ROW($1:$500),1000),ROW(BY102)))&amp;""</f>
        <v/>
      </c>
    </row>
    <row r="103" spans="1:79">
      <c r="A103" s="8" t="s">
        <v>2330</v>
      </c>
      <c r="B103" s="8" t="s">
        <v>1442</v>
      </c>
      <c r="C103" s="8" t="s">
        <v>494</v>
      </c>
      <c r="D103" s="9">
        <v>2</v>
      </c>
      <c r="F103" s="8" t="str">
        <f t="shared" si="8"/>
        <v>Cloud of Daggers</v>
      </c>
      <c r="G103" s="8" t="str">
        <f>IF(AND(VLOOKUP(C103,查询!$C$8:$E$15,3,FALSE)="启用",$B$1=D103),B103,"")</f>
        <v>匕首之云</v>
      </c>
      <c r="H103" s="6" t="str">
        <f t="array" ref="H103">INDEX(F:F,SMALL(IF($F$1:$F$500&lt;&gt;"",ROW($1:$500),1000),ROW(F103)))&amp;""</f>
        <v/>
      </c>
      <c r="I103" s="6" t="str">
        <f t="array" ref="I103">INDEX(G:G,SMALL(IF($F$1:$F$500&lt;&gt;"",ROW($1:$500),1000),ROW(G103)))&amp;""</f>
        <v/>
      </c>
      <c r="K103" s="8" t="s">
        <v>2281</v>
      </c>
      <c r="L103" s="8" t="s">
        <v>1340</v>
      </c>
      <c r="M103" s="8" t="s">
        <v>1249</v>
      </c>
      <c r="N103" s="9">
        <v>2</v>
      </c>
      <c r="P103" s="8" t="str">
        <f t="shared" si="9"/>
        <v>Dust Devil</v>
      </c>
      <c r="Q103" s="8" t="str">
        <f>IF(AND(VLOOKUP(M103,查询!$C$8:$E$15,3,FALSE)="启用",$B$1=N103),L103,"")</f>
        <v>尘土恶魔</v>
      </c>
      <c r="R103" s="6" t="str">
        <f t="array" ref="R103">INDEX(P:P,SMALL(IF(P$1:P$500&lt;&gt;"",ROW($1:$500),1000),ROW(P103)))&amp;""</f>
        <v/>
      </c>
      <c r="S103" s="6" t="str">
        <f t="array" ref="S103">INDEX(Q:Q,SMALL(IF(Q$1:Q$500&lt;&gt;"",ROW($1:$500),1000),ROW(Q103)))&amp;""</f>
        <v/>
      </c>
      <c r="U103" s="8" t="s">
        <v>3141</v>
      </c>
      <c r="V103" s="8" t="s">
        <v>1738</v>
      </c>
      <c r="W103" s="8" t="s">
        <v>578</v>
      </c>
      <c r="X103" s="9">
        <v>6</v>
      </c>
      <c r="Z103" s="8" t="str">
        <f t="shared" si="10"/>
        <v/>
      </c>
      <c r="AA103" s="8" t="str">
        <f>IF(AND(VLOOKUP(W103,查询!$C$8:$E$15,3,FALSE)="启用",$B$1=X103),V103,"")</f>
        <v/>
      </c>
      <c r="AB103" s="6" t="str">
        <f t="array" ref="AB103">INDEX(Z:Z,SMALL(IF(Z$1:Z$500&lt;&gt;"",ROW($1:$500),1000),ROW(Z103)))&amp;""</f>
        <v/>
      </c>
      <c r="AC103" s="6" t="str">
        <f t="array" ref="AC103">INDEX(AA:AA,SMALL(IF(AA$1:AA$500&lt;&gt;"",ROW($1:$500),1000),ROW(AA103)))&amp;""</f>
        <v/>
      </c>
      <c r="AE103" s="8" t="s">
        <v>3354</v>
      </c>
      <c r="AF103" s="8" t="s">
        <v>1595</v>
      </c>
      <c r="AG103" s="8" t="s">
        <v>494</v>
      </c>
      <c r="AH103" s="9">
        <v>7</v>
      </c>
      <c r="AJ103" s="8" t="str">
        <f t="shared" si="11"/>
        <v/>
      </c>
      <c r="AK103" s="8" t="str">
        <f>IF(AND(VLOOKUP(AG103,查询!$C$8:$E$15,3,FALSE)="启用",$B$1=AH103),AF103,"")</f>
        <v/>
      </c>
      <c r="AL103" s="6" t="str">
        <f t="array" ref="AL103">INDEX(AJ:AJ,SMALL(IF(AJ$1:AJ$500&lt;&gt;"",ROW($1:$500),1000),ROW(AJ103)))&amp;""</f>
        <v/>
      </c>
      <c r="AM103" s="6" t="str">
        <f t="array" ref="AM103">INDEX(AK:AK,SMALL(IF(AK$1:AK$500&lt;&gt;"",ROW($1:$500),1000),ROW(AK103)))&amp;""</f>
        <v/>
      </c>
      <c r="AV103" s="6" t="str">
        <f t="array" ref="AV103">INDEX(AT:AT,SMALL(IF(AT$1:AT$500&lt;&gt;"",ROW($1:$500),1000),ROW(AT103)))&amp;""</f>
        <v/>
      </c>
      <c r="AW103" s="6" t="str">
        <f t="array" ref="AW103">INDEX(AU:AU,SMALL(IF(AU$1:AU$500&lt;&gt;"",ROW($1:$500),1000),ROW(AU103)))&amp;""</f>
        <v/>
      </c>
      <c r="BF103" s="6" t="str">
        <f t="array" ref="BF103">INDEX(BD:BD,SMALL(IF(BD$1:BD$500&lt;&gt;"",ROW($1:$500),1000),ROW(BD103)))&amp;""</f>
        <v/>
      </c>
      <c r="BG103" s="6" t="str">
        <f t="array" ref="BG103">INDEX(BE:BE,SMALL(IF(BE$1:BE$500&lt;&gt;"",ROW($1:$500),1000),ROW(BE103)))&amp;""</f>
        <v/>
      </c>
      <c r="BI103" s="8" t="s">
        <v>2804</v>
      </c>
      <c r="BJ103" s="8" t="s">
        <v>1541</v>
      </c>
      <c r="BK103" s="8" t="s">
        <v>494</v>
      </c>
      <c r="BL103" s="9">
        <v>4</v>
      </c>
      <c r="BN103" s="8" t="str">
        <f t="shared" si="12"/>
        <v/>
      </c>
      <c r="BO103" s="8" t="str">
        <f>IF(AND(VLOOKUP(BK103,查询!$C$8:$E$15,3,FALSE)="启用",$B$1=BL103),BJ103,"")</f>
        <v/>
      </c>
      <c r="BP103" s="6" t="str">
        <f t="array" ref="BP103">INDEX(BN:BN,SMALL(IF(BN$1:BN$500&lt;&gt;"",ROW($1:$500),1000),ROW(BN103)))&amp;""</f>
        <v/>
      </c>
      <c r="BQ103" s="6" t="str">
        <f t="array" ref="BQ103">INDEX(BO:BO,SMALL(IF(BO$1:BO$500&lt;&gt;"",ROW($1:$500),1000),ROW(BO103)))&amp;""</f>
        <v/>
      </c>
      <c r="BS103" s="8" t="s">
        <v>3013</v>
      </c>
      <c r="BT103" s="8" t="s">
        <v>1495</v>
      </c>
      <c r="BU103" s="8" t="s">
        <v>494</v>
      </c>
      <c r="BV103" s="9">
        <v>5</v>
      </c>
      <c r="BX103" s="8" t="str">
        <f t="shared" si="13"/>
        <v/>
      </c>
      <c r="BY103" s="8" t="str">
        <f>IF(AND(VLOOKUP(BU103,查询!$C$8:$E$15,3,FALSE)="启用",$B$1=BV103),BT103,"")</f>
        <v/>
      </c>
      <c r="BZ103" s="6" t="str">
        <f t="array" ref="BZ103">INDEX(BX:BX,SMALL(IF(BX$1:BX$500&lt;&gt;"",ROW($1:$500),1000),ROW(BX103)))&amp;""</f>
        <v/>
      </c>
      <c r="CA103" s="6" t="str">
        <f t="array" ref="CA103">INDEX(BY:BY,SMALL(IF(BY$1:BY$500&lt;&gt;"",ROW($1:$500),1000),ROW(BY103)))&amp;""</f>
        <v/>
      </c>
    </row>
    <row r="104" spans="1:79">
      <c r="A104" s="8" t="s">
        <v>2334</v>
      </c>
      <c r="B104" s="8" t="s">
        <v>1444</v>
      </c>
      <c r="C104" s="8" t="s">
        <v>494</v>
      </c>
      <c r="D104" s="9">
        <v>2</v>
      </c>
      <c r="F104" s="8" t="str">
        <f t="shared" si="8"/>
        <v>Crown of Madness</v>
      </c>
      <c r="G104" s="8" t="str">
        <f>IF(AND(VLOOKUP(C104,查询!$C$8:$E$15,3,FALSE)="启用",$B$1=D104),B104,"")</f>
        <v>疯狂冠冕</v>
      </c>
      <c r="H104" s="6" t="str">
        <f t="array" ref="H104">INDEX(F:F,SMALL(IF($F$1:$F$500&lt;&gt;"",ROW($1:$500),1000),ROW(F104)))&amp;""</f>
        <v/>
      </c>
      <c r="I104" s="6" t="str">
        <f t="array" ref="I104">INDEX(G:G,SMALL(IF($F$1:$F$500&lt;&gt;"",ROW($1:$500),1000),ROW(G104)))&amp;""</f>
        <v/>
      </c>
      <c r="K104" s="8" t="s">
        <v>2471</v>
      </c>
      <c r="L104" s="8" t="s">
        <v>643</v>
      </c>
      <c r="M104" s="8" t="s">
        <v>494</v>
      </c>
      <c r="N104" s="9">
        <v>2</v>
      </c>
      <c r="P104" s="8" t="str">
        <f t="shared" si="9"/>
        <v>Darkvision</v>
      </c>
      <c r="Q104" s="8" t="str">
        <f>IF(AND(VLOOKUP(M104,查询!$C$8:$E$15,3,FALSE)="启用",$B$1=N104),L104,"")</f>
        <v>黑暗视觉</v>
      </c>
      <c r="R104" s="6" t="str">
        <f t="array" ref="R104">INDEX(P:P,SMALL(IF(P$1:P$500&lt;&gt;"",ROW($1:$500),1000),ROW(P104)))&amp;""</f>
        <v/>
      </c>
      <c r="S104" s="6" t="str">
        <f t="array" ref="S104">INDEX(Q:Q,SMALL(IF(Q$1:Q$500&lt;&gt;"",ROW($1:$500),1000),ROW(Q104)))&amp;""</f>
        <v/>
      </c>
      <c r="U104" s="8" t="s">
        <v>3141</v>
      </c>
      <c r="V104" s="8" t="s">
        <v>1337</v>
      </c>
      <c r="W104" s="8" t="s">
        <v>1249</v>
      </c>
      <c r="X104" s="9">
        <v>6</v>
      </c>
      <c r="Z104" s="8" t="str">
        <f t="shared" si="10"/>
        <v/>
      </c>
      <c r="AA104" s="8" t="str">
        <f>IF(AND(VLOOKUP(W104,查询!$C$8:$E$15,3,FALSE)="启用",$B$1=X104),V104,"")</f>
        <v/>
      </c>
      <c r="AB104" s="6" t="str">
        <f t="array" ref="AB104">INDEX(Z:Z,SMALL(IF(Z$1:Z$500&lt;&gt;"",ROW($1:$500),1000),ROW(Z104)))&amp;""</f>
        <v/>
      </c>
      <c r="AC104" s="6" t="str">
        <f t="array" ref="AC104">INDEX(AA:AA,SMALL(IF(AA$1:AA$500&lt;&gt;"",ROW($1:$500),1000),ROW(AA104)))&amp;""</f>
        <v/>
      </c>
      <c r="AE104" s="8" t="s">
        <v>3356</v>
      </c>
      <c r="AF104" s="8" t="s">
        <v>1616</v>
      </c>
      <c r="AG104" s="8" t="s">
        <v>494</v>
      </c>
      <c r="AH104" s="9">
        <v>7</v>
      </c>
      <c r="AJ104" s="8" t="str">
        <f t="shared" si="11"/>
        <v/>
      </c>
      <c r="AK104" s="8" t="str">
        <f>IF(AND(VLOOKUP(AG104,查询!$C$8:$E$15,3,FALSE)="启用",$B$1=AH104),AF104,"")</f>
        <v/>
      </c>
      <c r="AL104" s="6" t="str">
        <f t="array" ref="AL104">INDEX(AJ:AJ,SMALL(IF(AJ$1:AJ$500&lt;&gt;"",ROW($1:$500),1000),ROW(AJ104)))&amp;""</f>
        <v/>
      </c>
      <c r="AM104" s="6" t="str">
        <f t="array" ref="AM104">INDEX(AK:AK,SMALL(IF(AK$1:AK$500&lt;&gt;"",ROW($1:$500),1000),ROW(AK104)))&amp;""</f>
        <v/>
      </c>
      <c r="AV104" s="6" t="str">
        <f t="array" ref="AV104">INDEX(AT:AT,SMALL(IF(AT$1:AT$500&lt;&gt;"",ROW($1:$500),1000),ROW(AT104)))&amp;""</f>
        <v/>
      </c>
      <c r="AW104" s="6" t="str">
        <f t="array" ref="AW104">INDEX(AU:AU,SMALL(IF(AU$1:AU$500&lt;&gt;"",ROW($1:$500),1000),ROW(AU104)))&amp;""</f>
        <v/>
      </c>
      <c r="BF104" s="6" t="str">
        <f t="array" ref="BF104">INDEX(BD:BD,SMALL(IF(BD$1:BD$500&lt;&gt;"",ROW($1:$500),1000),ROW(BD104)))&amp;""</f>
        <v/>
      </c>
      <c r="BG104" s="6" t="str">
        <f t="array" ref="BG104">INDEX(BE:BE,SMALL(IF(BE$1:BE$500&lt;&gt;"",ROW($1:$500),1000),ROW(BE104)))&amp;""</f>
        <v/>
      </c>
      <c r="BI104" s="8" t="s">
        <v>2808</v>
      </c>
      <c r="BJ104" s="8" t="s">
        <v>1542</v>
      </c>
      <c r="BK104" s="8" t="s">
        <v>494</v>
      </c>
      <c r="BL104" s="9">
        <v>4</v>
      </c>
      <c r="BN104" s="8" t="str">
        <f t="shared" si="12"/>
        <v/>
      </c>
      <c r="BO104" s="8" t="str">
        <f>IF(AND(VLOOKUP(BK104,查询!$C$8:$E$15,3,FALSE)="启用",$B$1=BL104),BJ104,"")</f>
        <v/>
      </c>
      <c r="BP104" s="6" t="str">
        <f t="array" ref="BP104">INDEX(BN:BN,SMALL(IF(BN$1:BN$500&lt;&gt;"",ROW($1:$500),1000),ROW(BN104)))&amp;""</f>
        <v/>
      </c>
      <c r="BQ104" s="6" t="str">
        <f t="array" ref="BQ104">INDEX(BO:BO,SMALL(IF(BO$1:BO$500&lt;&gt;"",ROW($1:$500),1000),ROW(BO104)))&amp;""</f>
        <v/>
      </c>
      <c r="BS104" s="8" t="s">
        <v>3019</v>
      </c>
      <c r="BT104" s="8" t="s">
        <v>1505</v>
      </c>
      <c r="BU104" s="8" t="s">
        <v>494</v>
      </c>
      <c r="BV104" s="9">
        <v>5</v>
      </c>
      <c r="BX104" s="8" t="str">
        <f t="shared" si="13"/>
        <v/>
      </c>
      <c r="BY104" s="8" t="str">
        <f>IF(AND(VLOOKUP(BU104,查询!$C$8:$E$15,3,FALSE)="启用",$B$1=BV104),BT104,"")</f>
        <v/>
      </c>
      <c r="BZ104" s="6" t="str">
        <f t="array" ref="BZ104">INDEX(BX:BX,SMALL(IF(BX$1:BX$500&lt;&gt;"",ROW($1:$500),1000),ROW(BX104)))&amp;""</f>
        <v/>
      </c>
      <c r="CA104" s="6" t="str">
        <f t="array" ref="CA104">INDEX(BY:BY,SMALL(IF(BY$1:BY$500&lt;&gt;"",ROW($1:$500),1000),ROW(BY104)))&amp;""</f>
        <v/>
      </c>
    </row>
    <row r="105" spans="1:79">
      <c r="A105" s="8" t="s">
        <v>2336</v>
      </c>
      <c r="B105" s="8" t="s">
        <v>1452</v>
      </c>
      <c r="C105" s="8" t="s">
        <v>494</v>
      </c>
      <c r="D105" s="9">
        <v>2</v>
      </c>
      <c r="F105" s="8" t="str">
        <f t="shared" si="8"/>
        <v>Invisibility</v>
      </c>
      <c r="G105" s="8" t="str">
        <f>IF(AND(VLOOKUP(C105,查询!$C$8:$E$15,3,FALSE)="启用",$B$1=D105),B105,"")</f>
        <v>隐形术</v>
      </c>
      <c r="H105" s="6" t="str">
        <f t="array" ref="H105">INDEX(F:F,SMALL(IF($F$1:$F$500&lt;&gt;"",ROW($1:$500),1000),ROW(F105)))&amp;""</f>
        <v/>
      </c>
      <c r="I105" s="6" t="str">
        <f t="array" ref="I105">INDEX(G:G,SMALL(IF($F$1:$F$500&lt;&gt;"",ROW($1:$500),1000),ROW(G105)))&amp;""</f>
        <v/>
      </c>
      <c r="K105" s="8" t="s">
        <v>2489</v>
      </c>
      <c r="L105" s="8" t="s">
        <v>1693</v>
      </c>
      <c r="M105" s="8" t="s">
        <v>494</v>
      </c>
      <c r="N105" s="9">
        <v>2</v>
      </c>
      <c r="P105" s="8" t="str">
        <f t="shared" si="9"/>
        <v>Gust of Wind</v>
      </c>
      <c r="Q105" s="8" t="str">
        <f>IF(AND(VLOOKUP(M105,查询!$C$8:$E$15,3,FALSE)="启用",$B$1=N105),L105,"")</f>
        <v>造风术</v>
      </c>
      <c r="R105" s="6" t="str">
        <f t="array" ref="R105">INDEX(P:P,SMALL(IF(P$1:P$500&lt;&gt;"",ROW($1:$500),1000),ROW(P105)))&amp;""</f>
        <v/>
      </c>
      <c r="S105" s="6" t="str">
        <f t="array" ref="S105">INDEX(Q:Q,SMALL(IF(Q$1:Q$500&lt;&gt;"",ROW($1:$500),1000),ROW(Q105)))&amp;""</f>
        <v/>
      </c>
      <c r="U105" s="8" t="s">
        <v>3143</v>
      </c>
      <c r="V105" s="8" t="s">
        <v>1739</v>
      </c>
      <c r="W105" s="8" t="s">
        <v>578</v>
      </c>
      <c r="X105" s="9">
        <v>6</v>
      </c>
      <c r="Z105" s="8" t="str">
        <f t="shared" si="10"/>
        <v/>
      </c>
      <c r="AA105" s="8" t="str">
        <f>IF(AND(VLOOKUP(W105,查询!$C$8:$E$15,3,FALSE)="启用",$B$1=X105),V105,"")</f>
        <v/>
      </c>
      <c r="AB105" s="6" t="str">
        <f t="array" ref="AB105">INDEX(Z:Z,SMALL(IF(Z$1:Z$500&lt;&gt;"",ROW($1:$500),1000),ROW(Z105)))&amp;""</f>
        <v/>
      </c>
      <c r="AC105" s="6" t="str">
        <f t="array" ref="AC105">INDEX(AA:AA,SMALL(IF(AA$1:AA$500&lt;&gt;"",ROW($1:$500),1000),ROW(AA105)))&amp;""</f>
        <v/>
      </c>
      <c r="AE105" s="8" t="s">
        <v>3358</v>
      </c>
      <c r="AF105" s="8" t="s">
        <v>1618</v>
      </c>
      <c r="AG105" s="8" t="s">
        <v>494</v>
      </c>
      <c r="AH105" s="9">
        <v>7</v>
      </c>
      <c r="AJ105" s="8" t="str">
        <f t="shared" si="11"/>
        <v/>
      </c>
      <c r="AK105" s="8" t="str">
        <f>IF(AND(VLOOKUP(AG105,查询!$C$8:$E$15,3,FALSE)="启用",$B$1=AH105),AF105,"")</f>
        <v/>
      </c>
      <c r="AL105" s="6" t="str">
        <f t="array" ref="AL105">INDEX(AJ:AJ,SMALL(IF(AJ$1:AJ$500&lt;&gt;"",ROW($1:$500),1000),ROW(AJ105)))&amp;""</f>
        <v/>
      </c>
      <c r="AM105" s="6" t="str">
        <f t="array" ref="AM105">INDEX(AK:AK,SMALL(IF(AK$1:AK$500&lt;&gt;"",ROW($1:$500),1000),ROW(AK105)))&amp;""</f>
        <v/>
      </c>
      <c r="AV105" s="6" t="str">
        <f t="array" ref="AV105">INDEX(AT:AT,SMALL(IF(AT$1:AT$500&lt;&gt;"",ROW($1:$500),1000),ROW(AT105)))&amp;""</f>
        <v/>
      </c>
      <c r="AW105" s="6" t="str">
        <f t="array" ref="AW105">INDEX(AU:AU,SMALL(IF(AU$1:AU$500&lt;&gt;"",ROW($1:$500),1000),ROW(AU105)))&amp;""</f>
        <v/>
      </c>
      <c r="BF105" s="6" t="str">
        <f t="array" ref="BF105">INDEX(BD:BD,SMALL(IF(BD$1:BD$500&lt;&gt;"",ROW($1:$500),1000),ROW(BD105)))&amp;""</f>
        <v/>
      </c>
      <c r="BG105" s="6" t="str">
        <f t="array" ref="BG105">INDEX(BE:BE,SMALL(IF(BE$1:BE$500&lt;&gt;"",ROW($1:$500),1000),ROW(BE105)))&amp;""</f>
        <v/>
      </c>
      <c r="BI105" s="8" t="s">
        <v>2827</v>
      </c>
      <c r="BJ105" s="8" t="s">
        <v>1601</v>
      </c>
      <c r="BK105" s="8" t="s">
        <v>494</v>
      </c>
      <c r="BL105" s="9">
        <v>4</v>
      </c>
      <c r="BN105" s="8" t="str">
        <f t="shared" si="12"/>
        <v/>
      </c>
      <c r="BO105" s="8" t="str">
        <f>IF(AND(VLOOKUP(BK105,查询!$C$8:$E$15,3,FALSE)="启用",$B$1=BL105),BJ105,"")</f>
        <v/>
      </c>
      <c r="BP105" s="6" t="str">
        <f t="array" ref="BP105">INDEX(BN:BN,SMALL(IF(BN$1:BN$500&lt;&gt;"",ROW($1:$500),1000),ROW(BN105)))&amp;""</f>
        <v/>
      </c>
      <c r="BQ105" s="6" t="str">
        <f t="array" ref="BQ105">INDEX(BO:BO,SMALL(IF(BO$1:BO$500&lt;&gt;"",ROW($1:$500),1000),ROW(BO105)))&amp;""</f>
        <v/>
      </c>
      <c r="BS105" s="8" t="s">
        <v>3023</v>
      </c>
      <c r="BT105" s="8" t="s">
        <v>1507</v>
      </c>
      <c r="BU105" s="8" t="s">
        <v>494</v>
      </c>
      <c r="BV105" s="9">
        <v>5</v>
      </c>
      <c r="BX105" s="8" t="str">
        <f t="shared" si="13"/>
        <v/>
      </c>
      <c r="BY105" s="8" t="str">
        <f>IF(AND(VLOOKUP(BU105,查询!$C$8:$E$15,3,FALSE)="启用",$B$1=BV105),BT105,"")</f>
        <v/>
      </c>
      <c r="BZ105" s="6" t="str">
        <f t="array" ref="BZ105">INDEX(BX:BX,SMALL(IF(BX$1:BX$500&lt;&gt;"",ROW($1:$500),1000),ROW(BX105)))&amp;""</f>
        <v/>
      </c>
      <c r="CA105" s="6" t="str">
        <f t="array" ref="CA105">INDEX(BY:BY,SMALL(IF(BY$1:BY$500&lt;&gt;"",ROW($1:$500),1000),ROW(BY105)))&amp;""</f>
        <v/>
      </c>
    </row>
    <row r="106" spans="1:79">
      <c r="A106" s="8" t="s">
        <v>2340</v>
      </c>
      <c r="B106" s="8" t="s">
        <v>1460</v>
      </c>
      <c r="C106" s="8" t="s">
        <v>494</v>
      </c>
      <c r="D106" s="9">
        <v>2</v>
      </c>
      <c r="F106" s="8" t="str">
        <f t="shared" si="8"/>
        <v>Shatter</v>
      </c>
      <c r="G106" s="8" t="str">
        <f>IF(AND(VLOOKUP(C106,查询!$C$8:$E$15,3,FALSE)="启用",$B$1=D106),B106,"")</f>
        <v>粉碎音波</v>
      </c>
      <c r="H106" s="6" t="str">
        <f t="array" ref="H106">INDEX(F:F,SMALL(IF($F$1:$F$500&lt;&gt;"",ROW($1:$500),1000),ROW(F106)))&amp;""</f>
        <v/>
      </c>
      <c r="I106" s="6" t="str">
        <f t="array" ref="I106">INDEX(G:G,SMALL(IF($F$1:$F$500&lt;&gt;"",ROW($1:$500),1000),ROW(G106)))&amp;""</f>
        <v/>
      </c>
      <c r="K106" s="8" t="s">
        <v>2517</v>
      </c>
      <c r="L106" s="8" t="s">
        <v>1277</v>
      </c>
      <c r="M106" s="8" t="s">
        <v>1249</v>
      </c>
      <c r="N106" s="9">
        <v>3</v>
      </c>
      <c r="P106" s="8" t="str">
        <f t="shared" si="9"/>
        <v/>
      </c>
      <c r="Q106" s="8" t="str">
        <f>IF(AND(VLOOKUP(M106,查询!$C$8:$E$15,3,FALSE)="启用",$B$1=N106),L106,"")</f>
        <v/>
      </c>
      <c r="R106" s="6" t="str">
        <f t="array" ref="R106">INDEX(P:P,SMALL(IF(P$1:P$500&lt;&gt;"",ROW($1:$500),1000),ROW(P106)))&amp;""</f>
        <v/>
      </c>
      <c r="S106" s="6" t="str">
        <f t="array" ref="S106">INDEX(Q:Q,SMALL(IF(Q$1:Q$500&lt;&gt;"",ROW($1:$500),1000),ROW(Q106)))&amp;""</f>
        <v/>
      </c>
      <c r="U106" s="8" t="s">
        <v>3143</v>
      </c>
      <c r="V106" s="8" t="s">
        <v>1338</v>
      </c>
      <c r="W106" s="8" t="s">
        <v>1249</v>
      </c>
      <c r="X106" s="9">
        <v>6</v>
      </c>
      <c r="Z106" s="8" t="str">
        <f t="shared" si="10"/>
        <v/>
      </c>
      <c r="AA106" s="8" t="str">
        <f>IF(AND(VLOOKUP(W106,查询!$C$8:$E$15,3,FALSE)="启用",$B$1=X106),V106,"")</f>
        <v/>
      </c>
      <c r="AB106" s="6" t="str">
        <f t="array" ref="AB106">INDEX(Z:Z,SMALL(IF(Z$1:Z$500&lt;&gt;"",ROW($1:$500),1000),ROW(Z106)))&amp;""</f>
        <v/>
      </c>
      <c r="AC106" s="6" t="str">
        <f t="array" ref="AC106">INDEX(AA:AA,SMALL(IF(AA$1:AA$500&lt;&gt;"",ROW($1:$500),1000),ROW(AA106)))&amp;""</f>
        <v/>
      </c>
      <c r="AE106" s="8" t="s">
        <v>3290</v>
      </c>
      <c r="AF106" s="8" t="s">
        <v>1307</v>
      </c>
      <c r="AG106" s="8" t="s">
        <v>1249</v>
      </c>
      <c r="AH106" s="9">
        <v>7</v>
      </c>
      <c r="AJ106" s="8" t="str">
        <f t="shared" si="11"/>
        <v/>
      </c>
      <c r="AK106" s="8" t="str">
        <f>IF(AND(VLOOKUP(AG106,查询!$C$8:$E$15,3,FALSE)="启用",$B$1=AH106),AF106,"")</f>
        <v/>
      </c>
      <c r="AL106" s="6" t="str">
        <f t="array" ref="AL106">INDEX(AJ:AJ,SMALL(IF(AJ$1:AJ$500&lt;&gt;"",ROW($1:$500),1000),ROW(AJ106)))&amp;""</f>
        <v/>
      </c>
      <c r="AM106" s="6" t="str">
        <f t="array" ref="AM106">INDEX(AK:AK,SMALL(IF(AK$1:AK$500&lt;&gt;"",ROW($1:$500),1000),ROW(AK106)))&amp;""</f>
        <v/>
      </c>
      <c r="AV106" s="6" t="str">
        <f t="array" ref="AV106">INDEX(AT:AT,SMALL(IF(AT$1:AT$500&lt;&gt;"",ROW($1:$500),1000),ROW(AT106)))&amp;""</f>
        <v/>
      </c>
      <c r="AW106" s="6" t="str">
        <f t="array" ref="AW106">INDEX(AU:AU,SMALL(IF(AU$1:AU$500&lt;&gt;"",ROW($1:$500),1000),ROW(AU106)))&amp;""</f>
        <v/>
      </c>
      <c r="BF106" s="6" t="str">
        <f t="array" ref="BF106">INDEX(BD:BD,SMALL(IF(BD$1:BD$500&lt;&gt;"",ROW($1:$500),1000),ROW(BD106)))&amp;""</f>
        <v/>
      </c>
      <c r="BG106" s="6" t="str">
        <f t="array" ref="BG106">INDEX(BE:BE,SMALL(IF(BE$1:BE$500&lt;&gt;"",ROW($1:$500),1000),ROW(BE106)))&amp;""</f>
        <v/>
      </c>
      <c r="BI106" s="8" t="s">
        <v>2832</v>
      </c>
      <c r="BJ106" s="8" t="s">
        <v>1603</v>
      </c>
      <c r="BK106" s="8" t="s">
        <v>494</v>
      </c>
      <c r="BL106" s="9">
        <v>4</v>
      </c>
      <c r="BN106" s="8" t="str">
        <f t="shared" si="12"/>
        <v/>
      </c>
      <c r="BO106" s="8" t="str">
        <f>IF(AND(VLOOKUP(BK106,查询!$C$8:$E$15,3,FALSE)="启用",$B$1=BL106),BJ106,"")</f>
        <v/>
      </c>
      <c r="BP106" s="6" t="str">
        <f t="array" ref="BP106">INDEX(BN:BN,SMALL(IF(BN$1:BN$500&lt;&gt;"",ROW($1:$500),1000),ROW(BN106)))&amp;""</f>
        <v/>
      </c>
      <c r="BQ106" s="6" t="str">
        <f t="array" ref="BQ106">INDEX(BO:BO,SMALL(IF(BO$1:BO$500&lt;&gt;"",ROW($1:$500),1000),ROW(BO106)))&amp;""</f>
        <v/>
      </c>
      <c r="BS106" s="8" t="s">
        <v>3028</v>
      </c>
      <c r="BT106" s="8" t="s">
        <v>1509</v>
      </c>
      <c r="BU106" s="8" t="s">
        <v>494</v>
      </c>
      <c r="BV106" s="9">
        <v>5</v>
      </c>
      <c r="BX106" s="8" t="str">
        <f t="shared" si="13"/>
        <v/>
      </c>
      <c r="BY106" s="8" t="str">
        <f>IF(AND(VLOOKUP(BU106,查询!$C$8:$E$15,3,FALSE)="启用",$B$1=BV106),BT106,"")</f>
        <v/>
      </c>
      <c r="BZ106" s="6" t="str">
        <f t="array" ref="BZ106">INDEX(BX:BX,SMALL(IF(BX$1:BX$500&lt;&gt;"",ROW($1:$500),1000),ROW(BX106)))&amp;""</f>
        <v/>
      </c>
      <c r="CA106" s="6" t="str">
        <f t="array" ref="CA106">INDEX(BY:BY,SMALL(IF(BY$1:BY$500&lt;&gt;"",ROW($1:$500),1000),ROW(BY106)))&amp;""</f>
        <v/>
      </c>
    </row>
    <row r="107" spans="1:79">
      <c r="A107" s="8" t="s">
        <v>2344</v>
      </c>
      <c r="B107" s="8" t="s">
        <v>1461</v>
      </c>
      <c r="C107" s="8" t="s">
        <v>494</v>
      </c>
      <c r="D107" s="9">
        <v>2</v>
      </c>
      <c r="F107" s="8" t="str">
        <f t="shared" si="8"/>
        <v>Suggestion</v>
      </c>
      <c r="G107" s="8" t="str">
        <f>IF(AND(VLOOKUP(C107,查询!$C$8:$E$15,3,FALSE)="启用",$B$1=D107),B107,"")</f>
        <v>暗示术</v>
      </c>
      <c r="H107" s="6" t="str">
        <f t="array" ref="H107">INDEX(F:F,SMALL(IF($F$1:$F$500&lt;&gt;"",ROW($1:$500),1000),ROW(F107)))&amp;""</f>
        <v/>
      </c>
      <c r="I107" s="6" t="str">
        <f t="array" ref="I107">INDEX(G:G,SMALL(IF($F$1:$F$500&lt;&gt;"",ROW($1:$500),1000),ROW(G107)))&amp;""</f>
        <v/>
      </c>
      <c r="K107" s="8" t="s">
        <v>2520</v>
      </c>
      <c r="L107" s="8" t="s">
        <v>1285</v>
      </c>
      <c r="M107" s="8" t="s">
        <v>578</v>
      </c>
      <c r="N107" s="9">
        <v>3</v>
      </c>
      <c r="P107" s="8" t="str">
        <f t="shared" si="9"/>
        <v/>
      </c>
      <c r="Q107" s="8" t="str">
        <f>IF(AND(VLOOKUP(M107,查询!$C$8:$E$15,3,FALSE)="启用",$B$1=N107),L107,"")</f>
        <v/>
      </c>
      <c r="R107" s="6" t="str">
        <f t="array" ref="R107">INDEX(P:P,SMALL(IF(P$1:P$500&lt;&gt;"",ROW($1:$500),1000),ROW(P107)))&amp;""</f>
        <v/>
      </c>
      <c r="S107" s="6" t="str">
        <f t="array" ref="S107">INDEX(Q:Q,SMALL(IF(Q$1:Q$500&lt;&gt;"",ROW($1:$500),1000),ROW(Q107)))&amp;""</f>
        <v/>
      </c>
      <c r="U107" s="8" t="s">
        <v>3251</v>
      </c>
      <c r="V107" s="8" t="s">
        <v>1690</v>
      </c>
      <c r="W107" s="8" t="s">
        <v>494</v>
      </c>
      <c r="X107" s="9">
        <v>6</v>
      </c>
      <c r="Z107" s="8" t="str">
        <f t="shared" si="10"/>
        <v/>
      </c>
      <c r="AA107" s="8" t="str">
        <f>IF(AND(VLOOKUP(W107,查询!$C$8:$E$15,3,FALSE)="启用",$B$1=X107),V107,"")</f>
        <v/>
      </c>
      <c r="AB107" s="6" t="str">
        <f t="array" ref="AB107">INDEX(Z:Z,SMALL(IF(Z$1:Z$500&lt;&gt;"",ROW($1:$500),1000),ROW(Z107)))&amp;""</f>
        <v/>
      </c>
      <c r="AC107" s="6" t="str">
        <f t="array" ref="AC107">INDEX(AA:AA,SMALL(IF(AA$1:AA$500&lt;&gt;"",ROW($1:$500),1000),ROW(AA107)))&amp;""</f>
        <v/>
      </c>
      <c r="AE107" s="8" t="s">
        <v>3412</v>
      </c>
      <c r="AF107" s="8" t="s">
        <v>1587</v>
      </c>
      <c r="AG107" s="8" t="s">
        <v>494</v>
      </c>
      <c r="AH107" s="9">
        <v>8</v>
      </c>
      <c r="AJ107" s="8" t="str">
        <f t="shared" si="11"/>
        <v/>
      </c>
      <c r="AK107" s="8" t="str">
        <f>IF(AND(VLOOKUP(AG107,查询!$C$8:$E$15,3,FALSE)="启用",$B$1=AH107),AF107,"")</f>
        <v/>
      </c>
      <c r="AL107" s="6" t="str">
        <f t="array" ref="AL107">INDEX(AJ:AJ,SMALL(IF(AJ$1:AJ$500&lt;&gt;"",ROW($1:$500),1000),ROW(AJ107)))&amp;""</f>
        <v/>
      </c>
      <c r="AM107" s="6" t="str">
        <f t="array" ref="AM107">INDEX(AK:AK,SMALL(IF(AK$1:AK$500&lt;&gt;"",ROW($1:$500),1000),ROW(AK107)))&amp;""</f>
        <v/>
      </c>
      <c r="AV107" s="6" t="str">
        <f t="array" ref="AV107">INDEX(AT:AT,SMALL(IF(AT$1:AT$500&lt;&gt;"",ROW($1:$500),1000),ROW(AT107)))&amp;""</f>
        <v/>
      </c>
      <c r="AW107" s="6" t="str">
        <f t="array" ref="AW107">INDEX(AU:AU,SMALL(IF(AU$1:AU$500&lt;&gt;"",ROW($1:$500),1000),ROW(AU107)))&amp;""</f>
        <v/>
      </c>
      <c r="BF107" s="6" t="str">
        <f t="array" ref="BF107">INDEX(BD:BD,SMALL(IF(BD$1:BD$500&lt;&gt;"",ROW($1:$500),1000),ROW(BD107)))&amp;""</f>
        <v/>
      </c>
      <c r="BG107" s="6" t="str">
        <f t="array" ref="BG107">INDEX(BE:BE,SMALL(IF(BE$1:BE$500&lt;&gt;"",ROW($1:$500),1000),ROW(BE107)))&amp;""</f>
        <v/>
      </c>
      <c r="BI107" s="8" t="s">
        <v>2776</v>
      </c>
      <c r="BJ107" s="8" t="s">
        <v>1328</v>
      </c>
      <c r="BK107" s="8" t="s">
        <v>1249</v>
      </c>
      <c r="BL107" s="9">
        <v>4</v>
      </c>
      <c r="BN107" s="8" t="str">
        <f t="shared" si="12"/>
        <v/>
      </c>
      <c r="BO107" s="8" t="str">
        <f>IF(AND(VLOOKUP(BK107,查询!$C$8:$E$15,3,FALSE)="启用",$B$1=BL107),BJ107,"")</f>
        <v/>
      </c>
      <c r="BP107" s="6" t="str">
        <f t="array" ref="BP107">INDEX(BN:BN,SMALL(IF(BN$1:BN$500&lt;&gt;"",ROW($1:$500),1000),ROW(BN107)))&amp;""</f>
        <v/>
      </c>
      <c r="BQ107" s="6" t="str">
        <f t="array" ref="BQ107">INDEX(BO:BO,SMALL(IF(BO$1:BO$500&lt;&gt;"",ROW($1:$500),1000),ROW(BO107)))&amp;""</f>
        <v/>
      </c>
      <c r="BS107" s="8" t="s">
        <v>3032</v>
      </c>
      <c r="BT107" s="8" t="s">
        <v>1511</v>
      </c>
      <c r="BU107" s="8" t="s">
        <v>494</v>
      </c>
      <c r="BV107" s="9">
        <v>5</v>
      </c>
      <c r="BX107" s="8" t="str">
        <f t="shared" si="13"/>
        <v/>
      </c>
      <c r="BY107" s="8" t="str">
        <f>IF(AND(VLOOKUP(BU107,查询!$C$8:$E$15,3,FALSE)="启用",$B$1=BV107),BT107,"")</f>
        <v/>
      </c>
      <c r="BZ107" s="6" t="str">
        <f t="array" ref="BZ107">INDEX(BX:BX,SMALL(IF(BX$1:BX$500&lt;&gt;"",ROW($1:$500),1000),ROW(BX107)))&amp;""</f>
        <v/>
      </c>
      <c r="CA107" s="6" t="str">
        <f t="array" ref="CA107">INDEX(BY:BY,SMALL(IF(BY$1:BY$500&lt;&gt;"",ROW($1:$500),1000),ROW(BY107)))&amp;""</f>
        <v/>
      </c>
    </row>
    <row r="108" spans="1:79">
      <c r="A108" s="8" t="s">
        <v>1255</v>
      </c>
      <c r="B108" s="8" t="s">
        <v>1253</v>
      </c>
      <c r="C108" s="8" t="s">
        <v>494</v>
      </c>
      <c r="D108" s="9">
        <v>2</v>
      </c>
      <c r="F108" s="8" t="str">
        <f t="shared" si="8"/>
        <v>Detect Thoughts</v>
      </c>
      <c r="G108" s="8" t="str">
        <f>IF(AND(VLOOKUP(C108,查询!$C$8:$E$15,3,FALSE)="启用",$B$1=D108),B108,"")</f>
        <v>侦测思想</v>
      </c>
      <c r="H108" s="6" t="str">
        <f t="array" ref="H108">INDEX(F:F,SMALL(IF($F$1:$F$500&lt;&gt;"",ROW($1:$500),1000),ROW(F108)))&amp;""</f>
        <v/>
      </c>
      <c r="I108" s="6" t="str">
        <f t="array" ref="I108">INDEX(G:G,SMALL(IF($F$1:$F$500&lt;&gt;"",ROW($1:$500),1000),ROW(G108)))&amp;""</f>
        <v/>
      </c>
      <c r="K108" s="8" t="s">
        <v>2520</v>
      </c>
      <c r="L108" s="8" t="s">
        <v>1285</v>
      </c>
      <c r="M108" s="8" t="s">
        <v>1249</v>
      </c>
      <c r="N108" s="9">
        <v>3</v>
      </c>
      <c r="P108" s="8" t="str">
        <f t="shared" si="9"/>
        <v/>
      </c>
      <c r="Q108" s="8" t="str">
        <f>IF(AND(VLOOKUP(M108,查询!$C$8:$E$15,3,FALSE)="启用",$B$1=N108),L108,"")</f>
        <v/>
      </c>
      <c r="R108" s="6" t="str">
        <f t="array" ref="R108">INDEX(P:P,SMALL(IF(P$1:P$500&lt;&gt;"",ROW($1:$500),1000),ROW(P108)))&amp;""</f>
        <v/>
      </c>
      <c r="S108" s="6" t="str">
        <f t="array" ref="S108">INDEX(Q:Q,SMALL(IF(Q$1:Q$500&lt;&gt;"",ROW($1:$500),1000),ROW(Q108)))&amp;""</f>
        <v/>
      </c>
      <c r="U108" s="8" t="s">
        <v>3284</v>
      </c>
      <c r="V108" s="8" t="s">
        <v>1267</v>
      </c>
      <c r="W108" s="8" t="s">
        <v>1249</v>
      </c>
      <c r="X108" s="9">
        <v>7</v>
      </c>
      <c r="Z108" s="8" t="str">
        <f t="shared" si="10"/>
        <v/>
      </c>
      <c r="AA108" s="8" t="str">
        <f>IF(AND(VLOOKUP(W108,查询!$C$8:$E$15,3,FALSE)="启用",$B$1=X108),V108,"")</f>
        <v/>
      </c>
      <c r="AB108" s="6" t="str">
        <f t="array" ref="AB108">INDEX(Z:Z,SMALL(IF(Z$1:Z$500&lt;&gt;"",ROW($1:$500),1000),ROW(Z108)))&amp;""</f>
        <v/>
      </c>
      <c r="AC108" s="6" t="str">
        <f t="array" ref="AC108">INDEX(AA:AA,SMALL(IF(AA$1:AA$500&lt;&gt;"",ROW($1:$500),1000),ROW(AA108)))&amp;""</f>
        <v/>
      </c>
      <c r="AE108" s="8" t="s">
        <v>3417</v>
      </c>
      <c r="AF108" s="8" t="s">
        <v>1594</v>
      </c>
      <c r="AG108" s="8" t="s">
        <v>494</v>
      </c>
      <c r="AH108" s="9">
        <v>8</v>
      </c>
      <c r="AJ108" s="8" t="str">
        <f t="shared" si="11"/>
        <v/>
      </c>
      <c r="AK108" s="8" t="str">
        <f>IF(AND(VLOOKUP(AG108,查询!$C$8:$E$15,3,FALSE)="启用",$B$1=AH108),AF108,"")</f>
        <v/>
      </c>
      <c r="AL108" s="6" t="str">
        <f t="array" ref="AL108">INDEX(AJ:AJ,SMALL(IF(AJ$1:AJ$500&lt;&gt;"",ROW($1:$500),1000),ROW(AJ108)))&amp;""</f>
        <v/>
      </c>
      <c r="AM108" s="6" t="str">
        <f t="array" ref="AM108">INDEX(AK:AK,SMALL(IF(AK$1:AK$500&lt;&gt;"",ROW($1:$500),1000),ROW(AK108)))&amp;""</f>
        <v/>
      </c>
      <c r="AV108" s="6" t="str">
        <f t="array" ref="AV108">INDEX(AT:AT,SMALL(IF(AT$1:AT$500&lt;&gt;"",ROW($1:$500),1000),ROW(AT108)))&amp;""</f>
        <v/>
      </c>
      <c r="AW108" s="6" t="str">
        <f t="array" ref="AW108">INDEX(AU:AU,SMALL(IF(AU$1:AU$500&lt;&gt;"",ROW($1:$500),1000),ROW(AU108)))&amp;""</f>
        <v/>
      </c>
      <c r="BF108" s="6" t="str">
        <f t="array" ref="BF108">INDEX(BD:BD,SMALL(IF(BD$1:BD$500&lt;&gt;"",ROW($1:$500),1000),ROW(BD108)))&amp;""</f>
        <v/>
      </c>
      <c r="BG108" s="6" t="str">
        <f t="array" ref="BG108">INDEX(BE:BE,SMALL(IF(BE$1:BE$500&lt;&gt;"",ROW($1:$500),1000),ROW(BE108)))&amp;""</f>
        <v/>
      </c>
      <c r="BI108" s="8" t="s">
        <v>2779</v>
      </c>
      <c r="BJ108" s="8" t="s">
        <v>1749</v>
      </c>
      <c r="BK108" s="8" t="s">
        <v>578</v>
      </c>
      <c r="BL108" s="9">
        <v>4</v>
      </c>
      <c r="BN108" s="8" t="str">
        <f t="shared" si="12"/>
        <v/>
      </c>
      <c r="BO108" s="8" t="str">
        <f>IF(AND(VLOOKUP(BK108,查询!$C$8:$E$15,3,FALSE)="启用",$B$1=BL108),BJ108,"")</f>
        <v/>
      </c>
      <c r="BP108" s="6" t="str">
        <f t="array" ref="BP108">INDEX(BN:BN,SMALL(IF(BN$1:BN$500&lt;&gt;"",ROW($1:$500),1000),ROW(BN108)))&amp;""</f>
        <v/>
      </c>
      <c r="BQ108" s="6" t="str">
        <f t="array" ref="BQ108">INDEX(BO:BO,SMALL(IF(BO$1:BO$500&lt;&gt;"",ROW($1:$500),1000),ROW(BO108)))&amp;""</f>
        <v/>
      </c>
      <c r="BS108" s="8" t="s">
        <v>3034</v>
      </c>
      <c r="BT108" s="8" t="s">
        <v>1522</v>
      </c>
      <c r="BU108" s="8" t="s">
        <v>494</v>
      </c>
      <c r="BV108" s="9">
        <v>5</v>
      </c>
      <c r="BX108" s="8" t="str">
        <f t="shared" si="13"/>
        <v/>
      </c>
      <c r="BY108" s="8" t="str">
        <f>IF(AND(VLOOKUP(BU108,查询!$C$8:$E$15,3,FALSE)="启用",$B$1=BV108),BT108,"")</f>
        <v/>
      </c>
      <c r="BZ108" s="6" t="str">
        <f t="array" ref="BZ108">INDEX(BX:BX,SMALL(IF(BX$1:BX$500&lt;&gt;"",ROW($1:$500),1000),ROW(BX108)))&amp;""</f>
        <v/>
      </c>
      <c r="CA108" s="6" t="str">
        <f t="array" ref="CA108">INDEX(BY:BY,SMALL(IF(BY$1:BY$500&lt;&gt;"",ROW($1:$500),1000),ROW(BY108)))&amp;""</f>
        <v/>
      </c>
    </row>
    <row r="109" spans="1:79">
      <c r="A109" s="8" t="s">
        <v>2352</v>
      </c>
      <c r="B109" s="8" t="s">
        <v>1469</v>
      </c>
      <c r="C109" s="8" t="s">
        <v>494</v>
      </c>
      <c r="D109" s="9">
        <v>2</v>
      </c>
      <c r="F109" s="8" t="str">
        <f t="shared" si="8"/>
        <v>Knock</v>
      </c>
      <c r="G109" s="8" t="str">
        <f>IF(AND(VLOOKUP(C109,查询!$C$8:$E$15,3,FALSE)="启用",$B$1=D109),B109,"")</f>
        <v>敲击术</v>
      </c>
      <c r="H109" s="6" t="str">
        <f t="array" ref="H109">INDEX(F:F,SMALL(IF($F$1:$F$500&lt;&gt;"",ROW($1:$500),1000),ROW(F109)))&amp;""</f>
        <v/>
      </c>
      <c r="I109" s="6" t="str">
        <f t="array" ref="I109">INDEX(G:G,SMALL(IF($F$1:$F$500&lt;&gt;"",ROW($1:$500),1000),ROW(G109)))&amp;""</f>
        <v/>
      </c>
      <c r="K109" s="8" t="s">
        <v>2572</v>
      </c>
      <c r="L109" s="8" t="s">
        <v>1389</v>
      </c>
      <c r="M109" s="8" t="s">
        <v>494</v>
      </c>
      <c r="N109" s="9">
        <v>3</v>
      </c>
      <c r="P109" s="8" t="str">
        <f t="shared" si="9"/>
        <v/>
      </c>
      <c r="Q109" s="8" t="str">
        <f>IF(AND(VLOOKUP(M109,查询!$C$8:$E$15,3,FALSE)="启用",$B$1=N109),L109,"")</f>
        <v/>
      </c>
      <c r="R109" s="6" t="str">
        <f t="array" ref="R109">INDEX(P:P,SMALL(IF(P$1:P$500&lt;&gt;"",ROW($1:$500),1000),ROW(P109)))&amp;""</f>
        <v/>
      </c>
      <c r="S109" s="6" t="str">
        <f t="array" ref="S109">INDEX(Q:Q,SMALL(IF(Q$1:Q$500&lt;&gt;"",ROW($1:$500),1000),ROW(Q109)))&amp;""</f>
        <v/>
      </c>
      <c r="U109" s="8" t="s">
        <v>3287</v>
      </c>
      <c r="V109" s="8" t="s">
        <v>1272</v>
      </c>
      <c r="W109" s="8" t="s">
        <v>1249</v>
      </c>
      <c r="X109" s="9">
        <v>7</v>
      </c>
      <c r="Z109" s="8" t="str">
        <f t="shared" si="10"/>
        <v/>
      </c>
      <c r="AA109" s="8" t="str">
        <f>IF(AND(VLOOKUP(W109,查询!$C$8:$E$15,3,FALSE)="启用",$B$1=X109),V109,"")</f>
        <v/>
      </c>
      <c r="AB109" s="6" t="str">
        <f t="array" ref="AB109">INDEX(Z:Z,SMALL(IF(Z$1:Z$500&lt;&gt;"",ROW($1:$500),1000),ROW(Z109)))&amp;""</f>
        <v/>
      </c>
      <c r="AC109" s="6" t="str">
        <f t="array" ref="AC109">INDEX(AA:AA,SMALL(IF(AA$1:AA$500&lt;&gt;"",ROW($1:$500),1000),ROW(AA109)))&amp;""</f>
        <v/>
      </c>
      <c r="AE109" s="8" t="s">
        <v>3421</v>
      </c>
      <c r="AF109" s="8" t="s">
        <v>1602</v>
      </c>
      <c r="AG109" s="8" t="s">
        <v>494</v>
      </c>
      <c r="AH109" s="9">
        <v>8</v>
      </c>
      <c r="AJ109" s="8" t="str">
        <f t="shared" si="11"/>
        <v/>
      </c>
      <c r="AK109" s="8" t="str">
        <f>IF(AND(VLOOKUP(AG109,查询!$C$8:$E$15,3,FALSE)="启用",$B$1=AH109),AF109,"")</f>
        <v/>
      </c>
      <c r="AL109" s="6" t="str">
        <f t="array" ref="AL109">INDEX(AJ:AJ,SMALL(IF(AJ$1:AJ$500&lt;&gt;"",ROW($1:$500),1000),ROW(AJ109)))&amp;""</f>
        <v/>
      </c>
      <c r="AM109" s="6" t="str">
        <f t="array" ref="AM109">INDEX(AK:AK,SMALL(IF(AK$1:AK$500&lt;&gt;"",ROW($1:$500),1000),ROW(AK109)))&amp;""</f>
        <v/>
      </c>
      <c r="AV109" s="6" t="str">
        <f t="array" ref="AV109">INDEX(AT:AT,SMALL(IF(AT$1:AT$500&lt;&gt;"",ROW($1:$500),1000),ROW(AT109)))&amp;""</f>
        <v/>
      </c>
      <c r="AW109" s="6" t="str">
        <f t="array" ref="AW109">INDEX(AU:AU,SMALL(IF(AU$1:AU$500&lt;&gt;"",ROW($1:$500),1000),ROW(AU109)))&amp;""</f>
        <v/>
      </c>
      <c r="BF109" s="6" t="str">
        <f t="array" ref="BF109">INDEX(BD:BD,SMALL(IF(BD$1:BD$500&lt;&gt;"",ROW($1:$500),1000),ROW(BD109)))&amp;""</f>
        <v/>
      </c>
      <c r="BG109" s="6" t="str">
        <f t="array" ref="BG109">INDEX(BE:BE,SMALL(IF(BE$1:BE$500&lt;&gt;"",ROW($1:$500),1000),ROW(BE109)))&amp;""</f>
        <v/>
      </c>
      <c r="BI109" s="8" t="s">
        <v>2779</v>
      </c>
      <c r="BJ109" s="8" t="s">
        <v>1348</v>
      </c>
      <c r="BK109" s="8" t="s">
        <v>1249</v>
      </c>
      <c r="BL109" s="9">
        <v>4</v>
      </c>
      <c r="BN109" s="8" t="str">
        <f t="shared" si="12"/>
        <v/>
      </c>
      <c r="BO109" s="8" t="str">
        <f>IF(AND(VLOOKUP(BK109,查询!$C$8:$E$15,3,FALSE)="启用",$B$1=BL109),BJ109,"")</f>
        <v/>
      </c>
      <c r="BP109" s="6" t="str">
        <f t="array" ref="BP109">INDEX(BN:BN,SMALL(IF(BN$1:BN$500&lt;&gt;"",ROW($1:$500),1000),ROW(BN109)))&amp;""</f>
        <v/>
      </c>
      <c r="BQ109" s="6" t="str">
        <f t="array" ref="BQ109">INDEX(BO:BO,SMALL(IF(BO$1:BO$500&lt;&gt;"",ROW($1:$500),1000),ROW(BO109)))&amp;""</f>
        <v/>
      </c>
      <c r="BS109" s="8" t="s">
        <v>3036</v>
      </c>
      <c r="BT109" s="8" t="s">
        <v>1523</v>
      </c>
      <c r="BU109" s="8" t="s">
        <v>494</v>
      </c>
      <c r="BV109" s="9">
        <v>5</v>
      </c>
      <c r="BX109" s="8" t="str">
        <f t="shared" si="13"/>
        <v/>
      </c>
      <c r="BY109" s="8" t="str">
        <f>IF(AND(VLOOKUP(BU109,查询!$C$8:$E$15,3,FALSE)="启用",$B$1=BV109),BT109,"")</f>
        <v/>
      </c>
      <c r="BZ109" s="6" t="str">
        <f t="array" ref="BZ109">INDEX(BX:BX,SMALL(IF(BX$1:BX$500&lt;&gt;"",ROW($1:$500),1000),ROW(BX109)))&amp;""</f>
        <v/>
      </c>
      <c r="CA109" s="6" t="str">
        <f t="array" ref="CA109">INDEX(BY:BY,SMALL(IF(BY$1:BY$500&lt;&gt;"",ROW($1:$500),1000),ROW(BY109)))&amp;""</f>
        <v/>
      </c>
    </row>
    <row r="110" spans="1:79">
      <c r="A110" s="8" t="s">
        <v>2354</v>
      </c>
      <c r="B110" s="8" t="s">
        <v>1471</v>
      </c>
      <c r="C110" s="8" t="s">
        <v>494</v>
      </c>
      <c r="D110" s="9">
        <v>2</v>
      </c>
      <c r="F110" s="8" t="str">
        <f t="shared" si="8"/>
        <v>Phantasmal Force</v>
      </c>
      <c r="G110" s="8" t="str">
        <f>IF(AND(VLOOKUP(C110,查询!$C$8:$E$15,3,FALSE)="启用",$B$1=D110),B110,"")</f>
        <v>魅影之力</v>
      </c>
      <c r="H110" s="6" t="str">
        <f t="array" ref="H110">INDEX(F:F,SMALL(IF($F$1:$F$500&lt;&gt;"",ROW($1:$500),1000),ROW(F110)))&amp;""</f>
        <v/>
      </c>
      <c r="I110" s="6" t="str">
        <f t="array" ref="I110">INDEX(G:G,SMALL(IF($F$1:$F$500&lt;&gt;"",ROW($1:$500),1000),ROW(G110)))&amp;""</f>
        <v/>
      </c>
      <c r="K110" s="8" t="s">
        <v>2577</v>
      </c>
      <c r="L110" s="8" t="s">
        <v>1393</v>
      </c>
      <c r="M110" s="8" t="s">
        <v>494</v>
      </c>
      <c r="N110" s="9">
        <v>3</v>
      </c>
      <c r="P110" s="8" t="str">
        <f t="shared" si="9"/>
        <v/>
      </c>
      <c r="Q110" s="8" t="str">
        <f>IF(AND(VLOOKUP(M110,查询!$C$8:$E$15,3,FALSE)="启用",$B$1=N110),L110,"")</f>
        <v/>
      </c>
      <c r="R110" s="6" t="str">
        <f t="array" ref="R110">INDEX(P:P,SMALL(IF(P$1:P$500&lt;&gt;"",ROW($1:$500),1000),ROW(P110)))&amp;""</f>
        <v/>
      </c>
      <c r="S110" s="6" t="str">
        <f t="array" ref="S110">INDEX(Q:Q,SMALL(IF(Q$1:Q$500&lt;&gt;"",ROW($1:$500),1000),ROW(Q110)))&amp;""</f>
        <v/>
      </c>
      <c r="U110" s="8" t="s">
        <v>3299</v>
      </c>
      <c r="V110" s="8" t="s">
        <v>1392</v>
      </c>
      <c r="W110" s="8" t="s">
        <v>494</v>
      </c>
      <c r="X110" s="9">
        <v>7</v>
      </c>
      <c r="Z110" s="8" t="str">
        <f t="shared" si="10"/>
        <v/>
      </c>
      <c r="AA110" s="8" t="str">
        <f>IF(AND(VLOOKUP(W110,查询!$C$8:$E$15,3,FALSE)="启用",$B$1=X110),V110,"")</f>
        <v/>
      </c>
      <c r="AB110" s="6" t="str">
        <f t="array" ref="AB110">INDEX(Z:Z,SMALL(IF(Z$1:Z$500&lt;&gt;"",ROW($1:$500),1000),ROW(Z110)))&amp;""</f>
        <v/>
      </c>
      <c r="AC110" s="6" t="str">
        <f t="array" ref="AC110">INDEX(AA:AA,SMALL(IF(AA$1:AA$500&lt;&gt;"",ROW($1:$500),1000),ROW(AA110)))&amp;""</f>
        <v/>
      </c>
      <c r="AE110" s="8" t="s">
        <v>3426</v>
      </c>
      <c r="AF110" s="8" t="s">
        <v>1625</v>
      </c>
      <c r="AG110" s="8" t="s">
        <v>494</v>
      </c>
      <c r="AH110" s="9">
        <v>8</v>
      </c>
      <c r="AJ110" s="8" t="str">
        <f t="shared" si="11"/>
        <v/>
      </c>
      <c r="AK110" s="8" t="str">
        <f>IF(AND(VLOOKUP(AG110,查询!$C$8:$E$15,3,FALSE)="启用",$B$1=AH110),AF110,"")</f>
        <v/>
      </c>
      <c r="AL110" s="6" t="str">
        <f t="array" ref="AL110">INDEX(AJ:AJ,SMALL(IF(AJ$1:AJ$500&lt;&gt;"",ROW($1:$500),1000),ROW(AJ110)))&amp;""</f>
        <v/>
      </c>
      <c r="AM110" s="6" t="str">
        <f t="array" ref="AM110">INDEX(AK:AK,SMALL(IF(AK$1:AK$500&lt;&gt;"",ROW($1:$500),1000),ROW(AK110)))&amp;""</f>
        <v/>
      </c>
      <c r="AV110" s="6" t="str">
        <f t="array" ref="AV110">INDEX(AT:AT,SMALL(IF(AT$1:AT$500&lt;&gt;"",ROW($1:$500),1000),ROW(AT110)))&amp;""</f>
        <v/>
      </c>
      <c r="AW110" s="6" t="str">
        <f t="array" ref="AW110">INDEX(AU:AU,SMALL(IF(AU$1:AU$500&lt;&gt;"",ROW($1:$500),1000),ROW(AU110)))&amp;""</f>
        <v/>
      </c>
      <c r="BF110" s="6" t="str">
        <f t="array" ref="BF110">INDEX(BD:BD,SMALL(IF(BD$1:BD$500&lt;&gt;"",ROW($1:$500),1000),ROW(BD110)))&amp;""</f>
        <v/>
      </c>
      <c r="BG110" s="6" t="str">
        <f t="array" ref="BG110">INDEX(BE:BE,SMALL(IF(BE$1:BE$500&lt;&gt;"",ROW($1:$500),1000),ROW(BE110)))&amp;""</f>
        <v/>
      </c>
      <c r="BI110" s="8" t="s">
        <v>2781</v>
      </c>
      <c r="BJ110" s="8" t="s">
        <v>1751</v>
      </c>
      <c r="BK110" s="8" t="s">
        <v>578</v>
      </c>
      <c r="BL110" s="9">
        <v>4</v>
      </c>
      <c r="BN110" s="8" t="str">
        <f t="shared" si="12"/>
        <v/>
      </c>
      <c r="BO110" s="8" t="str">
        <f>IF(AND(VLOOKUP(BK110,查询!$C$8:$E$15,3,FALSE)="启用",$B$1=BL110),BJ110,"")</f>
        <v/>
      </c>
      <c r="BP110" s="6" t="str">
        <f t="array" ref="BP110">INDEX(BN:BN,SMALL(IF(BN$1:BN$500&lt;&gt;"",ROW($1:$500),1000),ROW(BN110)))&amp;""</f>
        <v/>
      </c>
      <c r="BQ110" s="6" t="str">
        <f t="array" ref="BQ110">INDEX(BO:BO,SMALL(IF(BO$1:BO$500&lt;&gt;"",ROW($1:$500),1000),ROW(BO110)))&amp;""</f>
        <v/>
      </c>
      <c r="BS110" s="8" t="s">
        <v>3038</v>
      </c>
      <c r="BT110" s="8" t="s">
        <v>1545</v>
      </c>
      <c r="BU110" s="8" t="s">
        <v>494</v>
      </c>
      <c r="BV110" s="9">
        <v>5</v>
      </c>
      <c r="BX110" s="8" t="str">
        <f t="shared" si="13"/>
        <v/>
      </c>
      <c r="BY110" s="8" t="str">
        <f>IF(AND(VLOOKUP(BU110,查询!$C$8:$E$15,3,FALSE)="启用",$B$1=BV110),BT110,"")</f>
        <v/>
      </c>
      <c r="BZ110" s="6" t="str">
        <f t="array" ref="BZ110">INDEX(BX:BX,SMALL(IF(BX$1:BX$500&lt;&gt;"",ROW($1:$500),1000),ROW(BX110)))&amp;""</f>
        <v/>
      </c>
      <c r="CA110" s="6" t="str">
        <f t="array" ref="CA110">INDEX(BY:BY,SMALL(IF(BY$1:BY$500&lt;&gt;"",ROW($1:$500),1000),ROW(BY110)))&amp;""</f>
        <v/>
      </c>
    </row>
    <row r="111" spans="1:79">
      <c r="A111" s="8" t="s">
        <v>2358</v>
      </c>
      <c r="B111" s="8" t="s">
        <v>1472</v>
      </c>
      <c r="C111" s="8" t="s">
        <v>494</v>
      </c>
      <c r="D111" s="9">
        <v>2</v>
      </c>
      <c r="F111" s="8" t="str">
        <f t="shared" si="8"/>
        <v>See Invisibility</v>
      </c>
      <c r="G111" s="8" t="str">
        <f>IF(AND(VLOOKUP(C111,查询!$C$8:$E$15,3,FALSE)="启用",$B$1=D111),B111,"")</f>
        <v>识破隐形</v>
      </c>
      <c r="H111" s="6" t="str">
        <f t="array" ref="H111">INDEX(F:F,SMALL(IF($F$1:$F$500&lt;&gt;"",ROW($1:$500),1000),ROW(F111)))&amp;""</f>
        <v/>
      </c>
      <c r="I111" s="6" t="str">
        <f t="array" ref="I111">INDEX(G:G,SMALL(IF($F$1:$F$500&lt;&gt;"",ROW($1:$500),1000),ROW(G111)))&amp;""</f>
        <v/>
      </c>
      <c r="K111" s="8" t="s">
        <v>2581</v>
      </c>
      <c r="L111" s="8" t="s">
        <v>1394</v>
      </c>
      <c r="M111" s="8" t="s">
        <v>494</v>
      </c>
      <c r="N111" s="9">
        <v>3</v>
      </c>
      <c r="P111" s="8" t="str">
        <f t="shared" si="9"/>
        <v/>
      </c>
      <c r="Q111" s="8" t="str">
        <f>IF(AND(VLOOKUP(M111,查询!$C$8:$E$15,3,FALSE)="启用",$B$1=N111),L111,"")</f>
        <v/>
      </c>
      <c r="R111" s="6" t="str">
        <f t="array" ref="R111">INDEX(P:P,SMALL(IF(P$1:P$500&lt;&gt;"",ROW($1:$500),1000),ROW(P111)))&amp;""</f>
        <v/>
      </c>
      <c r="S111" s="6" t="str">
        <f t="array" ref="S111">INDEX(Q:Q,SMALL(IF(Q$1:Q$500&lt;&gt;"",ROW($1:$500),1000),ROW(Q111)))&amp;""</f>
        <v/>
      </c>
      <c r="U111" s="8" t="s">
        <v>3308</v>
      </c>
      <c r="V111" s="8" t="s">
        <v>1435</v>
      </c>
      <c r="W111" s="8" t="s">
        <v>494</v>
      </c>
      <c r="X111" s="9">
        <v>7</v>
      </c>
      <c r="Z111" s="8" t="str">
        <f t="shared" si="10"/>
        <v/>
      </c>
      <c r="AA111" s="8" t="str">
        <f>IF(AND(VLOOKUP(W111,查询!$C$8:$E$15,3,FALSE)="启用",$B$1=X111),V111,"")</f>
        <v/>
      </c>
      <c r="AB111" s="6" t="str">
        <f t="array" ref="AB111">INDEX(Z:Z,SMALL(IF(Z$1:Z$500&lt;&gt;"",ROW($1:$500),1000),ROW(Z111)))&amp;""</f>
        <v/>
      </c>
      <c r="AC111" s="6" t="str">
        <f t="array" ref="AC111">INDEX(AA:AA,SMALL(IF(AA$1:AA$500&lt;&gt;"",ROW($1:$500),1000),ROW(AA111)))&amp;""</f>
        <v/>
      </c>
      <c r="AE111" s="8" t="s">
        <v>3495</v>
      </c>
      <c r="AF111" s="8" t="s">
        <v>1570</v>
      </c>
      <c r="AG111" s="8" t="s">
        <v>494</v>
      </c>
      <c r="AH111" s="9">
        <v>9</v>
      </c>
      <c r="AJ111" s="8" t="str">
        <f t="shared" si="11"/>
        <v/>
      </c>
      <c r="AK111" s="8" t="str">
        <f>IF(AND(VLOOKUP(AG111,查询!$C$8:$E$15,3,FALSE)="启用",$B$1=AH111),AF111,"")</f>
        <v/>
      </c>
      <c r="AL111" s="6" t="str">
        <f t="array" ref="AL111">INDEX(AJ:AJ,SMALL(IF(AJ$1:AJ$500&lt;&gt;"",ROW($1:$500),1000),ROW(AJ111)))&amp;""</f>
        <v/>
      </c>
      <c r="AM111" s="6" t="str">
        <f t="array" ref="AM111">INDEX(AK:AK,SMALL(IF(AK$1:AK$500&lt;&gt;"",ROW($1:$500),1000),ROW(AK111)))&amp;""</f>
        <v/>
      </c>
      <c r="AV111" s="6" t="str">
        <f t="array" ref="AV111">INDEX(AT:AT,SMALL(IF(AT$1:AT$500&lt;&gt;"",ROW($1:$500),1000),ROW(AT111)))&amp;""</f>
        <v/>
      </c>
      <c r="AW111" s="6" t="str">
        <f t="array" ref="AW111">INDEX(AU:AU,SMALL(IF(AU$1:AU$500&lt;&gt;"",ROW($1:$500),1000),ROW(AU111)))&amp;""</f>
        <v/>
      </c>
      <c r="BF111" s="6" t="str">
        <f t="array" ref="BF111">INDEX(BD:BD,SMALL(IF(BD$1:BD$500&lt;&gt;"",ROW($1:$500),1000),ROW(BD111)))&amp;""</f>
        <v/>
      </c>
      <c r="BG111" s="6" t="str">
        <f t="array" ref="BG111">INDEX(BE:BE,SMALL(IF(BE$1:BE$500&lt;&gt;"",ROW($1:$500),1000),ROW(BE111)))&amp;""</f>
        <v/>
      </c>
      <c r="BI111" s="8" t="s">
        <v>2781</v>
      </c>
      <c r="BJ111" s="8" t="s">
        <v>1350</v>
      </c>
      <c r="BK111" s="8" t="s">
        <v>1249</v>
      </c>
      <c r="BL111" s="9">
        <v>4</v>
      </c>
      <c r="BN111" s="8" t="str">
        <f t="shared" si="12"/>
        <v/>
      </c>
      <c r="BO111" s="8" t="str">
        <f>IF(AND(VLOOKUP(BK111,查询!$C$8:$E$15,3,FALSE)="启用",$B$1=BL111),BJ111,"")</f>
        <v/>
      </c>
      <c r="BP111" s="6" t="str">
        <f t="array" ref="BP111">INDEX(BN:BN,SMALL(IF(BN$1:BN$500&lt;&gt;"",ROW($1:$500),1000),ROW(BN111)))&amp;""</f>
        <v/>
      </c>
      <c r="BQ111" s="6" t="str">
        <f t="array" ref="BQ111">INDEX(BO:BO,SMALL(IF(BO$1:BO$500&lt;&gt;"",ROW($1:$500),1000),ROW(BO111)))&amp;""</f>
        <v/>
      </c>
      <c r="BS111" s="8" t="s">
        <v>3177</v>
      </c>
      <c r="BT111" s="8" t="s">
        <v>1447</v>
      </c>
      <c r="BU111" s="8" t="s">
        <v>494</v>
      </c>
      <c r="BV111" s="9">
        <v>6</v>
      </c>
      <c r="BX111" s="8" t="str">
        <f t="shared" si="13"/>
        <v/>
      </c>
      <c r="BY111" s="8" t="str">
        <f>IF(AND(VLOOKUP(BU111,查询!$C$8:$E$15,3,FALSE)="启用",$B$1=BV111),BT111,"")</f>
        <v/>
      </c>
      <c r="BZ111" s="6" t="str">
        <f t="array" ref="BZ111">INDEX(BX:BX,SMALL(IF(BX$1:BX$500&lt;&gt;"",ROW($1:$500),1000),ROW(BX111)))&amp;""</f>
        <v/>
      </c>
      <c r="CA111" s="6" t="str">
        <f t="array" ref="CA111">INDEX(BY:BY,SMALL(IF(BY$1:BY$500&lt;&gt;"",ROW($1:$500),1000),ROW(BY111)))&amp;""</f>
        <v/>
      </c>
    </row>
    <row r="112" spans="1:79">
      <c r="A112" s="8" t="s">
        <v>2366</v>
      </c>
      <c r="B112" s="8" t="s">
        <v>1484</v>
      </c>
      <c r="C112" s="8" t="s">
        <v>494</v>
      </c>
      <c r="D112" s="9">
        <v>2</v>
      </c>
      <c r="F112" s="8" t="str">
        <f t="shared" si="8"/>
        <v>Blindness/Deafness</v>
      </c>
      <c r="G112" s="8" t="str">
        <f>IF(AND(VLOOKUP(C112,查询!$C$8:$E$15,3,FALSE)="启用",$B$1=D112),B112,"")</f>
        <v>目盲/耳聋术</v>
      </c>
      <c r="H112" s="6" t="str">
        <f t="array" ref="H112">INDEX(F:F,SMALL(IF($F$1:$F$500&lt;&gt;"",ROW($1:$500),1000),ROW(F112)))&amp;""</f>
        <v/>
      </c>
      <c r="I112" s="6" t="str">
        <f t="array" ref="I112">INDEX(G:G,SMALL(IF($F$1:$F$500&lt;&gt;"",ROW($1:$500),1000),ROW(G112)))&amp;""</f>
        <v/>
      </c>
      <c r="K112" s="8" t="s">
        <v>2585</v>
      </c>
      <c r="L112" s="8" t="s">
        <v>1401</v>
      </c>
      <c r="M112" s="8" t="s">
        <v>494</v>
      </c>
      <c r="N112" s="9">
        <v>3</v>
      </c>
      <c r="P112" s="8" t="str">
        <f t="shared" si="9"/>
        <v/>
      </c>
      <c r="Q112" s="8" t="str">
        <f>IF(AND(VLOOKUP(M112,查询!$C$8:$E$15,3,FALSE)="启用",$B$1=N112),L112,"")</f>
        <v/>
      </c>
      <c r="R112" s="6" t="str">
        <f t="array" ref="R112">INDEX(P:P,SMALL(IF(P$1:P$500&lt;&gt;"",ROW($1:$500),1000),ROW(P112)))&amp;""</f>
        <v/>
      </c>
      <c r="S112" s="6" t="str">
        <f t="array" ref="S112">INDEX(Q:Q,SMALL(IF(Q$1:Q$500&lt;&gt;"",ROW($1:$500),1000),ROW(Q112)))&amp;""</f>
        <v/>
      </c>
      <c r="U112" s="8" t="s">
        <v>3315</v>
      </c>
      <c r="V112" s="8" t="s">
        <v>1481</v>
      </c>
      <c r="W112" s="8" t="s">
        <v>494</v>
      </c>
      <c r="X112" s="9">
        <v>7</v>
      </c>
      <c r="Z112" s="8" t="str">
        <f t="shared" si="10"/>
        <v/>
      </c>
      <c r="AA112" s="8" t="str">
        <f>IF(AND(VLOOKUP(W112,查询!$C$8:$E$15,3,FALSE)="启用",$B$1=X112),V112,"")</f>
        <v/>
      </c>
      <c r="AB112" s="6" t="str">
        <f t="array" ref="AB112">INDEX(Z:Z,SMALL(IF(Z$1:Z$500&lt;&gt;"",ROW($1:$500),1000),ROW(Z112)))&amp;""</f>
        <v/>
      </c>
      <c r="AC112" s="6" t="str">
        <f t="array" ref="AC112">INDEX(AA:AA,SMALL(IF(AA$1:AA$500&lt;&gt;"",ROW($1:$500),1000),ROW(AA112)))&amp;""</f>
        <v/>
      </c>
      <c r="AE112" s="8" t="s">
        <v>3500</v>
      </c>
      <c r="AF112" s="8" t="s">
        <v>1572</v>
      </c>
      <c r="AG112" s="8" t="s">
        <v>494</v>
      </c>
      <c r="AH112" s="9">
        <v>9</v>
      </c>
      <c r="AJ112" s="8" t="str">
        <f t="shared" si="11"/>
        <v/>
      </c>
      <c r="AK112" s="8" t="str">
        <f>IF(AND(VLOOKUP(AG112,查询!$C$8:$E$15,3,FALSE)="启用",$B$1=AH112),AF112,"")</f>
        <v/>
      </c>
      <c r="AL112" s="6" t="str">
        <f t="array" ref="AL112">INDEX(AJ:AJ,SMALL(IF(AJ$1:AJ$500&lt;&gt;"",ROW($1:$500),1000),ROW(AJ112)))&amp;""</f>
        <v/>
      </c>
      <c r="AM112" s="6" t="str">
        <f t="array" ref="AM112">INDEX(AK:AK,SMALL(IF(AK$1:AK$500&lt;&gt;"",ROW($1:$500),1000),ROW(AK112)))&amp;""</f>
        <v/>
      </c>
      <c r="AV112" s="6" t="str">
        <f t="array" ref="AV112">INDEX(AT:AT,SMALL(IF(AT$1:AT$500&lt;&gt;"",ROW($1:$500),1000),ROW(AT112)))&amp;""</f>
        <v/>
      </c>
      <c r="AW112" s="6" t="str">
        <f t="array" ref="AW112">INDEX(AU:AU,SMALL(IF(AU$1:AU$500&lt;&gt;"",ROW($1:$500),1000),ROW(AU112)))&amp;""</f>
        <v/>
      </c>
      <c r="BF112" s="6" t="str">
        <f t="array" ref="BF112">INDEX(BD:BD,SMALL(IF(BD$1:BD$500&lt;&gt;"",ROW($1:$500),1000),ROW(BD112)))&amp;""</f>
        <v/>
      </c>
      <c r="BG112" s="6" t="str">
        <f t="array" ref="BG112">INDEX(BE:BE,SMALL(IF(BE$1:BE$500&lt;&gt;"",ROW($1:$500),1000),ROW(BE112)))&amp;""</f>
        <v/>
      </c>
      <c r="BI112" s="8" t="s">
        <v>2876</v>
      </c>
      <c r="BJ112" s="8" t="s">
        <v>1677</v>
      </c>
      <c r="BK112" s="8" t="s">
        <v>494</v>
      </c>
      <c r="BL112" s="9">
        <v>4</v>
      </c>
      <c r="BN112" s="8" t="str">
        <f t="shared" si="12"/>
        <v/>
      </c>
      <c r="BO112" s="8" t="str">
        <f>IF(AND(VLOOKUP(BK112,查询!$C$8:$E$15,3,FALSE)="启用",$B$1=BL112),BJ112,"")</f>
        <v/>
      </c>
      <c r="BP112" s="6" t="str">
        <f t="array" ref="BP112">INDEX(BN:BN,SMALL(IF(BN$1:BN$500&lt;&gt;"",ROW($1:$500),1000),ROW(BN112)))&amp;""</f>
        <v/>
      </c>
      <c r="BQ112" s="6" t="str">
        <f t="array" ref="BQ112">INDEX(BO:BO,SMALL(IF(BO$1:BO$500&lt;&gt;"",ROW($1:$500),1000),ROW(BO112)))&amp;""</f>
        <v/>
      </c>
      <c r="BS112" s="8" t="s">
        <v>3179</v>
      </c>
      <c r="BT112" s="8" t="s">
        <v>1455</v>
      </c>
      <c r="BU112" s="8" t="s">
        <v>494</v>
      </c>
      <c r="BV112" s="9">
        <v>6</v>
      </c>
      <c r="BX112" s="8" t="str">
        <f t="shared" si="13"/>
        <v/>
      </c>
      <c r="BY112" s="8" t="str">
        <f>IF(AND(VLOOKUP(BU112,查询!$C$8:$E$15,3,FALSE)="启用",$B$1=BV112),BT112,"")</f>
        <v/>
      </c>
      <c r="BZ112" s="6" t="str">
        <f t="array" ref="BZ112">INDEX(BX:BX,SMALL(IF(BX$1:BX$500&lt;&gt;"",ROW($1:$500),1000),ROW(BX112)))&amp;""</f>
        <v/>
      </c>
      <c r="CA112" s="6" t="str">
        <f t="array" ref="CA112">INDEX(BY:BY,SMALL(IF(BY$1:BY$500&lt;&gt;"",ROW($1:$500),1000),ROW(BY112)))&amp;""</f>
        <v/>
      </c>
    </row>
    <row r="113" spans="1:79">
      <c r="A113" s="8" t="s">
        <v>2372</v>
      </c>
      <c r="B113" s="8" t="s">
        <v>1496</v>
      </c>
      <c r="C113" s="8" t="s">
        <v>494</v>
      </c>
      <c r="D113" s="9">
        <v>2</v>
      </c>
      <c r="F113" s="8" t="str">
        <f t="shared" si="8"/>
        <v>Hold Person</v>
      </c>
      <c r="G113" s="8" t="str">
        <f>IF(AND(VLOOKUP(C113,查询!$C$8:$E$15,3,FALSE)="启用",$B$1=D113),B113,"")</f>
        <v>人类定身术</v>
      </c>
      <c r="H113" s="6" t="str">
        <f t="array" ref="H113">INDEX(F:F,SMALL(IF($F$1:$F$500&lt;&gt;"",ROW($1:$500),1000),ROW(F113)))&amp;""</f>
        <v/>
      </c>
      <c r="I113" s="6" t="str">
        <f t="array" ref="I113">INDEX(G:G,SMALL(IF($F$1:$F$500&lt;&gt;"",ROW($1:$500),1000),ROW(G113)))&amp;""</f>
        <v/>
      </c>
      <c r="K113" s="8" t="s">
        <v>2587</v>
      </c>
      <c r="L113" s="8" t="s">
        <v>1414</v>
      </c>
      <c r="M113" s="8" t="s">
        <v>494</v>
      </c>
      <c r="N113" s="9">
        <v>3</v>
      </c>
      <c r="P113" s="8" t="str">
        <f t="shared" si="9"/>
        <v/>
      </c>
      <c r="Q113" s="8" t="str">
        <f>IF(AND(VLOOKUP(M113,查询!$C$8:$E$15,3,FALSE)="启用",$B$1=N113),L113,"")</f>
        <v/>
      </c>
      <c r="R113" s="6" t="str">
        <f t="array" ref="R113">INDEX(P:P,SMALL(IF(P$1:P$500&lt;&gt;"",ROW($1:$500),1000),ROW(P113)))&amp;""</f>
        <v/>
      </c>
      <c r="S113" s="6" t="str">
        <f t="array" ref="S113">INDEX(Q:Q,SMALL(IF(Q$1:Q$500&lt;&gt;"",ROW($1:$500),1000),ROW(Q113)))&amp;""</f>
        <v/>
      </c>
      <c r="U113" s="8" t="s">
        <v>3349</v>
      </c>
      <c r="V113" s="8" t="s">
        <v>1593</v>
      </c>
      <c r="W113" s="8" t="s">
        <v>494</v>
      </c>
      <c r="X113" s="9">
        <v>7</v>
      </c>
      <c r="Z113" s="8" t="str">
        <f t="shared" si="10"/>
        <v/>
      </c>
      <c r="AA113" s="8" t="str">
        <f>IF(AND(VLOOKUP(W113,查询!$C$8:$E$15,3,FALSE)="启用",$B$1=X113),V113,"")</f>
        <v/>
      </c>
      <c r="AB113" s="6" t="str">
        <f t="array" ref="AB113">INDEX(Z:Z,SMALL(IF(Z$1:Z$500&lt;&gt;"",ROW($1:$500),1000),ROW(Z113)))&amp;""</f>
        <v/>
      </c>
      <c r="AC113" s="6" t="str">
        <f t="array" ref="AC113">INDEX(AA:AA,SMALL(IF(AA$1:AA$500&lt;&gt;"",ROW($1:$500),1000),ROW(AA113)))&amp;""</f>
        <v/>
      </c>
      <c r="AE113" s="8" t="s">
        <v>3506</v>
      </c>
      <c r="AF113" s="8" t="s">
        <v>1611</v>
      </c>
      <c r="AG113" s="8" t="s">
        <v>494</v>
      </c>
      <c r="AH113" s="9">
        <v>9</v>
      </c>
      <c r="AJ113" s="8" t="str">
        <f t="shared" si="11"/>
        <v/>
      </c>
      <c r="AK113" s="8" t="str">
        <f>IF(AND(VLOOKUP(AG113,查询!$C$8:$E$15,3,FALSE)="启用",$B$1=AH113),AF113,"")</f>
        <v/>
      </c>
      <c r="AL113" s="6" t="str">
        <f t="array" ref="AL113">INDEX(AJ:AJ,SMALL(IF(AJ$1:AJ$500&lt;&gt;"",ROW($1:$500),1000),ROW(AJ113)))&amp;""</f>
        <v/>
      </c>
      <c r="AM113" s="6" t="str">
        <f t="array" ref="AM113">INDEX(AK:AK,SMALL(IF(AK$1:AK$500&lt;&gt;"",ROW($1:$500),1000),ROW(AK113)))&amp;""</f>
        <v/>
      </c>
      <c r="AV113" s="6" t="str">
        <f t="array" ref="AV113">INDEX(AT:AT,SMALL(IF(AT$1:AT$500&lt;&gt;"",ROW($1:$500),1000),ROW(AT113)))&amp;""</f>
        <v/>
      </c>
      <c r="AW113" s="6" t="str">
        <f t="array" ref="AW113">INDEX(AU:AU,SMALL(IF(AU$1:AU$500&lt;&gt;"",ROW($1:$500),1000),ROW(AU113)))&amp;""</f>
        <v/>
      </c>
      <c r="BF113" s="6" t="str">
        <f t="array" ref="BF113">INDEX(BD:BD,SMALL(IF(BD$1:BD$500&lt;&gt;"",ROW($1:$500),1000),ROW(BD113)))&amp;""</f>
        <v/>
      </c>
      <c r="BG113" s="6" t="str">
        <f t="array" ref="BG113">INDEX(BE:BE,SMALL(IF(BE$1:BE$500&lt;&gt;"",ROW($1:$500),1000),ROW(BE113)))&amp;""</f>
        <v/>
      </c>
      <c r="BI113" s="8" t="s">
        <v>2880</v>
      </c>
      <c r="BJ113" s="8" t="s">
        <v>1683</v>
      </c>
      <c r="BK113" s="8" t="s">
        <v>494</v>
      </c>
      <c r="BL113" s="9">
        <v>4</v>
      </c>
      <c r="BN113" s="8" t="str">
        <f t="shared" si="12"/>
        <v/>
      </c>
      <c r="BO113" s="8" t="str">
        <f>IF(AND(VLOOKUP(BK113,查询!$C$8:$E$15,3,FALSE)="启用",$B$1=BL113),BJ113,"")</f>
        <v/>
      </c>
      <c r="BP113" s="6" t="str">
        <f t="array" ref="BP113">INDEX(BN:BN,SMALL(IF(BN$1:BN$500&lt;&gt;"",ROW($1:$500),1000),ROW(BN113)))&amp;""</f>
        <v/>
      </c>
      <c r="BQ113" s="6" t="str">
        <f t="array" ref="BQ113">INDEX(BO:BO,SMALL(IF(BO$1:BO$500&lt;&gt;"",ROW($1:$500),1000),ROW(BO113)))&amp;""</f>
        <v/>
      </c>
      <c r="BS113" s="8" t="s">
        <v>3184</v>
      </c>
      <c r="BT113" s="8" t="s">
        <v>1483</v>
      </c>
      <c r="BU113" s="8" t="s">
        <v>494</v>
      </c>
      <c r="BV113" s="9">
        <v>6</v>
      </c>
      <c r="BX113" s="8" t="str">
        <f t="shared" si="13"/>
        <v/>
      </c>
      <c r="BY113" s="8" t="str">
        <f>IF(AND(VLOOKUP(BU113,查询!$C$8:$E$15,3,FALSE)="启用",$B$1=BV113),BT113,"")</f>
        <v/>
      </c>
      <c r="BZ113" s="6" t="str">
        <f t="array" ref="BZ113">INDEX(BX:BX,SMALL(IF(BX$1:BX$500&lt;&gt;"",ROW($1:$500),1000),ROW(BX113)))&amp;""</f>
        <v/>
      </c>
      <c r="CA113" s="6" t="str">
        <f t="array" ref="CA113">INDEX(BY:BY,SMALL(IF(BY$1:BY$500&lt;&gt;"",ROW($1:$500),1000),ROW(BY113)))&amp;""</f>
        <v/>
      </c>
    </row>
    <row r="114" spans="1:79">
      <c r="A114" s="8" t="s">
        <v>2382</v>
      </c>
      <c r="B114" s="8" t="s">
        <v>1501</v>
      </c>
      <c r="C114" s="8" t="s">
        <v>494</v>
      </c>
      <c r="D114" s="9">
        <v>2</v>
      </c>
      <c r="F114" s="8" t="str">
        <f t="shared" si="8"/>
        <v>Locate Object</v>
      </c>
      <c r="G114" s="8" t="str">
        <f>IF(AND(VLOOKUP(C114,查询!$C$8:$E$15,3,FALSE)="启用",$B$1=D114),B114,"")</f>
        <v>物件定位术</v>
      </c>
      <c r="H114" s="6" t="str">
        <f t="array" ref="H114">INDEX(F:F,SMALL(IF($F$1:$F$500&lt;&gt;"",ROW($1:$500),1000),ROW(F114)))&amp;""</f>
        <v/>
      </c>
      <c r="I114" s="6" t="str">
        <f t="array" ref="I114">INDEX(G:G,SMALL(IF($F$1:$F$500&lt;&gt;"",ROW($1:$500),1000),ROW(G114)))&amp;""</f>
        <v/>
      </c>
      <c r="K114" s="8" t="s">
        <v>2591</v>
      </c>
      <c r="L114" s="8" t="s">
        <v>1416</v>
      </c>
      <c r="M114" s="8" t="s">
        <v>494</v>
      </c>
      <c r="N114" s="9">
        <v>3</v>
      </c>
      <c r="P114" s="8" t="str">
        <f t="shared" si="9"/>
        <v/>
      </c>
      <c r="Q114" s="8" t="str">
        <f>IF(AND(VLOOKUP(M114,查询!$C$8:$E$15,3,FALSE)="启用",$B$1=N114),L114,"")</f>
        <v/>
      </c>
      <c r="R114" s="6" t="str">
        <f t="array" ref="R114">INDEX(P:P,SMALL(IF(P$1:P$500&lt;&gt;"",ROW($1:$500),1000),ROW(P114)))&amp;""</f>
        <v/>
      </c>
      <c r="S114" s="6" t="str">
        <f t="array" ref="S114">INDEX(Q:Q,SMALL(IF(Q$1:Q$500&lt;&gt;"",ROW($1:$500),1000),ROW(Q114)))&amp;""</f>
        <v/>
      </c>
      <c r="U114" s="8" t="s">
        <v>3393</v>
      </c>
      <c r="V114" s="8" t="s">
        <v>1373</v>
      </c>
      <c r="W114" s="8" t="s">
        <v>494</v>
      </c>
      <c r="X114" s="9">
        <v>8</v>
      </c>
      <c r="Z114" s="8" t="str">
        <f t="shared" si="10"/>
        <v/>
      </c>
      <c r="AA114" s="8" t="str">
        <f>IF(AND(VLOOKUP(W114,查询!$C$8:$E$15,3,FALSE)="启用",$B$1=X114),V114,"")</f>
        <v/>
      </c>
      <c r="AB114" s="6" t="str">
        <f t="array" ref="AB114">INDEX(Z:Z,SMALL(IF(Z$1:Z$500&lt;&gt;"",ROW($1:$500),1000),ROW(Z114)))&amp;""</f>
        <v/>
      </c>
      <c r="AC114" s="6" t="str">
        <f t="array" ref="AC114">INDEX(AA:AA,SMALL(IF(AA$1:AA$500&lt;&gt;"",ROW($1:$500),1000),ROW(AA114)))&amp;""</f>
        <v/>
      </c>
      <c r="AE114" s="8" t="s">
        <v>3510</v>
      </c>
      <c r="AF114" s="8" t="s">
        <v>1627</v>
      </c>
      <c r="AG114" s="8" t="s">
        <v>494</v>
      </c>
      <c r="AH114" s="9">
        <v>9</v>
      </c>
      <c r="AJ114" s="8" t="str">
        <f t="shared" si="11"/>
        <v/>
      </c>
      <c r="AK114" s="8" t="str">
        <f>IF(AND(VLOOKUP(AG114,查询!$C$8:$E$15,3,FALSE)="启用",$B$1=AH114),AF114,"")</f>
        <v/>
      </c>
      <c r="AL114" s="6" t="str">
        <f t="array" ref="AL114">INDEX(AJ:AJ,SMALL(IF(AJ$1:AJ$500&lt;&gt;"",ROW($1:$500),1000),ROW(AJ114)))&amp;""</f>
        <v/>
      </c>
      <c r="AM114" s="6" t="str">
        <f t="array" ref="AM114">INDEX(AK:AK,SMALL(IF(AK$1:AK$500&lt;&gt;"",ROW($1:$500),1000),ROW(AK114)))&amp;""</f>
        <v/>
      </c>
      <c r="AV114" s="6" t="str">
        <f t="array" ref="AV114">INDEX(AT:AT,SMALL(IF(AT$1:AT$500&lt;&gt;"",ROW($1:$500),1000),ROW(AT114)))&amp;""</f>
        <v/>
      </c>
      <c r="AW114" s="6" t="str">
        <f t="array" ref="AW114">INDEX(AU:AU,SMALL(IF(AU$1:AU$500&lt;&gt;"",ROW($1:$500),1000),ROW(AU114)))&amp;""</f>
        <v/>
      </c>
      <c r="BF114" s="6" t="str">
        <f t="array" ref="BF114">INDEX(BD:BD,SMALL(IF(BD$1:BD$500&lt;&gt;"",ROW($1:$500),1000),ROW(BD114)))&amp;""</f>
        <v/>
      </c>
      <c r="BG114" s="6" t="str">
        <f t="array" ref="BG114">INDEX(BE:BE,SMALL(IF(BE$1:BE$500&lt;&gt;"",ROW($1:$500),1000),ROW(BE114)))&amp;""</f>
        <v/>
      </c>
      <c r="BI114" s="8" t="s">
        <v>2884</v>
      </c>
      <c r="BJ114" s="8" t="s">
        <v>1685</v>
      </c>
      <c r="BK114" s="8" t="s">
        <v>494</v>
      </c>
      <c r="BL114" s="9">
        <v>4</v>
      </c>
      <c r="BN114" s="8" t="str">
        <f t="shared" si="12"/>
        <v/>
      </c>
      <c r="BO114" s="8" t="str">
        <f>IF(AND(VLOOKUP(BK114,查询!$C$8:$E$15,3,FALSE)="启用",$B$1=BL114),BJ114,"")</f>
        <v/>
      </c>
      <c r="BP114" s="6" t="str">
        <f t="array" ref="BP114">INDEX(BN:BN,SMALL(IF(BN$1:BN$500&lt;&gt;"",ROW($1:$500),1000),ROW(BN114)))&amp;""</f>
        <v/>
      </c>
      <c r="BQ114" s="6" t="str">
        <f t="array" ref="BQ114">INDEX(BO:BO,SMALL(IF(BO$1:BO$500&lt;&gt;"",ROW($1:$500),1000),ROW(BO114)))&amp;""</f>
        <v/>
      </c>
      <c r="BS114" s="8" t="s">
        <v>3189</v>
      </c>
      <c r="BT114" s="8" t="s">
        <v>1508</v>
      </c>
      <c r="BU114" s="8" t="s">
        <v>494</v>
      </c>
      <c r="BV114" s="9">
        <v>6</v>
      </c>
      <c r="BX114" s="8" t="str">
        <f t="shared" si="13"/>
        <v/>
      </c>
      <c r="BY114" s="8" t="str">
        <f>IF(AND(VLOOKUP(BU114,查询!$C$8:$E$15,3,FALSE)="启用",$B$1=BV114),BT114,"")</f>
        <v/>
      </c>
      <c r="BZ114" s="6" t="str">
        <f t="array" ref="BZ114">INDEX(BX:BX,SMALL(IF(BX$1:BX$500&lt;&gt;"",ROW($1:$500),1000),ROW(BX114)))&amp;""</f>
        <v/>
      </c>
      <c r="CA114" s="6" t="str">
        <f t="array" ref="CA114">INDEX(BY:BY,SMALL(IF(BY$1:BY$500&lt;&gt;"",ROW($1:$500),1000),ROW(BY114)))&amp;""</f>
        <v/>
      </c>
    </row>
    <row r="115" spans="1:79">
      <c r="A115" s="8" t="s">
        <v>2392</v>
      </c>
      <c r="B115" s="8" t="s">
        <v>1520</v>
      </c>
      <c r="C115" s="8" t="s">
        <v>494</v>
      </c>
      <c r="D115" s="9">
        <v>2</v>
      </c>
      <c r="F115" s="8" t="str">
        <f t="shared" si="8"/>
        <v>Magic Mouth</v>
      </c>
      <c r="G115" s="8" t="str">
        <f>IF(AND(VLOOKUP(C115,查询!$C$8:$E$15,3,FALSE)="启用",$B$1=D115),B115,"")</f>
        <v>魔嘴术</v>
      </c>
      <c r="H115" s="6" t="str">
        <f t="array" ref="H115">INDEX(F:F,SMALL(IF($F$1:$F$500&lt;&gt;"",ROW($1:$500),1000),ROW(F115)))&amp;""</f>
        <v/>
      </c>
      <c r="I115" s="6" t="str">
        <f t="array" ref="I115">INDEX(G:G,SMALL(IF($F$1:$F$500&lt;&gt;"",ROW($1:$500),1000),ROW(G115)))&amp;""</f>
        <v/>
      </c>
      <c r="K115" s="8" t="s">
        <v>2595</v>
      </c>
      <c r="L115" s="8" t="s">
        <v>1419</v>
      </c>
      <c r="M115" s="8" t="s">
        <v>494</v>
      </c>
      <c r="N115" s="9">
        <v>3</v>
      </c>
      <c r="P115" s="8" t="str">
        <f t="shared" si="9"/>
        <v/>
      </c>
      <c r="Q115" s="8" t="str">
        <f>IF(AND(VLOOKUP(M115,查询!$C$8:$E$15,3,FALSE)="启用",$B$1=N115),L115,"")</f>
        <v/>
      </c>
      <c r="R115" s="6" t="str">
        <f t="array" ref="R115">INDEX(P:P,SMALL(IF(P$1:P$500&lt;&gt;"",ROW($1:$500),1000),ROW(P115)))&amp;""</f>
        <v/>
      </c>
      <c r="S115" s="6" t="str">
        <f t="array" ref="S115">INDEX(Q:Q,SMALL(IF(Q$1:Q$500&lt;&gt;"",ROW($1:$500),1000),ROW(Q115)))&amp;""</f>
        <v/>
      </c>
      <c r="U115" s="8" t="s">
        <v>3397</v>
      </c>
      <c r="V115" s="8" t="s">
        <v>1440</v>
      </c>
      <c r="W115" s="8" t="s">
        <v>494</v>
      </c>
      <c r="X115" s="9">
        <v>8</v>
      </c>
      <c r="Z115" s="8" t="str">
        <f t="shared" si="10"/>
        <v/>
      </c>
      <c r="AA115" s="8" t="str">
        <f>IF(AND(VLOOKUP(W115,查询!$C$8:$E$15,3,FALSE)="启用",$B$1=X115),V115,"")</f>
        <v/>
      </c>
      <c r="AB115" s="6" t="str">
        <f t="array" ref="AB115">INDEX(Z:Z,SMALL(IF(Z$1:Z$500&lt;&gt;"",ROW($1:$500),1000),ROW(Z115)))&amp;""</f>
        <v/>
      </c>
      <c r="AC115" s="6" t="str">
        <f t="array" ref="AC115">INDEX(AA:AA,SMALL(IF(AA$1:AA$500&lt;&gt;"",ROW($1:$500),1000),ROW(AA115)))&amp;""</f>
        <v/>
      </c>
      <c r="AH115" s="6"/>
      <c r="AL115" s="6" t="str">
        <f t="array" ref="AL115">INDEX(AJ:AJ,SMALL(IF(AJ$1:AJ$500&lt;&gt;"",ROW($1:$500),1000),ROW(AJ115)))&amp;""</f>
        <v/>
      </c>
      <c r="AM115" s="6" t="str">
        <f t="array" ref="AM115">INDEX(AK:AK,SMALL(IF(AK$1:AK$500&lt;&gt;"",ROW($1:$500),1000),ROW(AK115)))&amp;""</f>
        <v/>
      </c>
      <c r="AV115" s="6" t="str">
        <f t="array" ref="AV115">INDEX(AT:AT,SMALL(IF(AT$1:AT$500&lt;&gt;"",ROW($1:$500),1000),ROW(AT115)))&amp;""</f>
        <v/>
      </c>
      <c r="AW115" s="6" t="str">
        <f t="array" ref="AW115">INDEX(AU:AU,SMALL(IF(AU$1:AU$500&lt;&gt;"",ROW($1:$500),1000),ROW(AU115)))&amp;""</f>
        <v/>
      </c>
      <c r="BF115" s="6" t="str">
        <f t="array" ref="BF115">INDEX(BD:BD,SMALL(IF(BD$1:BD$500&lt;&gt;"",ROW($1:$500),1000),ROW(BD115)))&amp;""</f>
        <v/>
      </c>
      <c r="BG115" s="6" t="str">
        <f t="array" ref="BG115">INDEX(BE:BE,SMALL(IF(BE$1:BE$500&lt;&gt;"",ROW($1:$500),1000),ROW(BE115)))&amp;""</f>
        <v/>
      </c>
      <c r="BI115" s="8" t="s">
        <v>2886</v>
      </c>
      <c r="BJ115" s="8" t="s">
        <v>1691</v>
      </c>
      <c r="BK115" s="8" t="s">
        <v>494</v>
      </c>
      <c r="BL115" s="9">
        <v>4</v>
      </c>
      <c r="BN115" s="8" t="str">
        <f t="shared" si="12"/>
        <v/>
      </c>
      <c r="BO115" s="8" t="str">
        <f>IF(AND(VLOOKUP(BK115,查询!$C$8:$E$15,3,FALSE)="启用",$B$1=BL115),BJ115,"")</f>
        <v/>
      </c>
      <c r="BP115" s="6" t="str">
        <f t="array" ref="BP115">INDEX(BN:BN,SMALL(IF(BN$1:BN$500&lt;&gt;"",ROW($1:$500),1000),ROW(BN115)))&amp;""</f>
        <v/>
      </c>
      <c r="BQ115" s="6" t="str">
        <f t="array" ref="BQ115">INDEX(BO:BO,SMALL(IF(BO$1:BO$500&lt;&gt;"",ROW($1:$500),1000),ROW(BO115)))&amp;""</f>
        <v/>
      </c>
      <c r="BS115" s="8" t="s">
        <v>3194</v>
      </c>
      <c r="BT115" s="8" t="s">
        <v>1517</v>
      </c>
      <c r="BU115" s="8" t="s">
        <v>494</v>
      </c>
      <c r="BV115" s="9">
        <v>6</v>
      </c>
      <c r="BX115" s="8" t="str">
        <f t="shared" si="13"/>
        <v/>
      </c>
      <c r="BY115" s="8" t="str">
        <f>IF(AND(VLOOKUP(BU115,查询!$C$8:$E$15,3,FALSE)="启用",$B$1=BV115),BT115,"")</f>
        <v/>
      </c>
      <c r="BZ115" s="6" t="str">
        <f t="array" ref="BZ115">INDEX(BX:BX,SMALL(IF(BX$1:BX$500&lt;&gt;"",ROW($1:$500),1000),ROW(BX115)))&amp;""</f>
        <v/>
      </c>
      <c r="CA115" s="6" t="str">
        <f t="array" ref="CA115">INDEX(BY:BY,SMALL(IF(BY$1:BY$500&lt;&gt;"",ROW($1:$500),1000),ROW(BY115)))&amp;""</f>
        <v/>
      </c>
    </row>
    <row r="116" spans="1:79">
      <c r="A116" s="8" t="s">
        <v>2410</v>
      </c>
      <c r="B116" s="8" t="s">
        <v>1552</v>
      </c>
      <c r="C116" s="8" t="s">
        <v>494</v>
      </c>
      <c r="D116" s="9">
        <v>2</v>
      </c>
      <c r="F116" s="8" t="str">
        <f t="shared" si="8"/>
        <v>Magic Weapon</v>
      </c>
      <c r="G116" s="8" t="str">
        <f>IF(AND(VLOOKUP(C116,查询!$C$8:$E$15,3,FALSE)="启用",$B$1=D116),B116,"")</f>
        <v>魔化武器</v>
      </c>
      <c r="H116" s="6" t="str">
        <f t="array" ref="H116">INDEX(F:F,SMALL(IF($F$1:$F$500&lt;&gt;"",ROW($1:$500),1000),ROW(F116)))&amp;""</f>
        <v/>
      </c>
      <c r="I116" s="6" t="str">
        <f t="array" ref="I116">INDEX(G:G,SMALL(IF($F$1:$F$500&lt;&gt;"",ROW($1:$500),1000),ROW(G116)))&amp;""</f>
        <v/>
      </c>
      <c r="K116" s="8" t="s">
        <v>2600</v>
      </c>
      <c r="L116" s="8" t="s">
        <v>1428</v>
      </c>
      <c r="M116" s="8" t="s">
        <v>494</v>
      </c>
      <c r="N116" s="9">
        <v>3</v>
      </c>
      <c r="P116" s="8" t="str">
        <f t="shared" si="9"/>
        <v/>
      </c>
      <c r="Q116" s="8" t="str">
        <f>IF(AND(VLOOKUP(M116,查询!$C$8:$E$15,3,FALSE)="启用",$B$1=N116),L116,"")</f>
        <v/>
      </c>
      <c r="R116" s="6" t="str">
        <f t="array" ref="R116">INDEX(P:P,SMALL(IF(P$1:P$500&lt;&gt;"",ROW($1:$500),1000),ROW(P116)))&amp;""</f>
        <v/>
      </c>
      <c r="S116" s="6" t="str">
        <f t="array" ref="S116">INDEX(Q:Q,SMALL(IF(Q$1:Q$500&lt;&gt;"",ROW($1:$500),1000),ROW(Q116)))&amp;""</f>
        <v/>
      </c>
      <c r="U116" s="8" t="s">
        <v>3400</v>
      </c>
      <c r="V116" s="8" t="s">
        <v>1446</v>
      </c>
      <c r="W116" s="8" t="s">
        <v>494</v>
      </c>
      <c r="X116" s="9">
        <v>8</v>
      </c>
      <c r="Z116" s="8" t="str">
        <f t="shared" si="10"/>
        <v/>
      </c>
      <c r="AA116" s="8" t="str">
        <f>IF(AND(VLOOKUP(W116,查询!$C$8:$E$15,3,FALSE)="启用",$B$1=X116),V116,"")</f>
        <v/>
      </c>
      <c r="AB116" s="6" t="str">
        <f t="array" ref="AB116">INDEX(Z:Z,SMALL(IF(Z$1:Z$500&lt;&gt;"",ROW($1:$500),1000),ROW(Z116)))&amp;""</f>
        <v/>
      </c>
      <c r="AC116" s="6" t="str">
        <f t="array" ref="AC116">INDEX(AA:AA,SMALL(IF(AA$1:AA$500&lt;&gt;"",ROW($1:$500),1000),ROW(AA116)))&amp;""</f>
        <v/>
      </c>
      <c r="AH116" s="6"/>
      <c r="AL116" s="6" t="str">
        <f t="array" ref="AL116">INDEX(AJ:AJ,SMALL(IF(AJ$1:AJ$500&lt;&gt;"",ROW($1:$500),1000),ROW(AJ116)))&amp;""</f>
        <v/>
      </c>
      <c r="AM116" s="6" t="str">
        <f t="array" ref="AM116">INDEX(AK:AK,SMALL(IF(AK$1:AK$500&lt;&gt;"",ROW($1:$500),1000),ROW(AK116)))&amp;""</f>
        <v/>
      </c>
      <c r="AV116" s="6" t="str">
        <f t="array" ref="AV116">INDEX(AT:AT,SMALL(IF(AT$1:AT$500&lt;&gt;"",ROW($1:$500),1000),ROW(AT116)))&amp;""</f>
        <v/>
      </c>
      <c r="AW116" s="6" t="str">
        <f t="array" ref="AW116">INDEX(AU:AU,SMALL(IF(AU$1:AU$500&lt;&gt;"",ROW($1:$500),1000),ROW(AU116)))&amp;""</f>
        <v/>
      </c>
      <c r="BF116" s="6" t="str">
        <f t="array" ref="BF116">INDEX(BD:BD,SMALL(IF(BD$1:BD$500&lt;&gt;"",ROW($1:$500),1000),ROW(BD116)))&amp;""</f>
        <v/>
      </c>
      <c r="BG116" s="6" t="str">
        <f t="array" ref="BG116">INDEX(BE:BE,SMALL(IF(BE$1:BE$500&lt;&gt;"",ROW($1:$500),1000),ROW(BE116)))&amp;""</f>
        <v/>
      </c>
      <c r="BI116" s="8" t="s">
        <v>2889</v>
      </c>
      <c r="BJ116" s="8" t="s">
        <v>1694</v>
      </c>
      <c r="BK116" s="8" t="s">
        <v>494</v>
      </c>
      <c r="BL116" s="9">
        <v>4</v>
      </c>
      <c r="BN116" s="8" t="str">
        <f t="shared" si="12"/>
        <v/>
      </c>
      <c r="BO116" s="8" t="str">
        <f>IF(AND(VLOOKUP(BK116,查询!$C$8:$E$15,3,FALSE)="启用",$B$1=BL116),BJ116,"")</f>
        <v/>
      </c>
      <c r="BP116" s="6" t="str">
        <f t="array" ref="BP116">INDEX(BN:BN,SMALL(IF(BN$1:BN$500&lt;&gt;"",ROW($1:$500),1000),ROW(BN116)))&amp;""</f>
        <v/>
      </c>
      <c r="BQ116" s="6" t="str">
        <f t="array" ref="BQ116">INDEX(BO:BO,SMALL(IF(BO$1:BO$500&lt;&gt;"",ROW($1:$500),1000),ROW(BO116)))&amp;""</f>
        <v/>
      </c>
      <c r="BS116" s="8" t="s">
        <v>3198</v>
      </c>
      <c r="BT116" s="8" t="s">
        <v>1526</v>
      </c>
      <c r="BU116" s="8" t="s">
        <v>494</v>
      </c>
      <c r="BV116" s="9">
        <v>6</v>
      </c>
      <c r="BX116" s="8" t="str">
        <f t="shared" si="13"/>
        <v/>
      </c>
      <c r="BY116" s="8" t="str">
        <f>IF(AND(VLOOKUP(BU116,查询!$C$8:$E$15,3,FALSE)="启用",$B$1=BV116),BT116,"")</f>
        <v/>
      </c>
      <c r="BZ116" s="6" t="str">
        <f t="array" ref="BZ116">INDEX(BX:BX,SMALL(IF(BX$1:BX$500&lt;&gt;"",ROW($1:$500),1000),ROW(BX116)))&amp;""</f>
        <v/>
      </c>
      <c r="CA116" s="6" t="str">
        <f t="array" ref="CA116">INDEX(BY:BY,SMALL(IF(BY$1:BY$500&lt;&gt;"",ROW($1:$500),1000),ROW(BY116)))&amp;""</f>
        <v/>
      </c>
    </row>
    <row r="117" spans="1:79">
      <c r="A117" s="8" t="s">
        <v>2421</v>
      </c>
      <c r="B117" s="8" t="s">
        <v>1588</v>
      </c>
      <c r="C117" s="8" t="s">
        <v>494</v>
      </c>
      <c r="D117" s="9">
        <v>2</v>
      </c>
      <c r="F117" s="8" t="str">
        <f t="shared" si="8"/>
        <v>Continual Flame</v>
      </c>
      <c r="G117" s="8" t="str">
        <f>IF(AND(VLOOKUP(C117,查询!$C$8:$E$15,3,FALSE)="启用",$B$1=D117),B117,"")</f>
        <v>不灭明焰</v>
      </c>
      <c r="H117" s="6" t="str">
        <f t="array" ref="H117">INDEX(F:F,SMALL(IF($F$1:$F$500&lt;&gt;"",ROW($1:$500),1000),ROW(F117)))&amp;""</f>
        <v/>
      </c>
      <c r="I117" s="6" t="str">
        <f t="array" ref="I117">INDEX(G:G,SMALL(IF($F$1:$F$500&lt;&gt;"",ROW($1:$500),1000),ROW(G117)))&amp;""</f>
        <v/>
      </c>
      <c r="K117" s="8" t="s">
        <v>2525</v>
      </c>
      <c r="L117" s="8" t="s">
        <v>1290</v>
      </c>
      <c r="M117" s="8" t="s">
        <v>1249</v>
      </c>
      <c r="N117" s="9">
        <v>3</v>
      </c>
      <c r="P117" s="8" t="str">
        <f t="shared" si="9"/>
        <v/>
      </c>
      <c r="Q117" s="8" t="str">
        <f>IF(AND(VLOOKUP(M117,查询!$C$8:$E$15,3,FALSE)="启用",$B$1=N117),L117,"")</f>
        <v/>
      </c>
      <c r="R117" s="6" t="str">
        <f t="array" ref="R117">INDEX(P:P,SMALL(IF(P$1:P$500&lt;&gt;"",ROW($1:$500),1000),ROW(P117)))&amp;""</f>
        <v/>
      </c>
      <c r="S117" s="6" t="str">
        <f t="array" ref="S117">INDEX(Q:Q,SMALL(IF(Q$1:Q$500&lt;&gt;"",ROW($1:$500),1000),ROW(Q117)))&amp;""</f>
        <v/>
      </c>
      <c r="U117" s="8" t="s">
        <v>3403</v>
      </c>
      <c r="V117" s="8" t="s">
        <v>1458</v>
      </c>
      <c r="W117" s="8" t="s">
        <v>494</v>
      </c>
      <c r="X117" s="9">
        <v>8</v>
      </c>
      <c r="Z117" s="8" t="str">
        <f t="shared" si="10"/>
        <v/>
      </c>
      <c r="AA117" s="8" t="str">
        <f>IF(AND(VLOOKUP(W117,查询!$C$8:$E$15,3,FALSE)="启用",$B$1=X117),V117,"")</f>
        <v/>
      </c>
      <c r="AB117" s="6" t="str">
        <f t="array" ref="AB117">INDEX(Z:Z,SMALL(IF(Z$1:Z$500&lt;&gt;"",ROW($1:$500),1000),ROW(Z117)))&amp;""</f>
        <v/>
      </c>
      <c r="AC117" s="6" t="str">
        <f t="array" ref="AC117">INDEX(AA:AA,SMALL(IF(AA$1:AA$500&lt;&gt;"",ROW($1:$500),1000),ROW(AA117)))&amp;""</f>
        <v/>
      </c>
      <c r="AH117" s="6"/>
      <c r="AL117" s="6" t="str">
        <f t="array" ref="AL117">INDEX(AJ:AJ,SMALL(IF(AJ$1:AJ$500&lt;&gt;"",ROW($1:$500),1000),ROW(AJ117)))&amp;""</f>
        <v/>
      </c>
      <c r="AM117" s="6" t="str">
        <f t="array" ref="AM117">INDEX(AK:AK,SMALL(IF(AK$1:AK$500&lt;&gt;"",ROW($1:$500),1000),ROW(AK117)))&amp;""</f>
        <v/>
      </c>
      <c r="AV117" s="6" t="str">
        <f t="array" ref="AV117">INDEX(AT:AT,SMALL(IF(AT$1:AT$500&lt;&gt;"",ROW($1:$500),1000),ROW(AT117)))&amp;""</f>
        <v/>
      </c>
      <c r="AW117" s="6" t="str">
        <f t="array" ref="AW117">INDEX(AU:AU,SMALL(IF(AU$1:AU$500&lt;&gt;"",ROW($1:$500),1000),ROW(AU117)))&amp;""</f>
        <v/>
      </c>
      <c r="BF117" s="6" t="str">
        <f t="array" ref="BF117">INDEX(BD:BD,SMALL(IF(BD$1:BD$500&lt;&gt;"",ROW($1:$500),1000),ROW(BD117)))&amp;""</f>
        <v/>
      </c>
      <c r="BG117" s="6" t="str">
        <f t="array" ref="BG117">INDEX(BE:BE,SMALL(IF(BE$1:BE$500&lt;&gt;"",ROW($1:$500),1000),ROW(BE117)))&amp;""</f>
        <v/>
      </c>
      <c r="BI117" s="8" t="s">
        <v>2893</v>
      </c>
      <c r="BJ117" s="8" t="s">
        <v>1699</v>
      </c>
      <c r="BK117" s="8" t="s">
        <v>494</v>
      </c>
      <c r="BL117" s="9">
        <v>4</v>
      </c>
      <c r="BN117" s="8" t="str">
        <f t="shared" si="12"/>
        <v/>
      </c>
      <c r="BO117" s="8" t="str">
        <f>IF(AND(VLOOKUP(BK117,查询!$C$8:$E$15,3,FALSE)="启用",$B$1=BL117),BJ117,"")</f>
        <v/>
      </c>
      <c r="BP117" s="6" t="str">
        <f t="array" ref="BP117">INDEX(BN:BN,SMALL(IF(BN$1:BN$500&lt;&gt;"",ROW($1:$500),1000),ROW(BN117)))&amp;""</f>
        <v/>
      </c>
      <c r="BQ117" s="6" t="str">
        <f t="array" ref="BQ117">INDEX(BO:BO,SMALL(IF(BO$1:BO$500&lt;&gt;"",ROW($1:$500),1000),ROW(BO117)))&amp;""</f>
        <v/>
      </c>
      <c r="BS117" s="8" t="s">
        <v>3200</v>
      </c>
      <c r="BT117" s="8" t="s">
        <v>1527</v>
      </c>
      <c r="BU117" s="8" t="s">
        <v>494</v>
      </c>
      <c r="BV117" s="9">
        <v>6</v>
      </c>
      <c r="BX117" s="8" t="str">
        <f t="shared" si="13"/>
        <v/>
      </c>
      <c r="BY117" s="8" t="str">
        <f>IF(AND(VLOOKUP(BU117,查询!$C$8:$E$15,3,FALSE)="启用",$B$1=BV117),BT117,"")</f>
        <v/>
      </c>
      <c r="BZ117" s="6" t="str">
        <f t="array" ref="BZ117">INDEX(BX:BX,SMALL(IF(BX$1:BX$500&lt;&gt;"",ROW($1:$500),1000),ROW(BX117)))&amp;""</f>
        <v/>
      </c>
      <c r="CA117" s="6" t="str">
        <f t="array" ref="CA117">INDEX(BY:BY,SMALL(IF(BY$1:BY$500&lt;&gt;"",ROW($1:$500),1000),ROW(BY117)))&amp;""</f>
        <v/>
      </c>
    </row>
    <row r="118" spans="1:79">
      <c r="A118" s="8" t="s">
        <v>2427</v>
      </c>
      <c r="B118" s="8" t="s">
        <v>1589</v>
      </c>
      <c r="C118" s="8" t="s">
        <v>494</v>
      </c>
      <c r="D118" s="9">
        <v>2</v>
      </c>
      <c r="F118" s="8" t="str">
        <f t="shared" si="8"/>
        <v>Gentle Repose</v>
      </c>
      <c r="G118" s="8" t="str">
        <f>IF(AND(VLOOKUP(C118,查询!$C$8:$E$15,3,FALSE)="启用",$B$1=D118),B118,"")</f>
        <v>遗体防腐</v>
      </c>
      <c r="H118" s="6" t="str">
        <f t="array" ref="H118">INDEX(F:F,SMALL(IF($F$1:$F$500&lt;&gt;"",ROW($1:$500),1000),ROW(F118)))&amp;""</f>
        <v/>
      </c>
      <c r="I118" s="6" t="str">
        <f t="array" ref="I118">INDEX(G:G,SMALL(IF($F$1:$F$500&lt;&gt;"",ROW($1:$500),1000),ROW(G118)))&amp;""</f>
        <v/>
      </c>
      <c r="K118" s="8" t="s">
        <v>2529</v>
      </c>
      <c r="L118" s="8" t="s">
        <v>1292</v>
      </c>
      <c r="M118" s="8" t="s">
        <v>1249</v>
      </c>
      <c r="N118" s="9">
        <v>3</v>
      </c>
      <c r="P118" s="8" t="str">
        <f t="shared" si="9"/>
        <v/>
      </c>
      <c r="Q118" s="8" t="str">
        <f>IF(AND(VLOOKUP(M118,查询!$C$8:$E$15,3,FALSE)="启用",$B$1=N118),L118,"")</f>
        <v/>
      </c>
      <c r="R118" s="6" t="str">
        <f t="array" ref="R118">INDEX(P:P,SMALL(IF(P$1:P$500&lt;&gt;"",ROW($1:$500),1000),ROW(P118)))&amp;""</f>
        <v/>
      </c>
      <c r="S118" s="6" t="str">
        <f t="array" ref="S118">INDEX(Q:Q,SMALL(IF(Q$1:Q$500&lt;&gt;"",ROW($1:$500),1000),ROW(Q118)))&amp;""</f>
        <v/>
      </c>
      <c r="U118" s="8" t="s">
        <v>3408</v>
      </c>
      <c r="V118" s="8" t="s">
        <v>1537</v>
      </c>
      <c r="W118" s="8" t="s">
        <v>494</v>
      </c>
      <c r="X118" s="9">
        <v>8</v>
      </c>
      <c r="Z118" s="8" t="str">
        <f t="shared" si="10"/>
        <v/>
      </c>
      <c r="AA118" s="8" t="str">
        <f>IF(AND(VLOOKUP(W118,查询!$C$8:$E$15,3,FALSE)="启用",$B$1=X118),V118,"")</f>
        <v/>
      </c>
      <c r="AB118" s="6" t="str">
        <f t="array" ref="AB118">INDEX(Z:Z,SMALL(IF(Z$1:Z$500&lt;&gt;"",ROW($1:$500),1000),ROW(Z118)))&amp;""</f>
        <v/>
      </c>
      <c r="AC118" s="6" t="str">
        <f t="array" ref="AC118">INDEX(AA:AA,SMALL(IF(AA$1:AA$500&lt;&gt;"",ROW($1:$500),1000),ROW(AA118)))&amp;""</f>
        <v/>
      </c>
      <c r="AH118" s="6"/>
      <c r="AL118" s="6" t="str">
        <f t="array" ref="AL118">INDEX(AJ:AJ,SMALL(IF(AJ$1:AJ$500&lt;&gt;"",ROW($1:$500),1000),ROW(AJ118)))&amp;""</f>
        <v/>
      </c>
      <c r="AM118" s="6" t="str">
        <f t="array" ref="AM118">INDEX(AK:AK,SMALL(IF(AK$1:AK$500&lt;&gt;"",ROW($1:$500),1000),ROW(AK118)))&amp;""</f>
        <v/>
      </c>
      <c r="AV118" s="6" t="str">
        <f t="array" ref="AV118">INDEX(AT:AT,SMALL(IF(AT$1:AT$500&lt;&gt;"",ROW($1:$500),1000),ROW(AT118)))&amp;""</f>
        <v/>
      </c>
      <c r="AW118" s="6" t="str">
        <f t="array" ref="AW118">INDEX(AU:AU,SMALL(IF(AU$1:AU$500&lt;&gt;"",ROW($1:$500),1000),ROW(AU118)))&amp;""</f>
        <v/>
      </c>
      <c r="BF118" s="6" t="str">
        <f t="array" ref="BF118">INDEX(BD:BD,SMALL(IF(BD$1:BD$500&lt;&gt;"",ROW($1:$500),1000),ROW(BD118)))&amp;""</f>
        <v/>
      </c>
      <c r="BG118" s="6" t="str">
        <f t="array" ref="BG118">INDEX(BE:BE,SMALL(IF(BE$1:BE$500&lt;&gt;"",ROW($1:$500),1000),ROW(BE118)))&amp;""</f>
        <v/>
      </c>
      <c r="BI118" s="8" t="s">
        <v>2897</v>
      </c>
      <c r="BJ118" s="8" t="s">
        <v>1701</v>
      </c>
      <c r="BK118" s="8" t="s">
        <v>494</v>
      </c>
      <c r="BL118" s="9">
        <v>4</v>
      </c>
      <c r="BN118" s="8" t="str">
        <f t="shared" si="12"/>
        <v/>
      </c>
      <c r="BO118" s="8" t="str">
        <f>IF(AND(VLOOKUP(BK118,查询!$C$8:$E$15,3,FALSE)="启用",$B$1=BL118),BJ118,"")</f>
        <v/>
      </c>
      <c r="BP118" s="6" t="str">
        <f t="array" ref="BP118">INDEX(BN:BN,SMALL(IF(BN$1:BN$500&lt;&gt;"",ROW($1:$500),1000),ROW(BN118)))&amp;""</f>
        <v/>
      </c>
      <c r="BQ118" s="6" t="str">
        <f t="array" ref="BQ118">INDEX(BO:BO,SMALL(IF(BO$1:BO$500&lt;&gt;"",ROW($1:$500),1000),ROW(BO118)))&amp;""</f>
        <v/>
      </c>
      <c r="BS118" s="8" t="s">
        <v>3308</v>
      </c>
      <c r="BT118" s="8" t="s">
        <v>1435</v>
      </c>
      <c r="BU118" s="8" t="s">
        <v>494</v>
      </c>
      <c r="BV118" s="9">
        <v>7</v>
      </c>
      <c r="BX118" s="8" t="str">
        <f t="shared" si="13"/>
        <v/>
      </c>
      <c r="BY118" s="8" t="str">
        <f>IF(AND(VLOOKUP(BU118,查询!$C$8:$E$15,3,FALSE)="启用",$B$1=BV118),BT118,"")</f>
        <v/>
      </c>
      <c r="BZ118" s="6" t="str">
        <f t="array" ref="BZ118">INDEX(BX:BX,SMALL(IF(BX$1:BX$500&lt;&gt;"",ROW($1:$500),1000),ROW(BX118)))&amp;""</f>
        <v/>
      </c>
      <c r="CA118" s="6" t="str">
        <f t="array" ref="CA118">INDEX(BY:BY,SMALL(IF(BY$1:BY$500&lt;&gt;"",ROW($1:$500),1000),ROW(BY118)))&amp;""</f>
        <v/>
      </c>
    </row>
    <row r="119" spans="1:79">
      <c r="A119" s="8" t="s">
        <v>2450</v>
      </c>
      <c r="B119" s="8" t="s">
        <v>1640</v>
      </c>
      <c r="C119" s="8" t="s">
        <v>494</v>
      </c>
      <c r="D119" s="9">
        <v>2</v>
      </c>
      <c r="F119" s="8" t="str">
        <f t="shared" si="8"/>
        <v>Arcane Lock</v>
      </c>
      <c r="G119" s="8" t="str">
        <f>IF(AND(VLOOKUP(C119,查询!$C$8:$E$15,3,FALSE)="启用",$B$1=D119),B119,"")</f>
        <v>秘法锁</v>
      </c>
      <c r="H119" s="6" t="str">
        <f t="array" ref="H119">INDEX(F:F,SMALL(IF($F$1:$F$500&lt;&gt;"",ROW($1:$500),1000),ROW(F119)))&amp;""</f>
        <v/>
      </c>
      <c r="I119" s="6" t="str">
        <f t="array" ref="I119">INDEX(G:G,SMALL(IF($F$1:$F$500&lt;&gt;"",ROW($1:$500),1000),ROW(G119)))&amp;""</f>
        <v/>
      </c>
      <c r="K119" s="8" t="s">
        <v>2609</v>
      </c>
      <c r="L119" s="8" t="s">
        <v>1448</v>
      </c>
      <c r="M119" s="8" t="s">
        <v>494</v>
      </c>
      <c r="N119" s="9">
        <v>3</v>
      </c>
      <c r="P119" s="8" t="str">
        <f t="shared" si="9"/>
        <v/>
      </c>
      <c r="Q119" s="8" t="str">
        <f>IF(AND(VLOOKUP(M119,查询!$C$8:$E$15,3,FALSE)="启用",$B$1=N119),L119,"")</f>
        <v/>
      </c>
      <c r="R119" s="6" t="str">
        <f t="array" ref="R119">INDEX(P:P,SMALL(IF(P$1:P$500&lt;&gt;"",ROW($1:$500),1000),ROW(P119)))&amp;""</f>
        <v/>
      </c>
      <c r="S119" s="6" t="str">
        <f t="array" ref="S119">INDEX(Q:Q,SMALL(IF(Q$1:Q$500&lt;&gt;"",ROW($1:$500),1000),ROW(Q119)))&amp;""</f>
        <v/>
      </c>
      <c r="U119" s="8" t="s">
        <v>3380</v>
      </c>
      <c r="V119" s="8" t="s">
        <v>1313</v>
      </c>
      <c r="W119" s="8" t="s">
        <v>1249</v>
      </c>
      <c r="X119" s="9">
        <v>8</v>
      </c>
      <c r="Z119" s="8" t="str">
        <f t="shared" si="10"/>
        <v/>
      </c>
      <c r="AA119" s="8" t="str">
        <f>IF(AND(VLOOKUP(W119,查询!$C$8:$E$15,3,FALSE)="启用",$B$1=X119),V119,"")</f>
        <v/>
      </c>
      <c r="AB119" s="6" t="str">
        <f t="array" ref="AB119">INDEX(Z:Z,SMALL(IF(Z$1:Z$500&lt;&gt;"",ROW($1:$500),1000),ROW(Z119)))&amp;""</f>
        <v/>
      </c>
      <c r="AC119" s="6" t="str">
        <f t="array" ref="AC119">INDEX(AA:AA,SMALL(IF(AA$1:AA$500&lt;&gt;"",ROW($1:$500),1000),ROW(AA119)))&amp;""</f>
        <v/>
      </c>
      <c r="AH119" s="6"/>
      <c r="AL119" s="6" t="str">
        <f t="array" ref="AL119">INDEX(AJ:AJ,SMALL(IF(AJ$1:AJ$500&lt;&gt;"",ROW($1:$500),1000),ROW(AJ119)))&amp;""</f>
        <v/>
      </c>
      <c r="AM119" s="6" t="str">
        <f t="array" ref="AM119">INDEX(AK:AK,SMALL(IF(AK$1:AK$500&lt;&gt;"",ROW($1:$500),1000),ROW(AK119)))&amp;""</f>
        <v/>
      </c>
      <c r="AV119" s="6" t="str">
        <f t="array" ref="AV119">INDEX(AT:AT,SMALL(IF(AT$1:AT$500&lt;&gt;"",ROW($1:$500),1000),ROW(AT119)))&amp;""</f>
        <v/>
      </c>
      <c r="AW119" s="6" t="str">
        <f t="array" ref="AW119">INDEX(AU:AU,SMALL(IF(AU$1:AU$500&lt;&gt;"",ROW($1:$500),1000),ROW(AU119)))&amp;""</f>
        <v/>
      </c>
      <c r="BF119" s="6" t="str">
        <f t="array" ref="BF119">INDEX(BD:BD,SMALL(IF(BD$1:BD$500&lt;&gt;"",ROW($1:$500),1000),ROW(BD119)))&amp;""</f>
        <v/>
      </c>
      <c r="BG119" s="6" t="str">
        <f t="array" ref="BG119">INDEX(BE:BE,SMALL(IF(BE$1:BE$500&lt;&gt;"",ROW($1:$500),1000),ROW(BE119)))&amp;""</f>
        <v/>
      </c>
      <c r="BI119" s="8" t="s">
        <v>2900</v>
      </c>
      <c r="BJ119" s="8" t="s">
        <v>1705</v>
      </c>
      <c r="BK119" s="8" t="s">
        <v>494</v>
      </c>
      <c r="BL119" s="9">
        <v>4</v>
      </c>
      <c r="BN119" s="8" t="str">
        <f t="shared" si="12"/>
        <v/>
      </c>
      <c r="BO119" s="8" t="str">
        <f>IF(AND(VLOOKUP(BK119,查询!$C$8:$E$15,3,FALSE)="启用",$B$1=BL119),BJ119,"")</f>
        <v/>
      </c>
      <c r="BP119" s="6" t="str">
        <f t="array" ref="BP119">INDEX(BN:BN,SMALL(IF(BN$1:BN$500&lt;&gt;"",ROW($1:$500),1000),ROW(BN119)))&amp;""</f>
        <v/>
      </c>
      <c r="BQ119" s="6" t="str">
        <f t="array" ref="BQ119">INDEX(BO:BO,SMALL(IF(BO$1:BO$500&lt;&gt;"",ROW($1:$500),1000),ROW(BO119)))&amp;""</f>
        <v/>
      </c>
      <c r="BS119" s="8" t="s">
        <v>3313</v>
      </c>
      <c r="BT119" s="8" t="s">
        <v>1477</v>
      </c>
      <c r="BU119" s="8" t="s">
        <v>494</v>
      </c>
      <c r="BV119" s="9">
        <v>7</v>
      </c>
      <c r="BX119" s="8" t="str">
        <f t="shared" si="13"/>
        <v/>
      </c>
      <c r="BY119" s="8" t="str">
        <f>IF(AND(VLOOKUP(BU119,查询!$C$8:$E$15,3,FALSE)="启用",$B$1=BV119),BT119,"")</f>
        <v/>
      </c>
      <c r="BZ119" s="6" t="str">
        <f t="array" ref="BZ119">INDEX(BX:BX,SMALL(IF(BX$1:BX$500&lt;&gt;"",ROW($1:$500),1000),ROW(BX119)))&amp;""</f>
        <v/>
      </c>
      <c r="CA119" s="6" t="str">
        <f t="array" ref="CA119">INDEX(BY:BY,SMALL(IF(BY$1:BY$500&lt;&gt;"",ROW($1:$500),1000),ROW(BY119)))&amp;""</f>
        <v/>
      </c>
    </row>
    <row r="120" spans="1:79">
      <c r="A120" s="8" t="s">
        <v>2455</v>
      </c>
      <c r="B120" s="8" t="s">
        <v>1649</v>
      </c>
      <c r="C120" s="8" t="s">
        <v>494</v>
      </c>
      <c r="D120" s="9">
        <v>2</v>
      </c>
      <c r="F120" s="8" t="str">
        <f t="shared" si="8"/>
        <v>Flaming Sphere</v>
      </c>
      <c r="G120" s="8" t="str">
        <f>IF(AND(VLOOKUP(C120,查询!$C$8:$E$15,3,FALSE)="启用",$B$1=D120),B120,"")</f>
        <v>炽焰法球</v>
      </c>
      <c r="H120" s="6" t="str">
        <f t="array" ref="H120">INDEX(F:F,SMALL(IF($F$1:$F$500&lt;&gt;"",ROW($1:$500),1000),ROW(F120)))&amp;""</f>
        <v/>
      </c>
      <c r="I120" s="6" t="str">
        <f t="array" ref="I120">INDEX(G:G,SMALL(IF($F$1:$F$500&lt;&gt;"",ROW($1:$500),1000),ROW(G120)))&amp;""</f>
        <v/>
      </c>
      <c r="K120" s="8" t="s">
        <v>2615</v>
      </c>
      <c r="L120" s="8" t="s">
        <v>1451</v>
      </c>
      <c r="M120" s="8" t="s">
        <v>494</v>
      </c>
      <c r="N120" s="9">
        <v>3</v>
      </c>
      <c r="P120" s="8" t="str">
        <f t="shared" si="9"/>
        <v/>
      </c>
      <c r="Q120" s="8" t="str">
        <f>IF(AND(VLOOKUP(M120,查询!$C$8:$E$15,3,FALSE)="启用",$B$1=N120),L120,"")</f>
        <v/>
      </c>
      <c r="R120" s="6" t="str">
        <f t="array" ref="R120">INDEX(P:P,SMALL(IF(P$1:P$500&lt;&gt;"",ROW($1:$500),1000),ROW(P120)))&amp;""</f>
        <v/>
      </c>
      <c r="S120" s="6" t="str">
        <f t="array" ref="S120">INDEX(Q:Q,SMALL(IF(Q$1:Q$500&lt;&gt;"",ROW($1:$500),1000),ROW(Q120)))&amp;""</f>
        <v/>
      </c>
      <c r="U120" s="8" t="s">
        <v>3470</v>
      </c>
      <c r="V120" s="8" t="s">
        <v>1375</v>
      </c>
      <c r="W120" s="8" t="s">
        <v>494</v>
      </c>
      <c r="X120" s="9">
        <v>9</v>
      </c>
      <c r="Z120" s="8" t="str">
        <f t="shared" si="10"/>
        <v/>
      </c>
      <c r="AA120" s="8" t="str">
        <f>IF(AND(VLOOKUP(W120,查询!$C$8:$E$15,3,FALSE)="启用",$B$1=X120),V120,"")</f>
        <v/>
      </c>
      <c r="AB120" s="6" t="str">
        <f t="array" ref="AB120">INDEX(Z:Z,SMALL(IF(Z$1:Z$500&lt;&gt;"",ROW($1:$500),1000),ROW(Z120)))&amp;""</f>
        <v/>
      </c>
      <c r="AC120" s="6" t="str">
        <f t="array" ref="AC120">INDEX(AA:AA,SMALL(IF(AA$1:AA$500&lt;&gt;"",ROW($1:$500),1000),ROW(AA120)))&amp;""</f>
        <v/>
      </c>
      <c r="AH120" s="6"/>
      <c r="AL120" s="6" t="str">
        <f t="array" ref="AL120">INDEX(AJ:AJ,SMALL(IF(AJ$1:AJ$500&lt;&gt;"",ROW($1:$500),1000),ROW(AJ120)))&amp;""</f>
        <v/>
      </c>
      <c r="AM120" s="6" t="str">
        <f t="array" ref="AM120">INDEX(AK:AK,SMALL(IF(AK$1:AK$500&lt;&gt;"",ROW($1:$500),1000),ROW(AK120)))&amp;""</f>
        <v/>
      </c>
      <c r="AV120" s="6" t="str">
        <f t="array" ref="AV120">INDEX(AT:AT,SMALL(IF(AT$1:AT$500&lt;&gt;"",ROW($1:$500),1000),ROW(AT120)))&amp;""</f>
        <v/>
      </c>
      <c r="AW120" s="6" t="str">
        <f t="array" ref="AW120">INDEX(AU:AU,SMALL(IF(AU$1:AU$500&lt;&gt;"",ROW($1:$500),1000),ROW(AU120)))&amp;""</f>
        <v/>
      </c>
      <c r="BF120" s="6" t="str">
        <f t="array" ref="BF120">INDEX(BD:BD,SMALL(IF(BD$1:BD$500&lt;&gt;"",ROW($1:$500),1000),ROW(BD120)))&amp;""</f>
        <v/>
      </c>
      <c r="BG120" s="6" t="str">
        <f t="array" ref="BG120">INDEX(BE:BE,SMALL(IF(BE$1:BE$500&lt;&gt;"",ROW($1:$500),1000),ROW(BE120)))&amp;""</f>
        <v/>
      </c>
      <c r="BI120" s="8" t="s">
        <v>2903</v>
      </c>
      <c r="BJ120" s="8" t="s">
        <v>1712</v>
      </c>
      <c r="BK120" s="8" t="s">
        <v>494</v>
      </c>
      <c r="BL120" s="9">
        <v>4</v>
      </c>
      <c r="BN120" s="8" t="str">
        <f t="shared" si="12"/>
        <v/>
      </c>
      <c r="BO120" s="8" t="str">
        <f>IF(AND(VLOOKUP(BK120,查询!$C$8:$E$15,3,FALSE)="启用",$B$1=BL120),BJ120,"")</f>
        <v/>
      </c>
      <c r="BP120" s="6" t="str">
        <f t="array" ref="BP120">INDEX(BN:BN,SMALL(IF(BN$1:BN$500&lt;&gt;"",ROW($1:$500),1000),ROW(BN120)))&amp;""</f>
        <v/>
      </c>
      <c r="BQ120" s="6" t="str">
        <f t="array" ref="BQ120">INDEX(BO:BO,SMALL(IF(BO$1:BO$500&lt;&gt;"",ROW($1:$500),1000),ROW(BO120)))&amp;""</f>
        <v/>
      </c>
      <c r="BS120" s="8" t="s">
        <v>3315</v>
      </c>
      <c r="BT120" s="8" t="s">
        <v>1481</v>
      </c>
      <c r="BU120" s="8" t="s">
        <v>494</v>
      </c>
      <c r="BV120" s="9">
        <v>7</v>
      </c>
      <c r="BX120" s="8" t="str">
        <f t="shared" si="13"/>
        <v/>
      </c>
      <c r="BY120" s="8" t="str">
        <f>IF(AND(VLOOKUP(BU120,查询!$C$8:$E$15,3,FALSE)="启用",$B$1=BV120),BT120,"")</f>
        <v/>
      </c>
      <c r="BZ120" s="6" t="str">
        <f t="array" ref="BZ120">INDEX(BX:BX,SMALL(IF(BX$1:BX$500&lt;&gt;"",ROW($1:$500),1000),ROW(BX120)))&amp;""</f>
        <v/>
      </c>
      <c r="CA120" s="6" t="str">
        <f t="array" ref="CA120">INDEX(BY:BY,SMALL(IF(BY$1:BY$500&lt;&gt;"",ROW($1:$500),1000),ROW(BY120)))&amp;""</f>
        <v/>
      </c>
    </row>
    <row r="121" spans="1:79">
      <c r="A121" s="8" t="s">
        <v>2459</v>
      </c>
      <c r="B121" s="8" t="s">
        <v>1654</v>
      </c>
      <c r="C121" s="8" t="s">
        <v>494</v>
      </c>
      <c r="D121" s="9">
        <v>2</v>
      </c>
      <c r="F121" s="8" t="str">
        <f t="shared" si="8"/>
        <v>Melf’s Acid Arrow</v>
      </c>
      <c r="G121" s="8" t="str">
        <f>IF(AND(VLOOKUP(C121,查询!$C$8:$E$15,3,FALSE)="启用",$B$1=D121),B121,"")</f>
        <v>马友夫强酸箭</v>
      </c>
      <c r="H121" s="6" t="str">
        <f t="array" ref="H121">INDEX(F:F,SMALL(IF($F$1:$F$500&lt;&gt;"",ROW($1:$500),1000),ROW(F121)))&amp;""</f>
        <v/>
      </c>
      <c r="I121" s="6" t="str">
        <f t="array" ref="I121">INDEX(G:G,SMALL(IF($F$1:$F$500&lt;&gt;"",ROW($1:$500),1000),ROW(G121)))&amp;""</f>
        <v/>
      </c>
      <c r="K121" s="8" t="s">
        <v>2619</v>
      </c>
      <c r="L121" s="8" t="s">
        <v>1454</v>
      </c>
      <c r="M121" s="8" t="s">
        <v>494</v>
      </c>
      <c r="N121" s="9">
        <v>3</v>
      </c>
      <c r="P121" s="8" t="str">
        <f t="shared" si="9"/>
        <v/>
      </c>
      <c r="Q121" s="8" t="str">
        <f>IF(AND(VLOOKUP(M121,查询!$C$8:$E$15,3,FALSE)="启用",$B$1=N121),L121,"")</f>
        <v/>
      </c>
      <c r="R121" s="6" t="str">
        <f t="array" ref="R121">INDEX(P:P,SMALL(IF(P$1:P$500&lt;&gt;"",ROW($1:$500),1000),ROW(P121)))&amp;""</f>
        <v/>
      </c>
      <c r="S121" s="6" t="str">
        <f t="array" ref="S121">INDEX(Q:Q,SMALL(IF(Q$1:Q$500&lt;&gt;"",ROW($1:$500),1000),ROW(Q121)))&amp;""</f>
        <v/>
      </c>
      <c r="U121" s="8" t="s">
        <v>3457</v>
      </c>
      <c r="V121" s="8" t="s">
        <v>1273</v>
      </c>
      <c r="W121" s="8" t="s">
        <v>1249</v>
      </c>
      <c r="X121" s="9">
        <v>9</v>
      </c>
      <c r="Z121" s="8" t="str">
        <f t="shared" si="10"/>
        <v/>
      </c>
      <c r="AA121" s="8" t="str">
        <f>IF(AND(VLOOKUP(W121,查询!$C$8:$E$15,3,FALSE)="启用",$B$1=X121),V121,"")</f>
        <v/>
      </c>
      <c r="AB121" s="6" t="str">
        <f t="array" ref="AB121">INDEX(Z:Z,SMALL(IF(Z$1:Z$500&lt;&gt;"",ROW($1:$500),1000),ROW(Z121)))&amp;""</f>
        <v/>
      </c>
      <c r="AC121" s="6" t="str">
        <f t="array" ref="AC121">INDEX(AA:AA,SMALL(IF(AA$1:AA$500&lt;&gt;"",ROW($1:$500),1000),ROW(AA121)))&amp;""</f>
        <v/>
      </c>
      <c r="AH121" s="6"/>
      <c r="AL121" s="6" t="str">
        <f t="array" ref="AL121">INDEX(AJ:AJ,SMALL(IF(AJ$1:AJ$500&lt;&gt;"",ROW($1:$500),1000),ROW(AJ121)))&amp;""</f>
        <v/>
      </c>
      <c r="AM121" s="6" t="str">
        <f t="array" ref="AM121">INDEX(AK:AK,SMALL(IF(AK$1:AK$500&lt;&gt;"",ROW($1:$500),1000),ROW(AK121)))&amp;""</f>
        <v/>
      </c>
      <c r="AV121" s="6" t="str">
        <f t="array" ref="AV121">INDEX(AT:AT,SMALL(IF(AT$1:AT$500&lt;&gt;"",ROW($1:$500),1000),ROW(AT121)))&amp;""</f>
        <v/>
      </c>
      <c r="AW121" s="6" t="str">
        <f t="array" ref="AW121">INDEX(AU:AU,SMALL(IF(AU$1:AU$500&lt;&gt;"",ROW($1:$500),1000),ROW(AU121)))&amp;""</f>
        <v/>
      </c>
      <c r="BF121" s="6" t="str">
        <f t="array" ref="BF121">INDEX(BD:BD,SMALL(IF(BD$1:BD$500&lt;&gt;"",ROW($1:$500),1000),ROW(BD121)))&amp;""</f>
        <v/>
      </c>
      <c r="BG121" s="6" t="str">
        <f t="array" ref="BG121">INDEX(BE:BE,SMALL(IF(BE$1:BE$500&lt;&gt;"",ROW($1:$500),1000),ROW(BE121)))&amp;""</f>
        <v/>
      </c>
      <c r="BI121" s="8" t="s">
        <v>3013</v>
      </c>
      <c r="BJ121" s="8" t="s">
        <v>1495</v>
      </c>
      <c r="BK121" s="8" t="s">
        <v>494</v>
      </c>
      <c r="BL121" s="9">
        <v>5</v>
      </c>
      <c r="BN121" s="8" t="str">
        <f t="shared" si="12"/>
        <v/>
      </c>
      <c r="BO121" s="8" t="str">
        <f>IF(AND(VLOOKUP(BK121,查询!$C$8:$E$15,3,FALSE)="启用",$B$1=BL121),BJ121,"")</f>
        <v/>
      </c>
      <c r="BP121" s="6" t="str">
        <f t="array" ref="BP121">INDEX(BN:BN,SMALL(IF(BN$1:BN$500&lt;&gt;"",ROW($1:$500),1000),ROW(BN121)))&amp;""</f>
        <v/>
      </c>
      <c r="BQ121" s="6" t="str">
        <f t="array" ref="BQ121">INDEX(BO:BO,SMALL(IF(BO$1:BO$500&lt;&gt;"",ROW($1:$500),1000),ROW(BO121)))&amp;""</f>
        <v/>
      </c>
      <c r="BS121" s="8" t="s">
        <v>3319</v>
      </c>
      <c r="BT121" s="8" t="s">
        <v>1493</v>
      </c>
      <c r="BU121" s="8" t="s">
        <v>494</v>
      </c>
      <c r="BV121" s="9">
        <v>7</v>
      </c>
      <c r="BX121" s="8" t="str">
        <f t="shared" si="13"/>
        <v/>
      </c>
      <c r="BY121" s="8" t="str">
        <f>IF(AND(VLOOKUP(BU121,查询!$C$8:$E$15,3,FALSE)="启用",$B$1=BV121),BT121,"")</f>
        <v/>
      </c>
      <c r="BZ121" s="6" t="str">
        <f t="array" ref="BZ121">INDEX(BX:BX,SMALL(IF(BX$1:BX$500&lt;&gt;"",ROW($1:$500),1000),ROW(BX121)))&amp;""</f>
        <v/>
      </c>
      <c r="CA121" s="6" t="str">
        <f t="array" ref="CA121">INDEX(BY:BY,SMALL(IF(BY$1:BY$500&lt;&gt;"",ROW($1:$500),1000),ROW(BY121)))&amp;""</f>
        <v/>
      </c>
    </row>
    <row r="122" spans="1:79">
      <c r="A122" s="8" t="s">
        <v>2463</v>
      </c>
      <c r="B122" s="8" t="s">
        <v>1657</v>
      </c>
      <c r="C122" s="8" t="s">
        <v>494</v>
      </c>
      <c r="D122" s="9">
        <v>2</v>
      </c>
      <c r="F122" s="8" t="str">
        <f t="shared" si="8"/>
        <v>Nystul’s Magic Aura</v>
      </c>
      <c r="G122" s="8" t="str">
        <f>IF(AND(VLOOKUP(C122,查询!$C$8:$E$15,3,FALSE)="启用",$B$1=D122),B122,"")</f>
        <v>涅斯图魔法灵光</v>
      </c>
      <c r="H122" s="6" t="str">
        <f t="array" ref="H122">INDEX(F:F,SMALL(IF($F$1:$F$500&lt;&gt;"",ROW($1:$500),1000),ROW(F122)))&amp;""</f>
        <v/>
      </c>
      <c r="I122" s="6" t="str">
        <f t="array" ref="I122">INDEX(G:G,SMALL(IF($F$1:$F$500&lt;&gt;"",ROW($1:$500),1000),ROW(G122)))&amp;""</f>
        <v/>
      </c>
      <c r="K122" s="8" t="s">
        <v>2623</v>
      </c>
      <c r="L122" s="8" t="s">
        <v>1476</v>
      </c>
      <c r="M122" s="8" t="s">
        <v>494</v>
      </c>
      <c r="N122" s="9">
        <v>3</v>
      </c>
      <c r="P122" s="8" t="str">
        <f t="shared" si="9"/>
        <v/>
      </c>
      <c r="Q122" s="8" t="str">
        <f>IF(AND(VLOOKUP(M122,查询!$C$8:$E$15,3,FALSE)="启用",$B$1=N122),L122,"")</f>
        <v/>
      </c>
      <c r="R122" s="6" t="str">
        <f t="array" ref="R122">INDEX(P:P,SMALL(IF(P$1:P$500&lt;&gt;"",ROW($1:$500),1000),ROW(P122)))&amp;""</f>
        <v/>
      </c>
      <c r="S122" s="6" t="str">
        <f t="array" ref="S122">INDEX(Q:Q,SMALL(IF(Q$1:Q$500&lt;&gt;"",ROW($1:$500),1000),ROW(Q122)))&amp;""</f>
        <v/>
      </c>
      <c r="U122" s="8" t="s">
        <v>3482</v>
      </c>
      <c r="V122" s="8" t="s">
        <v>1437</v>
      </c>
      <c r="W122" s="8" t="s">
        <v>494</v>
      </c>
      <c r="X122" s="9">
        <v>9</v>
      </c>
      <c r="Z122" s="8" t="str">
        <f t="shared" si="10"/>
        <v/>
      </c>
      <c r="AA122" s="8" t="str">
        <f>IF(AND(VLOOKUP(W122,查询!$C$8:$E$15,3,FALSE)="启用",$B$1=X122),V122,"")</f>
        <v/>
      </c>
      <c r="AB122" s="6" t="str">
        <f t="array" ref="AB122">INDEX(Z:Z,SMALL(IF(Z$1:Z$500&lt;&gt;"",ROW($1:$500),1000),ROW(Z122)))&amp;""</f>
        <v/>
      </c>
      <c r="AC122" s="6" t="str">
        <f t="array" ref="AC122">INDEX(AA:AA,SMALL(IF(AA$1:AA$500&lt;&gt;"",ROW($1:$500),1000),ROW(AA122)))&amp;""</f>
        <v/>
      </c>
      <c r="AH122" s="6"/>
      <c r="AL122" s="6" t="str">
        <f t="array" ref="AL122">INDEX(AJ:AJ,SMALL(IF(AJ$1:AJ$500&lt;&gt;"",ROW($1:$500),1000),ROW(AJ122)))&amp;""</f>
        <v/>
      </c>
      <c r="AM122" s="6" t="str">
        <f t="array" ref="AM122">INDEX(AK:AK,SMALL(IF(AK$1:AK$500&lt;&gt;"",ROW($1:$500),1000),ROW(AK122)))&amp;""</f>
        <v/>
      </c>
      <c r="AV122" s="6" t="str">
        <f t="array" ref="AV122">INDEX(AT:AT,SMALL(IF(AT$1:AT$500&lt;&gt;"",ROW($1:$500),1000),ROW(AT122)))&amp;""</f>
        <v/>
      </c>
      <c r="AW122" s="6" t="str">
        <f t="array" ref="AW122">INDEX(AU:AU,SMALL(IF(AU$1:AU$500&lt;&gt;"",ROW($1:$500),1000),ROW(AU122)))&amp;""</f>
        <v/>
      </c>
      <c r="BF122" s="6" t="str">
        <f t="array" ref="BF122">INDEX(BD:BD,SMALL(IF(BD$1:BD$500&lt;&gt;"",ROW($1:$500),1000),ROW(BD122)))&amp;""</f>
        <v/>
      </c>
      <c r="BG122" s="6" t="str">
        <f t="array" ref="BG122">INDEX(BE:BE,SMALL(IF(BE$1:BE$500&lt;&gt;"",ROW($1:$500),1000),ROW(BE122)))&amp;""</f>
        <v/>
      </c>
      <c r="BI122" s="8" t="s">
        <v>3019</v>
      </c>
      <c r="BJ122" s="8" t="s">
        <v>1505</v>
      </c>
      <c r="BK122" s="8" t="s">
        <v>494</v>
      </c>
      <c r="BL122" s="9">
        <v>5</v>
      </c>
      <c r="BN122" s="8" t="str">
        <f t="shared" si="12"/>
        <v/>
      </c>
      <c r="BO122" s="8" t="str">
        <f>IF(AND(VLOOKUP(BK122,查询!$C$8:$E$15,3,FALSE)="启用",$B$1=BL122),BJ122,"")</f>
        <v/>
      </c>
      <c r="BP122" s="6" t="str">
        <f t="array" ref="BP122">INDEX(BN:BN,SMALL(IF(BN$1:BN$500&lt;&gt;"",ROW($1:$500),1000),ROW(BN122)))&amp;""</f>
        <v/>
      </c>
      <c r="BQ122" s="6" t="str">
        <f t="array" ref="BQ122">INDEX(BO:BO,SMALL(IF(BO$1:BO$500&lt;&gt;"",ROW($1:$500),1000),ROW(BO122)))&amp;""</f>
        <v/>
      </c>
      <c r="BS122" s="8" t="s">
        <v>3325</v>
      </c>
      <c r="BT122" s="8" t="s">
        <v>1512</v>
      </c>
      <c r="BU122" s="8" t="s">
        <v>494</v>
      </c>
      <c r="BV122" s="9">
        <v>7</v>
      </c>
      <c r="BX122" s="8" t="str">
        <f t="shared" si="13"/>
        <v/>
      </c>
      <c r="BY122" s="8" t="str">
        <f>IF(AND(VLOOKUP(BU122,查询!$C$8:$E$15,3,FALSE)="启用",$B$1=BV122),BT122,"")</f>
        <v/>
      </c>
      <c r="BZ122" s="6" t="str">
        <f t="array" ref="BZ122">INDEX(BX:BX,SMALL(IF(BX$1:BX$500&lt;&gt;"",ROW($1:$500),1000),ROW(BX122)))&amp;""</f>
        <v/>
      </c>
      <c r="CA122" s="6" t="str">
        <f t="array" ref="CA122">INDEX(BY:BY,SMALL(IF(BY$1:BY$500&lt;&gt;"",ROW($1:$500),1000),ROW(BY122)))&amp;""</f>
        <v/>
      </c>
    </row>
    <row r="123" spans="1:79">
      <c r="A123" s="8" t="s">
        <v>2467</v>
      </c>
      <c r="B123" s="8" t="s">
        <v>1665</v>
      </c>
      <c r="C123" s="8" t="s">
        <v>494</v>
      </c>
      <c r="D123" s="9">
        <v>2</v>
      </c>
      <c r="F123" s="8" t="str">
        <f t="shared" si="8"/>
        <v>Rope Trick</v>
      </c>
      <c r="G123" s="8" t="str">
        <f>IF(AND(VLOOKUP(C123,查询!$C$8:$E$15,3,FALSE)="启用",$B$1=D123),B123,"")</f>
        <v>魔绳术</v>
      </c>
      <c r="H123" s="6" t="str">
        <f t="array" ref="H123">INDEX(F:F,SMALL(IF($F$1:$F$500&lt;&gt;"",ROW($1:$500),1000),ROW(F123)))&amp;""</f>
        <v/>
      </c>
      <c r="I123" s="6" t="str">
        <f t="array" ref="I123">INDEX(G:G,SMALL(IF($F$1:$F$500&lt;&gt;"",ROW($1:$500),1000),ROW(G123)))&amp;""</f>
        <v/>
      </c>
      <c r="K123" s="8" t="s">
        <v>2627</v>
      </c>
      <c r="L123" s="8" t="s">
        <v>1482</v>
      </c>
      <c r="M123" s="8" t="s">
        <v>494</v>
      </c>
      <c r="N123" s="9">
        <v>3</v>
      </c>
      <c r="P123" s="8" t="str">
        <f t="shared" si="9"/>
        <v/>
      </c>
      <c r="Q123" s="8" t="str">
        <f>IF(AND(VLOOKUP(M123,查询!$C$8:$E$15,3,FALSE)="启用",$B$1=N123),L123,"")</f>
        <v/>
      </c>
      <c r="R123" s="6" t="str">
        <f t="array" ref="R123">INDEX(P:P,SMALL(IF(P$1:P$500&lt;&gt;"",ROW($1:$500),1000),ROW(P123)))&amp;""</f>
        <v/>
      </c>
      <c r="S123" s="6" t="str">
        <f t="array" ref="S123">INDEX(Q:Q,SMALL(IF(Q$1:Q$500&lt;&gt;"",ROW($1:$500),1000),ROW(Q123)))&amp;""</f>
        <v/>
      </c>
      <c r="U123" s="8" t="s">
        <v>3486</v>
      </c>
      <c r="V123" s="8" t="s">
        <v>1457</v>
      </c>
      <c r="W123" s="8" t="s">
        <v>494</v>
      </c>
      <c r="X123" s="9">
        <v>9</v>
      </c>
      <c r="Z123" s="8" t="str">
        <f t="shared" si="10"/>
        <v/>
      </c>
      <c r="AA123" s="8" t="str">
        <f>IF(AND(VLOOKUP(W123,查询!$C$8:$E$15,3,FALSE)="启用",$B$1=X123),V123,"")</f>
        <v/>
      </c>
      <c r="AB123" s="6" t="str">
        <f t="array" ref="AB123">INDEX(Z:Z,SMALL(IF(Z$1:Z$500&lt;&gt;"",ROW($1:$500),1000),ROW(Z123)))&amp;""</f>
        <v/>
      </c>
      <c r="AC123" s="6" t="str">
        <f t="array" ref="AC123">INDEX(AA:AA,SMALL(IF(AA$1:AA$500&lt;&gt;"",ROW($1:$500),1000),ROW(AA123)))&amp;""</f>
        <v/>
      </c>
      <c r="AH123" s="6"/>
      <c r="AL123" s="6" t="str">
        <f t="array" ref="AL123">INDEX(AJ:AJ,SMALL(IF(AJ$1:AJ$500&lt;&gt;"",ROW($1:$500),1000),ROW(AJ123)))&amp;""</f>
        <v/>
      </c>
      <c r="AM123" s="6" t="str">
        <f t="array" ref="AM123">INDEX(AK:AK,SMALL(IF(AK$1:AK$500&lt;&gt;"",ROW($1:$500),1000),ROW(AK123)))&amp;""</f>
        <v/>
      </c>
      <c r="AV123" s="6" t="str">
        <f t="array" ref="AV123">INDEX(AT:AT,SMALL(IF(AT$1:AT$500&lt;&gt;"",ROW($1:$500),1000),ROW(AT123)))&amp;""</f>
        <v/>
      </c>
      <c r="AW123" s="6" t="str">
        <f t="array" ref="AW123">INDEX(AU:AU,SMALL(IF(AU$1:AU$500&lt;&gt;"",ROW($1:$500),1000),ROW(AU123)))&amp;""</f>
        <v/>
      </c>
      <c r="BF123" s="6" t="str">
        <f t="array" ref="BF123">INDEX(BD:BD,SMALL(IF(BD$1:BD$500&lt;&gt;"",ROW($1:$500),1000),ROW(BD123)))&amp;""</f>
        <v/>
      </c>
      <c r="BG123" s="6" t="str">
        <f t="array" ref="BG123">INDEX(BE:BE,SMALL(IF(BE$1:BE$500&lt;&gt;"",ROW($1:$500),1000),ROW(BE123)))&amp;""</f>
        <v/>
      </c>
      <c r="BI123" s="8" t="s">
        <v>3023</v>
      </c>
      <c r="BJ123" s="8" t="s">
        <v>1507</v>
      </c>
      <c r="BK123" s="8" t="s">
        <v>494</v>
      </c>
      <c r="BL123" s="9">
        <v>5</v>
      </c>
      <c r="BN123" s="8" t="str">
        <f t="shared" si="12"/>
        <v/>
      </c>
      <c r="BO123" s="8" t="str">
        <f>IF(AND(VLOOKUP(BK123,查询!$C$8:$E$15,3,FALSE)="启用",$B$1=BL123),BJ123,"")</f>
        <v/>
      </c>
      <c r="BP123" s="6" t="str">
        <f t="array" ref="BP123">INDEX(BN:BN,SMALL(IF(BN$1:BN$500&lt;&gt;"",ROW($1:$500),1000),ROW(BN123)))&amp;""</f>
        <v/>
      </c>
      <c r="BQ123" s="6" t="str">
        <f t="array" ref="BQ123">INDEX(BO:BO,SMALL(IF(BO$1:BO$500&lt;&gt;"",ROW($1:$500),1000),ROW(BO123)))&amp;""</f>
        <v/>
      </c>
      <c r="BS123" s="8" t="s">
        <v>3329</v>
      </c>
      <c r="BT123" s="8" t="s">
        <v>1515</v>
      </c>
      <c r="BU123" s="8" t="s">
        <v>494</v>
      </c>
      <c r="BV123" s="9">
        <v>7</v>
      </c>
      <c r="BX123" s="8" t="str">
        <f t="shared" si="13"/>
        <v/>
      </c>
      <c r="BY123" s="8" t="str">
        <f>IF(AND(VLOOKUP(BU123,查询!$C$8:$E$15,3,FALSE)="启用",$B$1=BV123),BT123,"")</f>
        <v/>
      </c>
      <c r="BZ123" s="6" t="str">
        <f t="array" ref="BZ123">INDEX(BX:BX,SMALL(IF(BX$1:BX$500&lt;&gt;"",ROW($1:$500),1000),ROW(BX123)))&amp;""</f>
        <v/>
      </c>
      <c r="CA123" s="6" t="str">
        <f t="array" ref="CA123">INDEX(BY:BY,SMALL(IF(BY$1:BY$500&lt;&gt;"",ROW($1:$500),1000),ROW(BY123)))&amp;""</f>
        <v/>
      </c>
    </row>
    <row r="124" spans="1:79">
      <c r="A124" s="8" t="s">
        <v>2277</v>
      </c>
      <c r="B124" s="8" t="s">
        <v>1333</v>
      </c>
      <c r="C124" s="8" t="s">
        <v>578</v>
      </c>
      <c r="D124" s="9">
        <v>2</v>
      </c>
      <c r="F124" s="8" t="str">
        <f t="shared" si="8"/>
        <v>Earthbind</v>
      </c>
      <c r="G124" s="8" t="str">
        <f>IF(AND(VLOOKUP(C124,查询!$C$8:$E$15,3,FALSE)="启用",$B$1=D124),B124,"")</f>
        <v>地缚</v>
      </c>
      <c r="H124" s="6" t="str">
        <f t="array" ref="H124">INDEX(F:F,SMALL(IF($F$1:$F$500&lt;&gt;"",ROW($1:$500),1000),ROW(F124)))&amp;""</f>
        <v/>
      </c>
      <c r="I124" s="6" t="str">
        <f t="array" ref="I124">INDEX(G:G,SMALL(IF($F$1:$F$500&lt;&gt;"",ROW($1:$500),1000),ROW(G124)))&amp;""</f>
        <v/>
      </c>
      <c r="K124" s="8" t="s">
        <v>2633</v>
      </c>
      <c r="L124" s="8" t="s">
        <v>1485</v>
      </c>
      <c r="M124" s="8" t="s">
        <v>494</v>
      </c>
      <c r="N124" s="9">
        <v>3</v>
      </c>
      <c r="P124" s="8" t="str">
        <f t="shared" si="9"/>
        <v/>
      </c>
      <c r="Q124" s="8" t="str">
        <f>IF(AND(VLOOKUP(M124,查询!$C$8:$E$15,3,FALSE)="启用",$B$1=N124),L124,"")</f>
        <v/>
      </c>
      <c r="R124" s="6" t="str">
        <f t="array" ref="R124">INDEX(P:P,SMALL(IF(P$1:P$500&lt;&gt;"",ROW($1:$500),1000),ROW(P124)))&amp;""</f>
        <v/>
      </c>
      <c r="S124" s="6" t="str">
        <f t="array" ref="S124">INDEX(Q:Q,SMALL(IF(Q$1:Q$500&lt;&gt;"",ROW($1:$500),1000),ROW(Q124)))&amp;""</f>
        <v/>
      </c>
      <c r="U124" s="8" t="s">
        <v>3488</v>
      </c>
      <c r="V124" s="8" t="s">
        <v>1538</v>
      </c>
      <c r="W124" s="8" t="s">
        <v>494</v>
      </c>
      <c r="X124" s="9">
        <v>9</v>
      </c>
      <c r="Z124" s="8" t="str">
        <f t="shared" si="10"/>
        <v/>
      </c>
      <c r="AA124" s="8" t="str">
        <f>IF(AND(VLOOKUP(W124,查询!$C$8:$E$15,3,FALSE)="启用",$B$1=X124),V124,"")</f>
        <v/>
      </c>
      <c r="AB124" s="6" t="str">
        <f t="array" ref="AB124">INDEX(Z:Z,SMALL(IF(Z$1:Z$500&lt;&gt;"",ROW($1:$500),1000),ROW(Z124)))&amp;""</f>
        <v/>
      </c>
      <c r="AC124" s="6" t="str">
        <f t="array" ref="AC124">INDEX(AA:AA,SMALL(IF(AA$1:AA$500&lt;&gt;"",ROW($1:$500),1000),ROW(AA124)))&amp;""</f>
        <v/>
      </c>
      <c r="AH124" s="6"/>
      <c r="AL124" s="6" t="str">
        <f t="array" ref="AL124">INDEX(AJ:AJ,SMALL(IF(AJ$1:AJ$500&lt;&gt;"",ROW($1:$500),1000),ROW(AJ124)))&amp;""</f>
        <v/>
      </c>
      <c r="AM124" s="6" t="str">
        <f t="array" ref="AM124">INDEX(AK:AK,SMALL(IF(AK$1:AK$500&lt;&gt;"",ROW($1:$500),1000),ROW(AK124)))&amp;""</f>
        <v/>
      </c>
      <c r="AV124" s="6" t="str">
        <f t="array" ref="AV124">INDEX(AT:AT,SMALL(IF(AT$1:AT$500&lt;&gt;"",ROW($1:$500),1000),ROW(AT124)))&amp;""</f>
        <v/>
      </c>
      <c r="AW124" s="6" t="str">
        <f t="array" ref="AW124">INDEX(AU:AU,SMALL(IF(AU$1:AU$500&lt;&gt;"",ROW($1:$500),1000),ROW(AU124)))&amp;""</f>
        <v/>
      </c>
      <c r="BF124" s="6" t="str">
        <f t="array" ref="BF124">INDEX(BD:BD,SMALL(IF(BD$1:BD$500&lt;&gt;"",ROW($1:$500),1000),ROW(BD124)))&amp;""</f>
        <v/>
      </c>
      <c r="BG124" s="6" t="str">
        <f t="array" ref="BG124">INDEX(BE:BE,SMALL(IF(BE$1:BE$500&lt;&gt;"",ROW($1:$500),1000),ROW(BE124)))&amp;""</f>
        <v/>
      </c>
      <c r="BI124" s="8" t="s">
        <v>3028</v>
      </c>
      <c r="BJ124" s="8" t="s">
        <v>1509</v>
      </c>
      <c r="BK124" s="8" t="s">
        <v>494</v>
      </c>
      <c r="BL124" s="9">
        <v>5</v>
      </c>
      <c r="BN124" s="8" t="str">
        <f t="shared" si="12"/>
        <v/>
      </c>
      <c r="BO124" s="8" t="str">
        <f>IF(AND(VLOOKUP(BK124,查询!$C$8:$E$15,3,FALSE)="启用",$B$1=BL124),BJ124,"")</f>
        <v/>
      </c>
      <c r="BP124" s="6" t="str">
        <f t="array" ref="BP124">INDEX(BN:BN,SMALL(IF(BN$1:BN$500&lt;&gt;"",ROW($1:$500),1000),ROW(BN124)))&amp;""</f>
        <v/>
      </c>
      <c r="BQ124" s="6" t="str">
        <f t="array" ref="BQ124">INDEX(BO:BO,SMALL(IF(BO$1:BO$500&lt;&gt;"",ROW($1:$500),1000),ROW(BO124)))&amp;""</f>
        <v/>
      </c>
      <c r="BS124" s="8" t="s">
        <v>3333</v>
      </c>
      <c r="BT124" s="8" t="s">
        <v>1524</v>
      </c>
      <c r="BU124" s="8" t="s">
        <v>494</v>
      </c>
      <c r="BV124" s="9">
        <v>7</v>
      </c>
      <c r="BX124" s="8" t="str">
        <f t="shared" si="13"/>
        <v/>
      </c>
      <c r="BY124" s="8" t="str">
        <f>IF(AND(VLOOKUP(BU124,查询!$C$8:$E$15,3,FALSE)="启用",$B$1=BV124),BT124,"")</f>
        <v/>
      </c>
      <c r="BZ124" s="6" t="str">
        <f t="array" ref="BZ124">INDEX(BX:BX,SMALL(IF(BX$1:BX$500&lt;&gt;"",ROW($1:$500),1000),ROW(BX124)))&amp;""</f>
        <v/>
      </c>
      <c r="CA124" s="6" t="str">
        <f t="array" ref="CA124">INDEX(BY:BY,SMALL(IF(BY$1:BY$500&lt;&gt;"",ROW($1:$500),1000),ROW(BY124)))&amp;""</f>
        <v/>
      </c>
    </row>
    <row r="125" spans="1:79">
      <c r="A125" s="8" t="s">
        <v>2277</v>
      </c>
      <c r="B125" s="8" t="s">
        <v>1333</v>
      </c>
      <c r="C125" s="8" t="s">
        <v>1249</v>
      </c>
      <c r="D125" s="9">
        <v>2</v>
      </c>
      <c r="F125" s="8" t="str">
        <f t="shared" si="8"/>
        <v>Earthbind</v>
      </c>
      <c r="G125" s="8" t="str">
        <f>IF(AND(VLOOKUP(C125,查询!$C$8:$E$15,3,FALSE)="启用",$B$1=D125),B125,"")</f>
        <v>地缚</v>
      </c>
      <c r="H125" s="6" t="str">
        <f t="array" ref="H125">INDEX(F:F,SMALL(IF($F$1:$F$500&lt;&gt;"",ROW($1:$500),1000),ROW(F125)))&amp;""</f>
        <v/>
      </c>
      <c r="I125" s="6" t="str">
        <f t="array" ref="I125">INDEX(G:G,SMALL(IF($F$1:$F$500&lt;&gt;"",ROW($1:$500),1000),ROW(G125)))&amp;""</f>
        <v/>
      </c>
      <c r="K125" s="8" t="s">
        <v>2651</v>
      </c>
      <c r="L125" s="8" t="s">
        <v>1504</v>
      </c>
      <c r="M125" s="8" t="s">
        <v>494</v>
      </c>
      <c r="N125" s="9">
        <v>3</v>
      </c>
      <c r="P125" s="8" t="str">
        <f t="shared" si="9"/>
        <v/>
      </c>
      <c r="Q125" s="8" t="str">
        <f>IF(AND(VLOOKUP(M125,查询!$C$8:$E$15,3,FALSE)="启用",$B$1=N125),L125,"")</f>
        <v/>
      </c>
      <c r="R125" s="6" t="str">
        <f t="array" ref="R125">INDEX(P:P,SMALL(IF(P$1:P$500&lt;&gt;"",ROW($1:$500),1000),ROW(P125)))&amp;""</f>
        <v/>
      </c>
      <c r="S125" s="6" t="str">
        <f t="array" ref="S125">INDEX(Q:Q,SMALL(IF(Q$1:Q$500&lt;&gt;"",ROW($1:$500),1000),ROW(Q125)))&amp;""</f>
        <v/>
      </c>
      <c r="U125" s="8" t="s">
        <v>3495</v>
      </c>
      <c r="V125" s="8" t="s">
        <v>1570</v>
      </c>
      <c r="W125" s="8" t="s">
        <v>494</v>
      </c>
      <c r="X125" s="9">
        <v>9</v>
      </c>
      <c r="Z125" s="8" t="str">
        <f t="shared" si="10"/>
        <v/>
      </c>
      <c r="AA125" s="8" t="str">
        <f>IF(AND(VLOOKUP(W125,查询!$C$8:$E$15,3,FALSE)="启用",$B$1=X125),V125,"")</f>
        <v/>
      </c>
      <c r="AB125" s="6" t="str">
        <f t="array" ref="AB125">INDEX(Z:Z,SMALL(IF(Z$1:Z$500&lt;&gt;"",ROW($1:$500),1000),ROW(Z125)))&amp;""</f>
        <v/>
      </c>
      <c r="AC125" s="6" t="str">
        <f t="array" ref="AC125">INDEX(AA:AA,SMALL(IF(AA$1:AA$500&lt;&gt;"",ROW($1:$500),1000),ROW(AA125)))&amp;""</f>
        <v/>
      </c>
      <c r="AH125" s="6"/>
      <c r="AL125" s="6" t="str">
        <f t="array" ref="AL125">INDEX(AJ:AJ,SMALL(IF(AJ$1:AJ$500&lt;&gt;"",ROW($1:$500),1000),ROW(AJ125)))&amp;""</f>
        <v/>
      </c>
      <c r="AM125" s="6" t="str">
        <f t="array" ref="AM125">INDEX(AK:AK,SMALL(IF(AK$1:AK$500&lt;&gt;"",ROW($1:$500),1000),ROW(AK125)))&amp;""</f>
        <v/>
      </c>
      <c r="AV125" s="6" t="str">
        <f t="array" ref="AV125">INDEX(AT:AT,SMALL(IF(AT$1:AT$500&lt;&gt;"",ROW($1:$500),1000),ROW(AT125)))&amp;""</f>
        <v/>
      </c>
      <c r="AW125" s="6" t="str">
        <f t="array" ref="AW125">INDEX(AU:AU,SMALL(IF(AU$1:AU$500&lt;&gt;"",ROW($1:$500),1000),ROW(AU125)))&amp;""</f>
        <v/>
      </c>
      <c r="BF125" s="6" t="str">
        <f t="array" ref="BF125">INDEX(BD:BD,SMALL(IF(BD$1:BD$500&lt;&gt;"",ROW($1:$500),1000),ROW(BD125)))&amp;""</f>
        <v/>
      </c>
      <c r="BG125" s="6" t="str">
        <f t="array" ref="BG125">INDEX(BE:BE,SMALL(IF(BE$1:BE$500&lt;&gt;"",ROW($1:$500),1000),ROW(BE125)))&amp;""</f>
        <v/>
      </c>
      <c r="BI125" s="8" t="s">
        <v>3032</v>
      </c>
      <c r="BJ125" s="8" t="s">
        <v>1511</v>
      </c>
      <c r="BK125" s="8" t="s">
        <v>494</v>
      </c>
      <c r="BL125" s="9">
        <v>5</v>
      </c>
      <c r="BN125" s="8" t="str">
        <f t="shared" si="12"/>
        <v/>
      </c>
      <c r="BO125" s="8" t="str">
        <f>IF(AND(VLOOKUP(BK125,查询!$C$8:$E$15,3,FALSE)="启用",$B$1=BL125),BJ125,"")</f>
        <v/>
      </c>
      <c r="BP125" s="6" t="str">
        <f t="array" ref="BP125">INDEX(BN:BN,SMALL(IF(BN$1:BN$500&lt;&gt;"",ROW($1:$500),1000),ROW(BN125)))&amp;""</f>
        <v/>
      </c>
      <c r="BQ125" s="6" t="str">
        <f t="array" ref="BQ125">INDEX(BO:BO,SMALL(IF(BO$1:BO$500&lt;&gt;"",ROW($1:$500),1000),ROW(BO125)))&amp;""</f>
        <v/>
      </c>
      <c r="BS125" s="8" t="s">
        <v>3337</v>
      </c>
      <c r="BT125" s="8" t="s">
        <v>1525</v>
      </c>
      <c r="BU125" s="8" t="s">
        <v>494</v>
      </c>
      <c r="BV125" s="9">
        <v>7</v>
      </c>
      <c r="BX125" s="8" t="str">
        <f t="shared" si="13"/>
        <v/>
      </c>
      <c r="BY125" s="8" t="str">
        <f>IF(AND(VLOOKUP(BU125,查询!$C$8:$E$15,3,FALSE)="启用",$B$1=BV125),BT125,"")</f>
        <v/>
      </c>
      <c r="BZ125" s="6" t="str">
        <f t="array" ref="BZ125">INDEX(BX:BX,SMALL(IF(BX$1:BX$500&lt;&gt;"",ROW($1:$500),1000),ROW(BX125)))&amp;""</f>
        <v/>
      </c>
      <c r="CA125" s="6" t="str">
        <f t="array" ref="CA125">INDEX(BY:BY,SMALL(IF(BY$1:BY$500&lt;&gt;"",ROW($1:$500),1000),ROW(BY125)))&amp;""</f>
        <v/>
      </c>
    </row>
    <row r="126" spans="1:79">
      <c r="A126" s="8" t="s">
        <v>2281</v>
      </c>
      <c r="B126" s="8" t="s">
        <v>1741</v>
      </c>
      <c r="C126" s="8" t="s">
        <v>578</v>
      </c>
      <c r="D126" s="9">
        <v>2</v>
      </c>
      <c r="F126" s="8" t="str">
        <f t="shared" si="8"/>
        <v>Dust Devil</v>
      </c>
      <c r="G126" s="8" t="str">
        <f>IF(AND(VLOOKUP(C126,查询!$C$8:$E$15,3,FALSE)="启用",$B$1=D126),B126,"")</f>
        <v>尘土恶魔E</v>
      </c>
      <c r="H126" s="6" t="str">
        <f t="array" ref="H126">INDEX(F:F,SMALL(IF($F$1:$F$500&lt;&gt;"",ROW($1:$500),1000),ROW(F126)))&amp;""</f>
        <v/>
      </c>
      <c r="I126" s="6" t="str">
        <f t="array" ref="I126">INDEX(G:G,SMALL(IF($F$1:$F$500&lt;&gt;"",ROW($1:$500),1000),ROW(G126)))&amp;""</f>
        <v/>
      </c>
      <c r="K126" s="8" t="s">
        <v>2703</v>
      </c>
      <c r="L126" s="8" t="s">
        <v>1590</v>
      </c>
      <c r="M126" s="8" t="s">
        <v>494</v>
      </c>
      <c r="N126" s="9">
        <v>3</v>
      </c>
      <c r="P126" s="8" t="str">
        <f t="shared" si="9"/>
        <v/>
      </c>
      <c r="Q126" s="8" t="str">
        <f>IF(AND(VLOOKUP(M126,查询!$C$8:$E$15,3,FALSE)="启用",$B$1=N126),L126,"")</f>
        <v/>
      </c>
      <c r="R126" s="6" t="str">
        <f t="array" ref="R126">INDEX(P:P,SMALL(IF(P$1:P$500&lt;&gt;"",ROW($1:$500),1000),ROW(P126)))&amp;""</f>
        <v/>
      </c>
      <c r="S126" s="6" t="str">
        <f t="array" ref="S126">INDEX(Q:Q,SMALL(IF(Q$1:Q$500&lt;&gt;"",ROW($1:$500),1000),ROW(Q126)))&amp;""</f>
        <v/>
      </c>
      <c r="X126" s="6"/>
      <c r="AB126" s="6" t="str">
        <f t="array" ref="AB126">INDEX(Z:Z,SMALL(IF(Z$1:Z$500&lt;&gt;"",ROW($1:$500),1000),ROW(Z126)))&amp;""</f>
        <v/>
      </c>
      <c r="AC126" s="6" t="str">
        <f t="array" ref="AC126">INDEX(AA:AA,SMALL(IF(AA$1:AA$500&lt;&gt;"",ROW($1:$500),1000),ROW(AA126)))&amp;""</f>
        <v/>
      </c>
      <c r="AH126" s="6"/>
      <c r="AL126" s="6" t="str">
        <f t="array" ref="AL126">INDEX(AJ:AJ,SMALL(IF(AJ$1:AJ$500&lt;&gt;"",ROW($1:$500),1000),ROW(AJ126)))&amp;""</f>
        <v/>
      </c>
      <c r="AM126" s="6" t="str">
        <f t="array" ref="AM126">INDEX(AK:AK,SMALL(IF(AK$1:AK$500&lt;&gt;"",ROW($1:$500),1000),ROW(AK126)))&amp;""</f>
        <v/>
      </c>
      <c r="AV126" s="6" t="str">
        <f t="array" ref="AV126">INDEX(AT:AT,SMALL(IF(AT$1:AT$500&lt;&gt;"",ROW($1:$500),1000),ROW(AT126)))&amp;""</f>
        <v/>
      </c>
      <c r="AW126" s="6" t="str">
        <f t="array" ref="AW126">INDEX(AU:AU,SMALL(IF(AU$1:AU$500&lt;&gt;"",ROW($1:$500),1000),ROW(AU126)))&amp;""</f>
        <v/>
      </c>
      <c r="BF126" s="6" t="str">
        <f t="array" ref="BF126">INDEX(BD:BD,SMALL(IF(BD$1:BD$500&lt;&gt;"",ROW($1:$500),1000),ROW(BD126)))&amp;""</f>
        <v/>
      </c>
      <c r="BG126" s="6" t="str">
        <f t="array" ref="BG126">INDEX(BE:BE,SMALL(IF(BE$1:BE$500&lt;&gt;"",ROW($1:$500),1000),ROW(BE126)))&amp;""</f>
        <v/>
      </c>
      <c r="BI126" s="8" t="s">
        <v>3038</v>
      </c>
      <c r="BJ126" s="8" t="s">
        <v>1545</v>
      </c>
      <c r="BK126" s="8" t="s">
        <v>494</v>
      </c>
      <c r="BL126" s="9">
        <v>5</v>
      </c>
      <c r="BN126" s="8" t="str">
        <f t="shared" si="12"/>
        <v/>
      </c>
      <c r="BO126" s="8" t="str">
        <f>IF(AND(VLOOKUP(BK126,查询!$C$8:$E$15,3,FALSE)="启用",$B$1=BL126),BJ126,"")</f>
        <v/>
      </c>
      <c r="BP126" s="6" t="str">
        <f t="array" ref="BP126">INDEX(BN:BN,SMALL(IF(BN$1:BN$500&lt;&gt;"",ROW($1:$500),1000),ROW(BN126)))&amp;""</f>
        <v/>
      </c>
      <c r="BQ126" s="6" t="str">
        <f t="array" ref="BQ126">INDEX(BO:BO,SMALL(IF(BO$1:BO$500&lt;&gt;"",ROW($1:$500),1000),ROW(BO126)))&amp;""</f>
        <v/>
      </c>
      <c r="BS126" s="8" t="s">
        <v>3341</v>
      </c>
      <c r="BT126" s="8" t="s">
        <v>1528</v>
      </c>
      <c r="BU126" s="8" t="s">
        <v>494</v>
      </c>
      <c r="BV126" s="9">
        <v>7</v>
      </c>
      <c r="BX126" s="8" t="str">
        <f t="shared" si="13"/>
        <v/>
      </c>
      <c r="BY126" s="8" t="str">
        <f>IF(AND(VLOOKUP(BU126,查询!$C$8:$E$15,3,FALSE)="启用",$B$1=BV126),BT126,"")</f>
        <v/>
      </c>
      <c r="BZ126" s="6" t="str">
        <f t="array" ref="BZ126">INDEX(BX:BX,SMALL(IF(BX$1:BX$500&lt;&gt;"",ROW($1:$500),1000),ROW(BX126)))&amp;""</f>
        <v/>
      </c>
      <c r="CA126" s="6" t="str">
        <f t="array" ref="CA126">INDEX(BY:BY,SMALL(IF(BY$1:BY$500&lt;&gt;"",ROW($1:$500),1000),ROW(BY126)))&amp;""</f>
        <v/>
      </c>
    </row>
    <row r="127" spans="1:79">
      <c r="A127" s="8" t="s">
        <v>2281</v>
      </c>
      <c r="B127" s="8" t="s">
        <v>1340</v>
      </c>
      <c r="C127" s="8" t="s">
        <v>1249</v>
      </c>
      <c r="D127" s="9">
        <v>2</v>
      </c>
      <c r="F127" s="8" t="str">
        <f t="shared" si="8"/>
        <v>Dust Devil</v>
      </c>
      <c r="G127" s="8" t="str">
        <f>IF(AND(VLOOKUP(C127,查询!$C$8:$E$15,3,FALSE)="启用",$B$1=D127),B127,"")</f>
        <v>尘土恶魔</v>
      </c>
      <c r="H127" s="6" t="str">
        <f t="array" ref="H127">INDEX(F:F,SMALL(IF($F$1:$F$500&lt;&gt;"",ROW($1:$500),1000),ROW(F127)))&amp;""</f>
        <v/>
      </c>
      <c r="I127" s="6" t="str">
        <f t="array" ref="I127">INDEX(G:G,SMALL(IF($F$1:$F$500&lt;&gt;"",ROW($1:$500),1000),ROW(G127)))&amp;""</f>
        <v/>
      </c>
      <c r="K127" s="8" t="s">
        <v>2706</v>
      </c>
      <c r="L127" s="8" t="s">
        <v>1591</v>
      </c>
      <c r="M127" s="8" t="s">
        <v>494</v>
      </c>
      <c r="N127" s="9">
        <v>3</v>
      </c>
      <c r="P127" s="8" t="str">
        <f t="shared" si="9"/>
        <v/>
      </c>
      <c r="Q127" s="8" t="str">
        <f>IF(AND(VLOOKUP(M127,查询!$C$8:$E$15,3,FALSE)="启用",$B$1=N127),L127,"")</f>
        <v/>
      </c>
      <c r="R127" s="6" t="str">
        <f t="array" ref="R127">INDEX(P:P,SMALL(IF(P$1:P$500&lt;&gt;"",ROW($1:$500),1000),ROW(P127)))&amp;""</f>
        <v/>
      </c>
      <c r="S127" s="6" t="str">
        <f t="array" ref="S127">INDEX(Q:Q,SMALL(IF(Q$1:Q$500&lt;&gt;"",ROW($1:$500),1000),ROW(Q127)))&amp;""</f>
        <v/>
      </c>
      <c r="X127" s="6"/>
      <c r="AB127" s="6" t="str">
        <f t="array" ref="AB127">INDEX(Z:Z,SMALL(IF(Z$1:Z$500&lt;&gt;"",ROW($1:$500),1000),ROW(Z127)))&amp;""</f>
        <v/>
      </c>
      <c r="AC127" s="6" t="str">
        <f t="array" ref="AC127">INDEX(AA:AA,SMALL(IF(AA$1:AA$500&lt;&gt;"",ROW($1:$500),1000),ROW(AA127)))&amp;""</f>
        <v/>
      </c>
      <c r="AH127" s="6"/>
      <c r="AL127" s="6" t="str">
        <f t="array" ref="AL127">INDEX(AJ:AJ,SMALL(IF(AJ$1:AJ$500&lt;&gt;"",ROW($1:$500),1000),ROW(AJ127)))&amp;""</f>
        <v/>
      </c>
      <c r="AM127" s="6" t="str">
        <f t="array" ref="AM127">INDEX(AK:AK,SMALL(IF(AK$1:AK$500&lt;&gt;"",ROW($1:$500),1000),ROW(AK127)))&amp;""</f>
        <v/>
      </c>
      <c r="AV127" s="6" t="str">
        <f t="array" ref="AV127">INDEX(AT:AT,SMALL(IF(AT$1:AT$500&lt;&gt;"",ROW($1:$500),1000),ROW(AT127)))&amp;""</f>
        <v/>
      </c>
      <c r="AW127" s="6" t="str">
        <f t="array" ref="AW127">INDEX(AU:AU,SMALL(IF(AU$1:AU$500&lt;&gt;"",ROW($1:$500),1000),ROW(AU127)))&amp;""</f>
        <v/>
      </c>
      <c r="BF127" s="6" t="str">
        <f t="array" ref="BF127">INDEX(BD:BD,SMALL(IF(BD$1:BD$500&lt;&gt;"",ROW($1:$500),1000),ROW(BD127)))&amp;""</f>
        <v/>
      </c>
      <c r="BG127" s="6" t="str">
        <f t="array" ref="BG127">INDEX(BE:BE,SMALL(IF(BE$1:BE$500&lt;&gt;"",ROW($1:$500),1000),ROW(BE127)))&amp;""</f>
        <v/>
      </c>
      <c r="BI127" s="8" t="s">
        <v>3052</v>
      </c>
      <c r="BJ127" s="8" t="s">
        <v>1596</v>
      </c>
      <c r="BK127" s="8" t="s">
        <v>494</v>
      </c>
      <c r="BL127" s="9">
        <v>5</v>
      </c>
      <c r="BN127" s="8" t="str">
        <f t="shared" si="12"/>
        <v/>
      </c>
      <c r="BO127" s="8" t="str">
        <f>IF(AND(VLOOKUP(BK127,查询!$C$8:$E$15,3,FALSE)="启用",$B$1=BL127),BJ127,"")</f>
        <v/>
      </c>
      <c r="BP127" s="6" t="str">
        <f t="array" ref="BP127">INDEX(BN:BN,SMALL(IF(BN$1:BN$500&lt;&gt;"",ROW($1:$500),1000),ROW(BN127)))&amp;""</f>
        <v/>
      </c>
      <c r="BQ127" s="6" t="str">
        <f t="array" ref="BQ127">INDEX(BO:BO,SMALL(IF(BO$1:BO$500&lt;&gt;"",ROW($1:$500),1000),ROW(BO127)))&amp;""</f>
        <v/>
      </c>
      <c r="BS127" s="8" t="s">
        <v>3347</v>
      </c>
      <c r="BT127" s="8" t="s">
        <v>1544</v>
      </c>
      <c r="BU127" s="8" t="s">
        <v>494</v>
      </c>
      <c r="BV127" s="9">
        <v>7</v>
      </c>
      <c r="BX127" s="8" t="str">
        <f t="shared" si="13"/>
        <v/>
      </c>
      <c r="BY127" s="8" t="str">
        <f>IF(AND(VLOOKUP(BU127,查询!$C$8:$E$15,3,FALSE)="启用",$B$1=BV127),BT127,"")</f>
        <v/>
      </c>
      <c r="BZ127" s="6" t="str">
        <f t="array" ref="BZ127">INDEX(BX:BX,SMALL(IF(BX$1:BX$500&lt;&gt;"",ROW($1:$500),1000),ROW(BX127)))&amp;""</f>
        <v/>
      </c>
      <c r="CA127" s="6" t="str">
        <f t="array" ref="CA127">INDEX(BY:BY,SMALL(IF(BY$1:BY$500&lt;&gt;"",ROW($1:$500),1000),ROW(BY127)))&amp;""</f>
        <v/>
      </c>
    </row>
    <row r="128" spans="1:79">
      <c r="A128" s="8" t="s">
        <v>2471</v>
      </c>
      <c r="B128" s="8" t="s">
        <v>643</v>
      </c>
      <c r="C128" s="8" t="s">
        <v>494</v>
      </c>
      <c r="D128" s="9">
        <v>2</v>
      </c>
      <c r="F128" s="8" t="str">
        <f t="shared" si="8"/>
        <v>Darkvision</v>
      </c>
      <c r="G128" s="8" t="str">
        <f>IF(AND(VLOOKUP(C128,查询!$C$8:$E$15,3,FALSE)="启用",$B$1=D128),B128,"")</f>
        <v>黑暗视觉</v>
      </c>
      <c r="H128" s="6" t="str">
        <f t="array" ref="H128">INDEX(F:F,SMALL(IF($F$1:$F$500&lt;&gt;"",ROW($1:$500),1000),ROW(F128)))&amp;""</f>
        <v/>
      </c>
      <c r="I128" s="6" t="str">
        <f t="array" ref="I128">INDEX(G:G,SMALL(IF($F$1:$F$500&lt;&gt;"",ROW($1:$500),1000),ROW(G128)))&amp;""</f>
        <v/>
      </c>
      <c r="K128" s="8" t="s">
        <v>2712</v>
      </c>
      <c r="L128" s="8" t="s">
        <v>1597</v>
      </c>
      <c r="M128" s="8" t="s">
        <v>494</v>
      </c>
      <c r="N128" s="9">
        <v>3</v>
      </c>
      <c r="P128" s="8" t="str">
        <f t="shared" si="9"/>
        <v/>
      </c>
      <c r="Q128" s="8" t="str">
        <f>IF(AND(VLOOKUP(M128,查询!$C$8:$E$15,3,FALSE)="启用",$B$1=N128),L128,"")</f>
        <v/>
      </c>
      <c r="R128" s="6" t="str">
        <f t="array" ref="R128">INDEX(P:P,SMALL(IF(P$1:P$500&lt;&gt;"",ROW($1:$500),1000),ROW(P128)))&amp;""</f>
        <v/>
      </c>
      <c r="S128" s="6" t="str">
        <f t="array" ref="S128">INDEX(Q:Q,SMALL(IF(Q$1:Q$500&lt;&gt;"",ROW($1:$500),1000),ROW(Q128)))&amp;""</f>
        <v/>
      </c>
      <c r="X128" s="6"/>
      <c r="AB128" s="6" t="str">
        <f t="array" ref="AB128">INDEX(Z:Z,SMALL(IF(Z$1:Z$500&lt;&gt;"",ROW($1:$500),1000),ROW(Z128)))&amp;""</f>
        <v/>
      </c>
      <c r="AC128" s="6" t="str">
        <f t="array" ref="AC128">INDEX(AA:AA,SMALL(IF(AA$1:AA$500&lt;&gt;"",ROW($1:$500),1000),ROW(AA128)))&amp;""</f>
        <v/>
      </c>
      <c r="AH128" s="6"/>
      <c r="AL128" s="6" t="str">
        <f t="array" ref="AL128">INDEX(AJ:AJ,SMALL(IF(AJ$1:AJ$500&lt;&gt;"",ROW($1:$500),1000),ROW(AJ128)))&amp;""</f>
        <v/>
      </c>
      <c r="AM128" s="6" t="str">
        <f t="array" ref="AM128">INDEX(AK:AK,SMALL(IF(AK$1:AK$500&lt;&gt;"",ROW($1:$500),1000),ROW(AK128)))&amp;""</f>
        <v/>
      </c>
      <c r="AV128" s="6" t="str">
        <f t="array" ref="AV128">INDEX(AT:AT,SMALL(IF(AT$1:AT$500&lt;&gt;"",ROW($1:$500),1000),ROW(AT128)))&amp;""</f>
        <v/>
      </c>
      <c r="AW128" s="6" t="str">
        <f t="array" ref="AW128">INDEX(AU:AU,SMALL(IF(AU$1:AU$500&lt;&gt;"",ROW($1:$500),1000),ROW(AU128)))&amp;""</f>
        <v/>
      </c>
      <c r="BF128" s="6" t="str">
        <f t="array" ref="BF128">INDEX(BD:BD,SMALL(IF(BD$1:BD$500&lt;&gt;"",ROW($1:$500),1000),ROW(BD128)))&amp;""</f>
        <v/>
      </c>
      <c r="BG128" s="6" t="str">
        <f t="array" ref="BG128">INDEX(BE:BE,SMALL(IF(BE$1:BE$500&lt;&gt;"",ROW($1:$500),1000),ROW(BE128)))&amp;""</f>
        <v/>
      </c>
      <c r="BI128" s="8" t="s">
        <v>3057</v>
      </c>
      <c r="BJ128" s="8" t="s">
        <v>1604</v>
      </c>
      <c r="BK128" s="8" t="s">
        <v>494</v>
      </c>
      <c r="BL128" s="9">
        <v>5</v>
      </c>
      <c r="BN128" s="8" t="str">
        <f t="shared" si="12"/>
        <v/>
      </c>
      <c r="BO128" s="8" t="str">
        <f>IF(AND(VLOOKUP(BK128,查询!$C$8:$E$15,3,FALSE)="启用",$B$1=BL128),BJ128,"")</f>
        <v/>
      </c>
      <c r="BP128" s="6" t="str">
        <f t="array" ref="BP128">INDEX(BN:BN,SMALL(IF(BN$1:BN$500&lt;&gt;"",ROW($1:$500),1000),ROW(BN128)))&amp;""</f>
        <v/>
      </c>
      <c r="BQ128" s="6" t="str">
        <f t="array" ref="BQ128">INDEX(BO:BO,SMALL(IF(BO$1:BO$500&lt;&gt;"",ROW($1:$500),1000),ROW(BO128)))&amp;""</f>
        <v/>
      </c>
      <c r="BS128" s="8" t="s">
        <v>3397</v>
      </c>
      <c r="BT128" s="8" t="s">
        <v>1440</v>
      </c>
      <c r="BU128" s="8" t="s">
        <v>494</v>
      </c>
      <c r="BV128" s="9">
        <v>8</v>
      </c>
      <c r="BX128" s="8" t="str">
        <f t="shared" si="13"/>
        <v/>
      </c>
      <c r="BY128" s="8" t="str">
        <f>IF(AND(VLOOKUP(BU128,查询!$C$8:$E$15,3,FALSE)="启用",$B$1=BV128),BT128,"")</f>
        <v/>
      </c>
      <c r="BZ128" s="6" t="str">
        <f t="array" ref="BZ128">INDEX(BX:BX,SMALL(IF(BX$1:BX$500&lt;&gt;"",ROW($1:$500),1000),ROW(BX128)))&amp;""</f>
        <v/>
      </c>
      <c r="CA128" s="6" t="str">
        <f t="array" ref="CA128">INDEX(BY:BY,SMALL(IF(BY$1:BY$500&lt;&gt;"",ROW($1:$500),1000),ROW(BY128)))&amp;""</f>
        <v/>
      </c>
    </row>
    <row r="129" spans="1:79">
      <c r="A129" s="8" t="s">
        <v>2489</v>
      </c>
      <c r="B129" s="8" t="s">
        <v>1693</v>
      </c>
      <c r="C129" s="8" t="s">
        <v>494</v>
      </c>
      <c r="D129" s="9">
        <v>2</v>
      </c>
      <c r="F129" s="8" t="str">
        <f t="shared" si="8"/>
        <v>Gust of Wind</v>
      </c>
      <c r="G129" s="8" t="str">
        <f>IF(AND(VLOOKUP(C129,查询!$C$8:$E$15,3,FALSE)="启用",$B$1=D129),B129,"")</f>
        <v>造风术</v>
      </c>
      <c r="H129" s="6" t="str">
        <f t="array" ref="H129">INDEX(F:F,SMALL(IF($F$1:$F$500&lt;&gt;"",ROW($1:$500),1000),ROW(F129)))&amp;""</f>
        <v/>
      </c>
      <c r="I129" s="6" t="str">
        <f t="array" ref="I129">INDEX(G:G,SMALL(IF($F$1:$F$500&lt;&gt;"",ROW($1:$500),1000),ROW(G129)))&amp;""</f>
        <v/>
      </c>
      <c r="K129" s="8" t="s">
        <v>2547</v>
      </c>
      <c r="L129" s="8" t="s">
        <v>1325</v>
      </c>
      <c r="M129" s="8" t="s">
        <v>1249</v>
      </c>
      <c r="N129" s="9">
        <v>3</v>
      </c>
      <c r="P129" s="8" t="str">
        <f t="shared" si="9"/>
        <v/>
      </c>
      <c r="Q129" s="8" t="str">
        <f>IF(AND(VLOOKUP(M129,查询!$C$8:$E$15,3,FALSE)="启用",$B$1=N129),L129,"")</f>
        <v/>
      </c>
      <c r="R129" s="6" t="str">
        <f t="array" ref="R129">INDEX(P:P,SMALL(IF(P$1:P$500&lt;&gt;"",ROW($1:$500),1000),ROW(P129)))&amp;""</f>
        <v/>
      </c>
      <c r="S129" s="6" t="str">
        <f t="array" ref="S129">INDEX(Q:Q,SMALL(IF(Q$1:Q$500&lt;&gt;"",ROW($1:$500),1000),ROW(Q129)))&amp;""</f>
        <v/>
      </c>
      <c r="X129" s="6"/>
      <c r="AB129" s="6" t="str">
        <f t="array" ref="AB129">INDEX(Z:Z,SMALL(IF(Z$1:Z$500&lt;&gt;"",ROW($1:$500),1000),ROW(Z129)))&amp;""</f>
        <v/>
      </c>
      <c r="AC129" s="6" t="str">
        <f t="array" ref="AC129">INDEX(AA:AA,SMALL(IF(AA$1:AA$500&lt;&gt;"",ROW($1:$500),1000),ROW(AA129)))&amp;""</f>
        <v/>
      </c>
      <c r="AH129" s="6"/>
      <c r="AL129" s="6" t="str">
        <f t="array" ref="AL129">INDEX(AJ:AJ,SMALL(IF(AJ$1:AJ$500&lt;&gt;"",ROW($1:$500),1000),ROW(AJ129)))&amp;""</f>
        <v/>
      </c>
      <c r="AM129" s="6" t="str">
        <f t="array" ref="AM129">INDEX(AK:AK,SMALL(IF(AK$1:AK$500&lt;&gt;"",ROW($1:$500),1000),ROW(AK129)))&amp;""</f>
        <v/>
      </c>
      <c r="AV129" s="6" t="str">
        <f t="array" ref="AV129">INDEX(AT:AT,SMALL(IF(AT$1:AT$500&lt;&gt;"",ROW($1:$500),1000),ROW(AT129)))&amp;""</f>
        <v/>
      </c>
      <c r="AW129" s="6" t="str">
        <f t="array" ref="AW129">INDEX(AU:AU,SMALL(IF(AU$1:AU$500&lt;&gt;"",ROW($1:$500),1000),ROW(AU129)))&amp;""</f>
        <v/>
      </c>
      <c r="BF129" s="6" t="str">
        <f t="array" ref="BF129">INDEX(BD:BD,SMALL(IF(BD$1:BD$500&lt;&gt;"",ROW($1:$500),1000),ROW(BD129)))&amp;""</f>
        <v/>
      </c>
      <c r="BG129" s="6" t="str">
        <f t="array" ref="BG129">INDEX(BE:BE,SMALL(IF(BE$1:BE$500&lt;&gt;"",ROW($1:$500),1000),ROW(BE129)))&amp;""</f>
        <v/>
      </c>
      <c r="BI129" s="8" t="s">
        <v>2954</v>
      </c>
      <c r="BJ129" s="8" t="s">
        <v>1330</v>
      </c>
      <c r="BK129" s="8" t="s">
        <v>1249</v>
      </c>
      <c r="BL129" s="9">
        <v>5</v>
      </c>
      <c r="BN129" s="8" t="str">
        <f t="shared" si="12"/>
        <v/>
      </c>
      <c r="BO129" s="8" t="str">
        <f>IF(AND(VLOOKUP(BK129,查询!$C$8:$E$15,3,FALSE)="启用",$B$1=BL129),BJ129,"")</f>
        <v/>
      </c>
      <c r="BP129" s="6" t="str">
        <f t="array" ref="BP129">INDEX(BN:BN,SMALL(IF(BN$1:BN$500&lt;&gt;"",ROW($1:$500),1000),ROW(BN129)))&amp;""</f>
        <v/>
      </c>
      <c r="BQ129" s="6" t="str">
        <f t="array" ref="BQ129">INDEX(BO:BO,SMALL(IF(BO$1:BO$500&lt;&gt;"",ROW($1:$500),1000),ROW(BO129)))&amp;""</f>
        <v/>
      </c>
      <c r="BS129" s="8" t="s">
        <v>3400</v>
      </c>
      <c r="BT129" s="8" t="s">
        <v>1446</v>
      </c>
      <c r="BU129" s="8" t="s">
        <v>494</v>
      </c>
      <c r="BV129" s="9">
        <v>8</v>
      </c>
      <c r="BX129" s="8" t="str">
        <f t="shared" si="13"/>
        <v/>
      </c>
      <c r="BY129" s="8" t="str">
        <f>IF(AND(VLOOKUP(BU129,查询!$C$8:$E$15,3,FALSE)="启用",$B$1=BV129),BT129,"")</f>
        <v/>
      </c>
      <c r="BZ129" s="6" t="str">
        <f t="array" ref="BZ129">INDEX(BX:BX,SMALL(IF(BX$1:BX$500&lt;&gt;"",ROW($1:$500),1000),ROW(BX129)))&amp;""</f>
        <v/>
      </c>
      <c r="CA129" s="6" t="str">
        <f t="array" ref="CA129">INDEX(BY:BY,SMALL(IF(BY$1:BY$500&lt;&gt;"",ROW($1:$500),1000),ROW(BY129)))&amp;""</f>
        <v/>
      </c>
    </row>
    <row r="130" spans="1:79">
      <c r="A130" s="8" t="s">
        <v>2566</v>
      </c>
      <c r="B130" s="8" t="s">
        <v>1377</v>
      </c>
      <c r="C130" s="8" t="s">
        <v>494</v>
      </c>
      <c r="D130" s="9">
        <v>3</v>
      </c>
      <c r="F130" s="8" t="str">
        <f t="shared" ref="F130:F193" si="14">IF(G130="","",A130)</f>
        <v/>
      </c>
      <c r="G130" s="8" t="str">
        <f>IF(AND(VLOOKUP(C130,查询!$C$8:$E$15,3,FALSE)="启用",$B$1=D130),B130,"")</f>
        <v/>
      </c>
      <c r="H130" s="6" t="str">
        <f t="array" ref="H130">INDEX(F:F,SMALL(IF($F$1:$F$500&lt;&gt;"",ROW($1:$500),1000),ROW(F130)))&amp;""</f>
        <v/>
      </c>
      <c r="I130" s="6" t="str">
        <f t="array" ref="I130">INDEX(G:G,SMALL(IF($F$1:$F$500&lt;&gt;"",ROW($1:$500),1000),ROW(G130)))&amp;""</f>
        <v/>
      </c>
      <c r="K130" s="8" t="s">
        <v>2549</v>
      </c>
      <c r="L130" s="8" t="s">
        <v>1742</v>
      </c>
      <c r="M130" s="8" t="s">
        <v>578</v>
      </c>
      <c r="N130" s="9">
        <v>3</v>
      </c>
      <c r="P130" s="8" t="str">
        <f t="shared" ref="P130:P193" si="15">IF(Q130="","",K130)</f>
        <v/>
      </c>
      <c r="Q130" s="8" t="str">
        <f>IF(AND(VLOOKUP(M130,查询!$C$8:$E$15,3,FALSE)="启用",$B$1=N130),L130,"")</f>
        <v/>
      </c>
      <c r="R130" s="6" t="str">
        <f t="array" ref="R130">INDEX(P:P,SMALL(IF(P$1:P$500&lt;&gt;"",ROW($1:$500),1000),ROW(P130)))&amp;""</f>
        <v/>
      </c>
      <c r="S130" s="6" t="str">
        <f t="array" ref="S130">INDEX(Q:Q,SMALL(IF(Q$1:Q$500&lt;&gt;"",ROW($1:$500),1000),ROW(Q130)))&amp;""</f>
        <v/>
      </c>
      <c r="X130" s="6"/>
      <c r="AB130" s="6" t="str">
        <f t="array" ref="AB130">INDEX(Z:Z,SMALL(IF(Z$1:Z$500&lt;&gt;"",ROW($1:$500),1000),ROW(Z130)))&amp;""</f>
        <v/>
      </c>
      <c r="AC130" s="6" t="str">
        <f t="array" ref="AC130">INDEX(AA:AA,SMALL(IF(AA$1:AA$500&lt;&gt;"",ROW($1:$500),1000),ROW(AA130)))&amp;""</f>
        <v/>
      </c>
      <c r="AH130" s="6"/>
      <c r="AL130" s="6" t="str">
        <f t="array" ref="AL130">INDEX(AJ:AJ,SMALL(IF(AJ$1:AJ$500&lt;&gt;"",ROW($1:$500),1000),ROW(AJ130)))&amp;""</f>
        <v/>
      </c>
      <c r="AM130" s="6" t="str">
        <f t="array" ref="AM130">INDEX(AK:AK,SMALL(IF(AK$1:AK$500&lt;&gt;"",ROW($1:$500),1000),ROW(AK130)))&amp;""</f>
        <v/>
      </c>
      <c r="AV130" s="6" t="str">
        <f t="array" ref="AV130">INDEX(AT:AT,SMALL(IF(AT$1:AT$500&lt;&gt;"",ROW($1:$500),1000),ROW(AT130)))&amp;""</f>
        <v/>
      </c>
      <c r="AW130" s="6" t="str">
        <f t="array" ref="AW130">INDEX(AU:AU,SMALL(IF(AU$1:AU$500&lt;&gt;"",ROW($1:$500),1000),ROW(AU130)))&amp;""</f>
        <v/>
      </c>
      <c r="BF130" s="6" t="str">
        <f t="array" ref="BF130">INDEX(BD:BD,SMALL(IF(BD$1:BD$500&lt;&gt;"",ROW($1:$500),1000),ROW(BD130)))&amp;""</f>
        <v/>
      </c>
      <c r="BG130" s="6" t="str">
        <f t="array" ref="BG130">INDEX(BE:BE,SMALL(IF(BE$1:BE$500&lt;&gt;"",ROW($1:$500),1000),ROW(BE130)))&amp;""</f>
        <v/>
      </c>
      <c r="BI130" s="8" t="s">
        <v>3137</v>
      </c>
      <c r="BJ130" s="8" t="s">
        <v>1736</v>
      </c>
      <c r="BK130" s="8" t="s">
        <v>578</v>
      </c>
      <c r="BL130" s="9">
        <v>5</v>
      </c>
      <c r="BN130" s="8" t="str">
        <f t="shared" ref="BN130:BN181" si="16">IF(BO130="","",BI130)</f>
        <v/>
      </c>
      <c r="BO130" s="8" t="str">
        <f>IF(AND(VLOOKUP(BK130,查询!$C$8:$E$15,3,FALSE)="启用",$B$1=BL130),BJ130,"")</f>
        <v/>
      </c>
      <c r="BP130" s="6" t="str">
        <f t="array" ref="BP130">INDEX(BN:BN,SMALL(IF(BN$1:BN$500&lt;&gt;"",ROW($1:$500),1000),ROW(BN130)))&amp;""</f>
        <v/>
      </c>
      <c r="BQ130" s="6" t="str">
        <f t="array" ref="BQ130">INDEX(BO:BO,SMALL(IF(BO$1:BO$500&lt;&gt;"",ROW($1:$500),1000),ROW(BO130)))&amp;""</f>
        <v/>
      </c>
      <c r="BS130" s="8" t="s">
        <v>3403</v>
      </c>
      <c r="BT130" s="8" t="s">
        <v>1458</v>
      </c>
      <c r="BU130" s="8" t="s">
        <v>494</v>
      </c>
      <c r="BV130" s="9">
        <v>8</v>
      </c>
      <c r="BX130" s="8" t="str">
        <f t="shared" ref="BX130:BX137" si="17">IF(BY130="","",BS130)</f>
        <v/>
      </c>
      <c r="BY130" s="8" t="str">
        <f>IF(AND(VLOOKUP(BU130,查询!$C$8:$E$15,3,FALSE)="启用",$B$1=BV130),BT130,"")</f>
        <v/>
      </c>
      <c r="BZ130" s="6" t="str">
        <f t="array" ref="BZ130">INDEX(BX:BX,SMALL(IF(BX$1:BX$500&lt;&gt;"",ROW($1:$500),1000),ROW(BX130)))&amp;""</f>
        <v/>
      </c>
      <c r="CA130" s="6" t="str">
        <f t="array" ref="CA130">INDEX(BY:BY,SMALL(IF(BY$1:BY$500&lt;&gt;"",ROW($1:$500),1000),ROW(BY130)))&amp;""</f>
        <v/>
      </c>
    </row>
    <row r="131" spans="1:79">
      <c r="A131" s="8" t="s">
        <v>2517</v>
      </c>
      <c r="B131" s="8" t="s">
        <v>1277</v>
      </c>
      <c r="C131" s="8" t="s">
        <v>1249</v>
      </c>
      <c r="D131" s="9">
        <v>3</v>
      </c>
      <c r="F131" s="8" t="str">
        <f t="shared" si="14"/>
        <v/>
      </c>
      <c r="G131" s="8" t="str">
        <f>IF(AND(VLOOKUP(C131,查询!$C$8:$E$15,3,FALSE)="启用",$B$1=D131),B131,"")</f>
        <v/>
      </c>
      <c r="H131" s="6" t="str">
        <f t="array" ref="H131">INDEX(F:F,SMALL(IF($F$1:$F$500&lt;&gt;"",ROW($1:$500),1000),ROW(F131)))&amp;""</f>
        <v/>
      </c>
      <c r="I131" s="6" t="str">
        <f t="array" ref="I131">INDEX(G:G,SMALL(IF($F$1:$F$500&lt;&gt;"",ROW($1:$500),1000),ROW(G131)))&amp;""</f>
        <v/>
      </c>
      <c r="K131" s="8" t="s">
        <v>2549</v>
      </c>
      <c r="L131" s="8" t="s">
        <v>1341</v>
      </c>
      <c r="M131" s="8" t="s">
        <v>1249</v>
      </c>
      <c r="N131" s="9">
        <v>3</v>
      </c>
      <c r="P131" s="8" t="str">
        <f t="shared" si="15"/>
        <v/>
      </c>
      <c r="Q131" s="8" t="str">
        <f>IF(AND(VLOOKUP(M131,查询!$C$8:$E$15,3,FALSE)="启用",$B$1=N131),L131,"")</f>
        <v/>
      </c>
      <c r="R131" s="6" t="str">
        <f t="array" ref="R131">INDEX(P:P,SMALL(IF(P$1:P$500&lt;&gt;"",ROW($1:$500),1000),ROW(P131)))&amp;""</f>
        <v/>
      </c>
      <c r="S131" s="6" t="str">
        <f t="array" ref="S131">INDEX(Q:Q,SMALL(IF(Q$1:Q$500&lt;&gt;"",ROW($1:$500),1000),ROW(Q131)))&amp;""</f>
        <v/>
      </c>
      <c r="X131" s="6"/>
      <c r="AB131" s="6" t="str">
        <f t="array" ref="AB131">INDEX(Z:Z,SMALL(IF(Z$1:Z$500&lt;&gt;"",ROW($1:$500),1000),ROW(Z131)))&amp;""</f>
        <v/>
      </c>
      <c r="AC131" s="6" t="str">
        <f t="array" ref="AC131">INDEX(AA:AA,SMALL(IF(AA$1:AA$500&lt;&gt;"",ROW($1:$500),1000),ROW(AA131)))&amp;""</f>
        <v/>
      </c>
      <c r="AH131" s="6"/>
      <c r="AL131" s="6" t="str">
        <f t="array" ref="AL131">INDEX(AJ:AJ,SMALL(IF(AJ$1:AJ$500&lt;&gt;"",ROW($1:$500),1000),ROW(AJ131)))&amp;""</f>
        <v/>
      </c>
      <c r="AM131" s="6" t="str">
        <f t="array" ref="AM131">INDEX(AK:AK,SMALL(IF(AK$1:AK$500&lt;&gt;"",ROW($1:$500),1000),ROW(AK131)))&amp;""</f>
        <v/>
      </c>
      <c r="AV131" s="6" t="str">
        <f t="array" ref="AV131">INDEX(AT:AT,SMALL(IF(AT$1:AT$500&lt;&gt;"",ROW($1:$500),1000),ROW(AT131)))&amp;""</f>
        <v/>
      </c>
      <c r="AW131" s="6" t="str">
        <f t="array" ref="AW131">INDEX(AU:AU,SMALL(IF(AU$1:AU$500&lt;&gt;"",ROW($1:$500),1000),ROW(AU131)))&amp;""</f>
        <v/>
      </c>
      <c r="BF131" s="6" t="str">
        <f t="array" ref="BF131">INDEX(BD:BD,SMALL(IF(BD$1:BD$500&lt;&gt;"",ROW($1:$500),1000),ROW(BD131)))&amp;""</f>
        <v/>
      </c>
      <c r="BG131" s="6" t="str">
        <f t="array" ref="BG131">INDEX(BE:BE,SMALL(IF(BE$1:BE$500&lt;&gt;"",ROW($1:$500),1000),ROW(BE131)))&amp;""</f>
        <v/>
      </c>
      <c r="BI131" s="8" t="s">
        <v>2956</v>
      </c>
      <c r="BJ131" s="8" t="s">
        <v>1740</v>
      </c>
      <c r="BK131" s="8" t="s">
        <v>578</v>
      </c>
      <c r="BL131" s="9">
        <v>5</v>
      </c>
      <c r="BN131" s="8" t="str">
        <f t="shared" si="16"/>
        <v/>
      </c>
      <c r="BO131" s="8" t="str">
        <f>IF(AND(VLOOKUP(BK131,查询!$C$8:$E$15,3,FALSE)="启用",$B$1=BL131),BJ131,"")</f>
        <v/>
      </c>
      <c r="BP131" s="6" t="str">
        <f t="array" ref="BP131">INDEX(BN:BN,SMALL(IF(BN$1:BN$500&lt;&gt;"",ROW($1:$500),1000),ROW(BN131)))&amp;""</f>
        <v/>
      </c>
      <c r="BQ131" s="6" t="str">
        <f t="array" ref="BQ131">INDEX(BO:BO,SMALL(IF(BO$1:BO$500&lt;&gt;"",ROW($1:$500),1000),ROW(BO131)))&amp;""</f>
        <v/>
      </c>
      <c r="BS131" s="8" t="s">
        <v>3405</v>
      </c>
      <c r="BT131" s="8" t="s">
        <v>1521</v>
      </c>
      <c r="BU131" s="8" t="s">
        <v>494</v>
      </c>
      <c r="BV131" s="9">
        <v>8</v>
      </c>
      <c r="BX131" s="8" t="str">
        <f t="shared" si="17"/>
        <v/>
      </c>
      <c r="BY131" s="8" t="str">
        <f>IF(AND(VLOOKUP(BU131,查询!$C$8:$E$15,3,FALSE)="启用",$B$1=BV131),BT131,"")</f>
        <v/>
      </c>
      <c r="BZ131" s="6" t="str">
        <f t="array" ref="BZ131">INDEX(BX:BX,SMALL(IF(BX$1:BX$500&lt;&gt;"",ROW($1:$500),1000),ROW(BX131)))&amp;""</f>
        <v/>
      </c>
      <c r="CA131" s="6" t="str">
        <f t="array" ref="CA131">INDEX(BY:BY,SMALL(IF(BY$1:BY$500&lt;&gt;"",ROW($1:$500),1000),ROW(BY131)))&amp;""</f>
        <v/>
      </c>
    </row>
    <row r="132" spans="1:79">
      <c r="A132" s="8" t="s">
        <v>2520</v>
      </c>
      <c r="B132" s="8" t="s">
        <v>1285</v>
      </c>
      <c r="C132" s="8" t="s">
        <v>578</v>
      </c>
      <c r="D132" s="9">
        <v>3</v>
      </c>
      <c r="F132" s="8" t="str">
        <f t="shared" si="14"/>
        <v/>
      </c>
      <c r="G132" s="8" t="str">
        <f>IF(AND(VLOOKUP(C132,查询!$C$8:$E$15,3,FALSE)="启用",$B$1=D132),B132,"")</f>
        <v/>
      </c>
      <c r="H132" s="6" t="str">
        <f t="array" ref="H132">INDEX(F:F,SMALL(IF($F$1:$F$500&lt;&gt;"",ROW($1:$500),1000),ROW(F132)))&amp;""</f>
        <v/>
      </c>
      <c r="I132" s="6" t="str">
        <f t="array" ref="I132">INDEX(G:G,SMALL(IF($F$1:$F$500&lt;&gt;"",ROW($1:$500),1000),ROW(G132)))&amp;""</f>
        <v/>
      </c>
      <c r="K132" s="8" t="s">
        <v>2553</v>
      </c>
      <c r="L132" s="8" t="s">
        <v>1747</v>
      </c>
      <c r="M132" s="8" t="s">
        <v>578</v>
      </c>
      <c r="N132" s="9">
        <v>3</v>
      </c>
      <c r="P132" s="8" t="str">
        <f t="shared" si="15"/>
        <v/>
      </c>
      <c r="Q132" s="8" t="str">
        <f>IF(AND(VLOOKUP(M132,查询!$C$8:$E$15,3,FALSE)="启用",$B$1=N132),L132,"")</f>
        <v/>
      </c>
      <c r="R132" s="6" t="str">
        <f t="array" ref="R132">INDEX(P:P,SMALL(IF(P$1:P$500&lt;&gt;"",ROW($1:$500),1000),ROW(P132)))&amp;""</f>
        <v/>
      </c>
      <c r="S132" s="6" t="str">
        <f t="array" ref="S132">INDEX(Q:Q,SMALL(IF(Q$1:Q$500&lt;&gt;"",ROW($1:$500),1000),ROW(Q132)))&amp;""</f>
        <v/>
      </c>
      <c r="X132" s="6"/>
      <c r="AB132" s="6" t="str">
        <f t="array" ref="AB132">INDEX(Z:Z,SMALL(IF(Z$1:Z$500&lt;&gt;"",ROW($1:$500),1000),ROW(Z132)))&amp;""</f>
        <v/>
      </c>
      <c r="AC132" s="6" t="str">
        <f t="array" ref="AC132">INDEX(AA:AA,SMALL(IF(AA$1:AA$500&lt;&gt;"",ROW($1:$500),1000),ROW(AA132)))&amp;""</f>
        <v/>
      </c>
      <c r="AH132" s="6"/>
      <c r="AL132" s="6" t="str">
        <f t="array" ref="AL132">INDEX(AJ:AJ,SMALL(IF(AJ$1:AJ$500&lt;&gt;"",ROW($1:$500),1000),ROW(AJ132)))&amp;""</f>
        <v/>
      </c>
      <c r="AM132" s="6" t="str">
        <f t="array" ref="AM132">INDEX(AK:AK,SMALL(IF(AK$1:AK$500&lt;&gt;"",ROW($1:$500),1000),ROW(AK132)))&amp;""</f>
        <v/>
      </c>
      <c r="AV132" s="6" t="str">
        <f t="array" ref="AV132">INDEX(AT:AT,SMALL(IF(AT$1:AT$500&lt;&gt;"",ROW($1:$500),1000),ROW(AT132)))&amp;""</f>
        <v/>
      </c>
      <c r="AW132" s="6" t="str">
        <f t="array" ref="AW132">INDEX(AU:AU,SMALL(IF(AU$1:AU$500&lt;&gt;"",ROW($1:$500),1000),ROW(AU132)))&amp;""</f>
        <v/>
      </c>
      <c r="BF132" s="6" t="str">
        <f t="array" ref="BF132">INDEX(BD:BD,SMALL(IF(BD$1:BD$500&lt;&gt;"",ROW($1:$500),1000),ROW(BD132)))&amp;""</f>
        <v/>
      </c>
      <c r="BG132" s="6" t="str">
        <f t="array" ref="BG132">INDEX(BE:BE,SMALL(IF(BE$1:BE$500&lt;&gt;"",ROW($1:$500),1000),ROW(BE132)))&amp;""</f>
        <v/>
      </c>
      <c r="BI132" s="8" t="s">
        <v>2956</v>
      </c>
      <c r="BJ132" s="8" t="s">
        <v>1339</v>
      </c>
      <c r="BK132" s="8" t="s">
        <v>1249</v>
      </c>
      <c r="BL132" s="9">
        <v>5</v>
      </c>
      <c r="BN132" s="8" t="str">
        <f t="shared" si="16"/>
        <v/>
      </c>
      <c r="BO132" s="8" t="str">
        <f>IF(AND(VLOOKUP(BK132,查询!$C$8:$E$15,3,FALSE)="启用",$B$1=BL132),BJ132,"")</f>
        <v/>
      </c>
      <c r="BP132" s="6" t="str">
        <f t="array" ref="BP132">INDEX(BN:BN,SMALL(IF(BN$1:BN$500&lt;&gt;"",ROW($1:$500),1000),ROW(BN132)))&amp;""</f>
        <v/>
      </c>
      <c r="BQ132" s="6" t="str">
        <f t="array" ref="BQ132">INDEX(BO:BO,SMALL(IF(BO$1:BO$500&lt;&gt;"",ROW($1:$500),1000),ROW(BO132)))&amp;""</f>
        <v/>
      </c>
      <c r="BS132" s="8" t="s">
        <v>3408</v>
      </c>
      <c r="BT132" s="8" t="s">
        <v>1537</v>
      </c>
      <c r="BU132" s="8" t="s">
        <v>494</v>
      </c>
      <c r="BV132" s="9">
        <v>8</v>
      </c>
      <c r="BX132" s="8" t="str">
        <f t="shared" si="17"/>
        <v/>
      </c>
      <c r="BY132" s="8" t="str">
        <f>IF(AND(VLOOKUP(BU132,查询!$C$8:$E$15,3,FALSE)="启用",$B$1=BV132),BT132,"")</f>
        <v/>
      </c>
      <c r="BZ132" s="6" t="str">
        <f t="array" ref="BZ132">INDEX(BX:BX,SMALL(IF(BX$1:BX$500&lt;&gt;"",ROW($1:$500),1000),ROW(BX132)))&amp;""</f>
        <v/>
      </c>
      <c r="CA132" s="6" t="str">
        <f t="array" ref="CA132">INDEX(BY:BY,SMALL(IF(BY$1:BY$500&lt;&gt;"",ROW($1:$500),1000),ROW(BY132)))&amp;""</f>
        <v/>
      </c>
    </row>
    <row r="133" spans="1:79">
      <c r="A133" s="8" t="s">
        <v>2520</v>
      </c>
      <c r="B133" s="8" t="s">
        <v>1285</v>
      </c>
      <c r="C133" s="8" t="s">
        <v>1249</v>
      </c>
      <c r="D133" s="9">
        <v>3</v>
      </c>
      <c r="F133" s="8" t="str">
        <f t="shared" si="14"/>
        <v/>
      </c>
      <c r="G133" s="8" t="str">
        <f>IF(AND(VLOOKUP(C133,查询!$C$8:$E$15,3,FALSE)="启用",$B$1=D133),B133,"")</f>
        <v/>
      </c>
      <c r="H133" s="6" t="str">
        <f t="array" ref="H133">INDEX(F:F,SMALL(IF($F$1:$F$500&lt;&gt;"",ROW($1:$500),1000),ROW(F133)))&amp;""</f>
        <v/>
      </c>
      <c r="I133" s="6" t="str">
        <f t="array" ref="I133">INDEX(G:G,SMALL(IF($F$1:$F$500&lt;&gt;"",ROW($1:$500),1000),ROW(G133)))&amp;""</f>
        <v/>
      </c>
      <c r="K133" s="8" t="s">
        <v>2553</v>
      </c>
      <c r="L133" s="8" t="s">
        <v>1346</v>
      </c>
      <c r="M133" s="8" t="s">
        <v>1249</v>
      </c>
      <c r="N133" s="9">
        <v>3</v>
      </c>
      <c r="P133" s="8" t="str">
        <f t="shared" si="15"/>
        <v/>
      </c>
      <c r="Q133" s="8" t="str">
        <f>IF(AND(VLOOKUP(M133,查询!$C$8:$E$15,3,FALSE)="启用",$B$1=N133),L133,"")</f>
        <v/>
      </c>
      <c r="R133" s="6" t="str">
        <f t="array" ref="R133">INDEX(P:P,SMALL(IF(P$1:P$500&lt;&gt;"",ROW($1:$500),1000),ROW(P133)))&amp;""</f>
        <v/>
      </c>
      <c r="S133" s="6" t="str">
        <f t="array" ref="S133">INDEX(Q:Q,SMALL(IF(Q$1:Q$500&lt;&gt;"",ROW($1:$500),1000),ROW(Q133)))&amp;""</f>
        <v/>
      </c>
      <c r="X133" s="6"/>
      <c r="AB133" s="6" t="str">
        <f t="array" ref="AB133">INDEX(Z:Z,SMALL(IF(Z$1:Z$500&lt;&gt;"",ROW($1:$500),1000),ROW(Z133)))&amp;""</f>
        <v/>
      </c>
      <c r="AC133" s="6" t="str">
        <f t="array" ref="AC133">INDEX(AA:AA,SMALL(IF(AA$1:AA$500&lt;&gt;"",ROW($1:$500),1000),ROW(AA133)))&amp;""</f>
        <v/>
      </c>
      <c r="AH133" s="6"/>
      <c r="AL133" s="6" t="str">
        <f t="array" ref="AL133">INDEX(AJ:AJ,SMALL(IF(AJ$1:AJ$500&lt;&gt;"",ROW($1:$500),1000),ROW(AJ133)))&amp;""</f>
        <v/>
      </c>
      <c r="AM133" s="6" t="str">
        <f t="array" ref="AM133">INDEX(AK:AK,SMALL(IF(AK$1:AK$500&lt;&gt;"",ROW($1:$500),1000),ROW(AK133)))&amp;""</f>
        <v/>
      </c>
      <c r="AV133" s="6" t="str">
        <f t="array" ref="AV133">INDEX(AT:AT,SMALL(IF(AT$1:AT$500&lt;&gt;"",ROW($1:$500),1000),ROW(AT133)))&amp;""</f>
        <v/>
      </c>
      <c r="AW133" s="6" t="str">
        <f t="array" ref="AW133">INDEX(AU:AU,SMALL(IF(AU$1:AU$500&lt;&gt;"",ROW($1:$500),1000),ROW(AU133)))&amp;""</f>
        <v/>
      </c>
      <c r="BF133" s="6" t="str">
        <f t="array" ref="BF133">INDEX(BD:BD,SMALL(IF(BD$1:BD$500&lt;&gt;"",ROW($1:$500),1000),ROW(BD133)))&amp;""</f>
        <v/>
      </c>
      <c r="BG133" s="6" t="str">
        <f t="array" ref="BG133">INDEX(BE:BE,SMALL(IF(BE$1:BE$500&lt;&gt;"",ROW($1:$500),1000),ROW(BE133)))&amp;""</f>
        <v/>
      </c>
      <c r="BI133" s="8" t="s">
        <v>2958</v>
      </c>
      <c r="BJ133" s="8" t="s">
        <v>1752</v>
      </c>
      <c r="BK133" s="8" t="s">
        <v>578</v>
      </c>
      <c r="BL133" s="9">
        <v>5</v>
      </c>
      <c r="BN133" s="8" t="str">
        <f t="shared" si="16"/>
        <v/>
      </c>
      <c r="BO133" s="8" t="str">
        <f>IF(AND(VLOOKUP(BK133,查询!$C$8:$E$15,3,FALSE)="启用",$B$1=BL133),BJ133,"")</f>
        <v/>
      </c>
      <c r="BP133" s="6" t="str">
        <f t="array" ref="BP133">INDEX(BN:BN,SMALL(IF(BN$1:BN$500&lt;&gt;"",ROW($1:$500),1000),ROW(BN133)))&amp;""</f>
        <v/>
      </c>
      <c r="BQ133" s="6" t="str">
        <f t="array" ref="BQ133">INDEX(BO:BO,SMALL(IF(BO$1:BO$500&lt;&gt;"",ROW($1:$500),1000),ROW(BO133)))&amp;""</f>
        <v/>
      </c>
      <c r="BS133" s="8" t="s">
        <v>3460</v>
      </c>
      <c r="BT133" s="8" t="s">
        <v>1293</v>
      </c>
      <c r="BU133" s="8" t="s">
        <v>1249</v>
      </c>
      <c r="BV133" s="9">
        <v>9</v>
      </c>
      <c r="BX133" s="8" t="str">
        <f t="shared" si="17"/>
        <v/>
      </c>
      <c r="BY133" s="8" t="str">
        <f>IF(AND(VLOOKUP(BU133,查询!$C$8:$E$15,3,FALSE)="启用",$B$1=BV133),BT133,"")</f>
        <v/>
      </c>
      <c r="BZ133" s="6" t="str">
        <f t="array" ref="BZ133">INDEX(BX:BX,SMALL(IF(BX$1:BX$500&lt;&gt;"",ROW($1:$500),1000),ROW(BX133)))&amp;""</f>
        <v/>
      </c>
      <c r="CA133" s="6" t="str">
        <f t="array" ref="CA133">INDEX(BY:BY,SMALL(IF(BY$1:BY$500&lt;&gt;"",ROW($1:$500),1000),ROW(BY133)))&amp;""</f>
        <v/>
      </c>
    </row>
    <row r="134" spans="1:79">
      <c r="A134" s="8" t="s">
        <v>2572</v>
      </c>
      <c r="B134" s="8" t="s">
        <v>1389</v>
      </c>
      <c r="C134" s="8" t="s">
        <v>494</v>
      </c>
      <c r="D134" s="9">
        <v>3</v>
      </c>
      <c r="F134" s="8" t="str">
        <f t="shared" si="14"/>
        <v/>
      </c>
      <c r="G134" s="8" t="str">
        <f>IF(AND(VLOOKUP(C134,查询!$C$8:$E$15,3,FALSE)="启用",$B$1=D134),B134,"")</f>
        <v/>
      </c>
      <c r="H134" s="6" t="str">
        <f t="array" ref="H134">INDEX(F:F,SMALL(IF($F$1:$F$500&lt;&gt;"",ROW($1:$500),1000),ROW(F134)))&amp;""</f>
        <v/>
      </c>
      <c r="I134" s="6" t="str">
        <f t="array" ref="I134">INDEX(G:G,SMALL(IF($F$1:$F$500&lt;&gt;"",ROW($1:$500),1000),ROW(G134)))&amp;""</f>
        <v/>
      </c>
      <c r="K134" s="8" t="s">
        <v>2557</v>
      </c>
      <c r="L134" s="8" t="s">
        <v>1748</v>
      </c>
      <c r="M134" s="8" t="s">
        <v>578</v>
      </c>
      <c r="N134" s="9">
        <v>3</v>
      </c>
      <c r="P134" s="8" t="str">
        <f t="shared" si="15"/>
        <v/>
      </c>
      <c r="Q134" s="8" t="str">
        <f>IF(AND(VLOOKUP(M134,查询!$C$8:$E$15,3,FALSE)="启用",$B$1=N134),L134,"")</f>
        <v/>
      </c>
      <c r="R134" s="6" t="str">
        <f t="array" ref="R134">INDEX(P:P,SMALL(IF(P$1:P$500&lt;&gt;"",ROW($1:$500),1000),ROW(P134)))&amp;""</f>
        <v/>
      </c>
      <c r="S134" s="6" t="str">
        <f t="array" ref="S134">INDEX(Q:Q,SMALL(IF(Q$1:Q$500&lt;&gt;"",ROW($1:$500),1000),ROW(Q134)))&amp;""</f>
        <v/>
      </c>
      <c r="X134" s="6"/>
      <c r="AB134" s="6" t="str">
        <f t="array" ref="AB134">INDEX(Z:Z,SMALL(IF(Z$1:Z$500&lt;&gt;"",ROW($1:$500),1000),ROW(Z134)))&amp;""</f>
        <v/>
      </c>
      <c r="AC134" s="6" t="str">
        <f t="array" ref="AC134">INDEX(AA:AA,SMALL(IF(AA$1:AA$500&lt;&gt;"",ROW($1:$500),1000),ROW(AA134)))&amp;""</f>
        <v/>
      </c>
      <c r="AH134" s="6"/>
      <c r="AL134" s="6" t="str">
        <f t="array" ref="AL134">INDEX(AJ:AJ,SMALL(IF(AJ$1:AJ$500&lt;&gt;"",ROW($1:$500),1000),ROW(AJ134)))&amp;""</f>
        <v/>
      </c>
      <c r="AM134" s="6" t="str">
        <f t="array" ref="AM134">INDEX(AK:AK,SMALL(IF(AK$1:AK$500&lt;&gt;"",ROW($1:$500),1000),ROW(AK134)))&amp;""</f>
        <v/>
      </c>
      <c r="AV134" s="6" t="str">
        <f t="array" ref="AV134">INDEX(AT:AT,SMALL(IF(AT$1:AT$500&lt;&gt;"",ROW($1:$500),1000),ROW(AT134)))&amp;""</f>
        <v/>
      </c>
      <c r="AW134" s="6" t="str">
        <f t="array" ref="AW134">INDEX(AU:AU,SMALL(IF(AU$1:AU$500&lt;&gt;"",ROW($1:$500),1000),ROW(AU134)))&amp;""</f>
        <v/>
      </c>
      <c r="BF134" s="6" t="str">
        <f t="array" ref="BF134">INDEX(BD:BD,SMALL(IF(BD$1:BD$500&lt;&gt;"",ROW($1:$500),1000),ROW(BD134)))&amp;""</f>
        <v/>
      </c>
      <c r="BG134" s="6" t="str">
        <f t="array" ref="BG134">INDEX(BE:BE,SMALL(IF(BE$1:BE$500&lt;&gt;"",ROW($1:$500),1000),ROW(BE134)))&amp;""</f>
        <v/>
      </c>
      <c r="BI134" s="8" t="s">
        <v>2958</v>
      </c>
      <c r="BJ134" s="8" t="s">
        <v>1351</v>
      </c>
      <c r="BK134" s="8" t="s">
        <v>1249</v>
      </c>
      <c r="BL134" s="9">
        <v>5</v>
      </c>
      <c r="BN134" s="8" t="str">
        <f t="shared" si="16"/>
        <v/>
      </c>
      <c r="BO134" s="8" t="str">
        <f>IF(AND(VLOOKUP(BK134,查询!$C$8:$E$15,3,FALSE)="启用",$B$1=BL134),BJ134,"")</f>
        <v/>
      </c>
      <c r="BP134" s="6" t="str">
        <f t="array" ref="BP134">INDEX(BN:BN,SMALL(IF(BN$1:BN$500&lt;&gt;"",ROW($1:$500),1000),ROW(BN134)))&amp;""</f>
        <v/>
      </c>
      <c r="BQ134" s="6" t="str">
        <f t="array" ref="BQ134">INDEX(BO:BO,SMALL(IF(BO$1:BO$500&lt;&gt;"",ROW($1:$500),1000),ROW(BO134)))&amp;""</f>
        <v/>
      </c>
      <c r="BS134" s="8" t="s">
        <v>3482</v>
      </c>
      <c r="BT134" s="8" t="s">
        <v>1437</v>
      </c>
      <c r="BU134" s="8" t="s">
        <v>494</v>
      </c>
      <c r="BV134" s="9">
        <v>9</v>
      </c>
      <c r="BX134" s="8" t="str">
        <f t="shared" si="17"/>
        <v/>
      </c>
      <c r="BY134" s="8" t="str">
        <f>IF(AND(VLOOKUP(BU134,查询!$C$8:$E$15,3,FALSE)="启用",$B$1=BV134),BT134,"")</f>
        <v/>
      </c>
      <c r="BZ134" s="6" t="str">
        <f t="array" ref="BZ134">INDEX(BX:BX,SMALL(IF(BX$1:BX$500&lt;&gt;"",ROW($1:$500),1000),ROW(BX134)))&amp;""</f>
        <v/>
      </c>
      <c r="CA134" s="6" t="str">
        <f t="array" ref="CA134">INDEX(BY:BY,SMALL(IF(BY$1:BY$500&lt;&gt;"",ROW($1:$500),1000),ROW(BY134)))&amp;""</f>
        <v/>
      </c>
    </row>
    <row r="135" spans="1:79">
      <c r="A135" s="8" t="s">
        <v>2577</v>
      </c>
      <c r="B135" s="8" t="s">
        <v>1393</v>
      </c>
      <c r="C135" s="8" t="s">
        <v>494</v>
      </c>
      <c r="D135" s="9">
        <v>3</v>
      </c>
      <c r="F135" s="8" t="str">
        <f t="shared" si="14"/>
        <v/>
      </c>
      <c r="G135" s="8" t="str">
        <f>IF(AND(VLOOKUP(C135,查询!$C$8:$E$15,3,FALSE)="启用",$B$1=D135),B135,"")</f>
        <v/>
      </c>
      <c r="H135" s="6" t="str">
        <f t="array" ref="H135">INDEX(F:F,SMALL(IF($F$1:$F$500&lt;&gt;"",ROW($1:$500),1000),ROW(F135)))&amp;""</f>
        <v/>
      </c>
      <c r="I135" s="6" t="str">
        <f t="array" ref="I135">INDEX(G:G,SMALL(IF($F$1:$F$500&lt;&gt;"",ROW($1:$500),1000),ROW(G135)))&amp;""</f>
        <v/>
      </c>
      <c r="K135" s="8" t="s">
        <v>2557</v>
      </c>
      <c r="L135" s="8" t="s">
        <v>1347</v>
      </c>
      <c r="M135" s="8" t="s">
        <v>1249</v>
      </c>
      <c r="N135" s="9">
        <v>3</v>
      </c>
      <c r="P135" s="8" t="str">
        <f t="shared" si="15"/>
        <v/>
      </c>
      <c r="Q135" s="8" t="str">
        <f>IF(AND(VLOOKUP(M135,查询!$C$8:$E$15,3,FALSE)="启用",$B$1=N135),L135,"")</f>
        <v/>
      </c>
      <c r="R135" s="6" t="str">
        <f t="array" ref="R135">INDEX(P:P,SMALL(IF(P$1:P$500&lt;&gt;"",ROW($1:$500),1000),ROW(P135)))&amp;""</f>
        <v/>
      </c>
      <c r="S135" s="6" t="str">
        <f t="array" ref="S135">INDEX(Q:Q,SMALL(IF(Q$1:Q$500&lt;&gt;"",ROW($1:$500),1000),ROW(Q135)))&amp;""</f>
        <v/>
      </c>
      <c r="X135" s="6"/>
      <c r="AB135" s="6" t="str">
        <f t="array" ref="AB135">INDEX(Z:Z,SMALL(IF(Z$1:Z$500&lt;&gt;"",ROW($1:$500),1000),ROW(Z135)))&amp;""</f>
        <v/>
      </c>
      <c r="AC135" s="6" t="str">
        <f t="array" ref="AC135">INDEX(AA:AA,SMALL(IF(AA$1:AA$500&lt;&gt;"",ROW($1:$500),1000),ROW(AA135)))&amp;""</f>
        <v/>
      </c>
      <c r="AH135" s="6"/>
      <c r="AL135" s="6" t="str">
        <f t="array" ref="AL135">INDEX(AJ:AJ,SMALL(IF(AJ$1:AJ$500&lt;&gt;"",ROW($1:$500),1000),ROW(AJ135)))&amp;""</f>
        <v/>
      </c>
      <c r="AM135" s="6" t="str">
        <f t="array" ref="AM135">INDEX(AK:AK,SMALL(IF(AK$1:AK$500&lt;&gt;"",ROW($1:$500),1000),ROW(AK135)))&amp;""</f>
        <v/>
      </c>
      <c r="AV135" s="6" t="str">
        <f t="array" ref="AV135">INDEX(AT:AT,SMALL(IF(AT$1:AT$500&lt;&gt;"",ROW($1:$500),1000),ROW(AT135)))&amp;""</f>
        <v/>
      </c>
      <c r="AW135" s="6" t="str">
        <f t="array" ref="AW135">INDEX(AU:AU,SMALL(IF(AU$1:AU$500&lt;&gt;"",ROW($1:$500),1000),ROW(AU135)))&amp;""</f>
        <v/>
      </c>
      <c r="BF135" s="6" t="str">
        <f t="array" ref="BF135">INDEX(BD:BD,SMALL(IF(BD$1:BD$500&lt;&gt;"",ROW($1:$500),1000),ROW(BD135)))&amp;""</f>
        <v/>
      </c>
      <c r="BG135" s="6" t="str">
        <f t="array" ref="BG135">INDEX(BE:BE,SMALL(IF(BE$1:BE$500&lt;&gt;"",ROW($1:$500),1000),ROW(BE135)))&amp;""</f>
        <v/>
      </c>
      <c r="BI135" s="8" t="s">
        <v>2962</v>
      </c>
      <c r="BJ135" s="8" t="s">
        <v>1755</v>
      </c>
      <c r="BK135" s="8" t="s">
        <v>578</v>
      </c>
      <c r="BL135" s="9">
        <v>5</v>
      </c>
      <c r="BN135" s="8" t="str">
        <f t="shared" si="16"/>
        <v/>
      </c>
      <c r="BO135" s="8" t="str">
        <f>IF(AND(VLOOKUP(BK135,查询!$C$8:$E$15,3,FALSE)="启用",$B$1=BL135),BJ135,"")</f>
        <v/>
      </c>
      <c r="BP135" s="6" t="str">
        <f t="array" ref="BP135">INDEX(BN:BN,SMALL(IF(BN$1:BN$500&lt;&gt;"",ROW($1:$500),1000),ROW(BN135)))&amp;""</f>
        <v/>
      </c>
      <c r="BQ135" s="6" t="str">
        <f t="array" ref="BQ135">INDEX(BO:BO,SMALL(IF(BO$1:BO$500&lt;&gt;"",ROW($1:$500),1000),ROW(BO135)))&amp;""</f>
        <v/>
      </c>
      <c r="BS135" s="8" t="s">
        <v>3486</v>
      </c>
      <c r="BT135" s="8" t="s">
        <v>1457</v>
      </c>
      <c r="BU135" s="8" t="s">
        <v>494</v>
      </c>
      <c r="BV135" s="9">
        <v>9</v>
      </c>
      <c r="BX135" s="8" t="str">
        <f t="shared" si="17"/>
        <v/>
      </c>
      <c r="BY135" s="8" t="str">
        <f>IF(AND(VLOOKUP(BU135,查询!$C$8:$E$15,3,FALSE)="启用",$B$1=BV135),BT135,"")</f>
        <v/>
      </c>
      <c r="BZ135" s="6" t="str">
        <f t="array" ref="BZ135">INDEX(BX:BX,SMALL(IF(BX$1:BX$500&lt;&gt;"",ROW($1:$500),1000),ROW(BX135)))&amp;""</f>
        <v/>
      </c>
      <c r="CA135" s="6" t="str">
        <f t="array" ref="CA135">INDEX(BY:BY,SMALL(IF(BY$1:BY$500&lt;&gt;"",ROW($1:$500),1000),ROW(BY135)))&amp;""</f>
        <v/>
      </c>
    </row>
    <row r="136" spans="1:79">
      <c r="A136" s="8" t="s">
        <v>2581</v>
      </c>
      <c r="B136" s="8" t="s">
        <v>1394</v>
      </c>
      <c r="C136" s="8" t="s">
        <v>494</v>
      </c>
      <c r="D136" s="9">
        <v>3</v>
      </c>
      <c r="F136" s="8" t="str">
        <f t="shared" si="14"/>
        <v/>
      </c>
      <c r="G136" s="8" t="str">
        <f>IF(AND(VLOOKUP(C136,查询!$C$8:$E$15,3,FALSE)="启用",$B$1=D136),B136,"")</f>
        <v/>
      </c>
      <c r="H136" s="6" t="str">
        <f t="array" ref="H136">INDEX(F:F,SMALL(IF($F$1:$F$500&lt;&gt;"",ROW($1:$500),1000),ROW(F136)))&amp;""</f>
        <v/>
      </c>
      <c r="I136" s="6" t="str">
        <f t="array" ref="I136">INDEX(G:G,SMALL(IF($F$1:$F$500&lt;&gt;"",ROW($1:$500),1000),ROW(G136)))&amp;""</f>
        <v/>
      </c>
      <c r="K136" s="8" t="s">
        <v>2729</v>
      </c>
      <c r="L136" s="8" t="s">
        <v>1678</v>
      </c>
      <c r="M136" s="8" t="s">
        <v>494</v>
      </c>
      <c r="N136" s="9">
        <v>3</v>
      </c>
      <c r="P136" s="8" t="str">
        <f t="shared" si="15"/>
        <v/>
      </c>
      <c r="Q136" s="8" t="str">
        <f>IF(AND(VLOOKUP(M136,查询!$C$8:$E$15,3,FALSE)="启用",$B$1=N136),L136,"")</f>
        <v/>
      </c>
      <c r="R136" s="6" t="str">
        <f t="array" ref="R136">INDEX(P:P,SMALL(IF(P$1:P$500&lt;&gt;"",ROW($1:$500),1000),ROW(P136)))&amp;""</f>
        <v/>
      </c>
      <c r="S136" s="6" t="str">
        <f t="array" ref="S136">INDEX(Q:Q,SMALL(IF(Q$1:Q$500&lt;&gt;"",ROW($1:$500),1000),ROW(Q136)))&amp;""</f>
        <v/>
      </c>
      <c r="X136" s="6"/>
      <c r="AB136" s="6" t="str">
        <f t="array" ref="AB136">INDEX(Z:Z,SMALL(IF(Z$1:Z$500&lt;&gt;"",ROW($1:$500),1000),ROW(Z136)))&amp;""</f>
        <v/>
      </c>
      <c r="AC136" s="6" t="str">
        <f t="array" ref="AC136">INDEX(AA:AA,SMALL(IF(AA$1:AA$500&lt;&gt;"",ROW($1:$500),1000),ROW(AA136)))&amp;""</f>
        <v/>
      </c>
      <c r="AH136" s="6"/>
      <c r="AL136" s="6" t="str">
        <f t="array" ref="AL136">INDEX(AJ:AJ,SMALL(IF(AJ$1:AJ$500&lt;&gt;"",ROW($1:$500),1000),ROW(AJ136)))&amp;""</f>
        <v/>
      </c>
      <c r="AM136" s="6" t="str">
        <f t="array" ref="AM136">INDEX(AK:AK,SMALL(IF(AK$1:AK$500&lt;&gt;"",ROW($1:$500),1000),ROW(AK136)))&amp;""</f>
        <v/>
      </c>
      <c r="AV136" s="6" t="str">
        <f t="array" ref="AV136">INDEX(AT:AT,SMALL(IF(AT$1:AT$500&lt;&gt;"",ROW($1:$500),1000),ROW(AT136)))&amp;""</f>
        <v/>
      </c>
      <c r="AW136" s="6" t="str">
        <f t="array" ref="AW136">INDEX(AU:AU,SMALL(IF(AU$1:AU$500&lt;&gt;"",ROW($1:$500),1000),ROW(AU136)))&amp;""</f>
        <v/>
      </c>
      <c r="BF136" s="6" t="str">
        <f t="array" ref="BF136">INDEX(BD:BD,SMALL(IF(BD$1:BD$500&lt;&gt;"",ROW($1:$500),1000),ROW(BD136)))&amp;""</f>
        <v/>
      </c>
      <c r="BG136" s="6" t="str">
        <f t="array" ref="BG136">INDEX(BE:BE,SMALL(IF(BE$1:BE$500&lt;&gt;"",ROW($1:$500),1000),ROW(BE136)))&amp;""</f>
        <v/>
      </c>
      <c r="BI136" s="8" t="s">
        <v>2962</v>
      </c>
      <c r="BJ136" s="8" t="s">
        <v>1356</v>
      </c>
      <c r="BK136" s="8" t="s">
        <v>1249</v>
      </c>
      <c r="BL136" s="9">
        <v>5</v>
      </c>
      <c r="BN136" s="8" t="str">
        <f t="shared" si="16"/>
        <v/>
      </c>
      <c r="BO136" s="8" t="str">
        <f>IF(AND(VLOOKUP(BK136,查询!$C$8:$E$15,3,FALSE)="启用",$B$1=BL136),BJ136,"")</f>
        <v/>
      </c>
      <c r="BP136" s="6" t="str">
        <f t="array" ref="BP136">INDEX(BN:BN,SMALL(IF(BN$1:BN$500&lt;&gt;"",ROW($1:$500),1000),ROW(BN136)))&amp;""</f>
        <v/>
      </c>
      <c r="BQ136" s="6" t="str">
        <f t="array" ref="BQ136">INDEX(BO:BO,SMALL(IF(BO$1:BO$500&lt;&gt;"",ROW($1:$500),1000),ROW(BO136)))&amp;""</f>
        <v/>
      </c>
      <c r="BS136" s="8" t="s">
        <v>3488</v>
      </c>
      <c r="BT136" s="8" t="s">
        <v>1538</v>
      </c>
      <c r="BU136" s="8" t="s">
        <v>494</v>
      </c>
      <c r="BV136" s="9">
        <v>9</v>
      </c>
      <c r="BX136" s="8" t="str">
        <f t="shared" si="17"/>
        <v/>
      </c>
      <c r="BY136" s="8" t="str">
        <f>IF(AND(VLOOKUP(BU136,查询!$C$8:$E$15,3,FALSE)="启用",$B$1=BV136),BT136,"")</f>
        <v/>
      </c>
      <c r="BZ136" s="6" t="str">
        <f t="array" ref="BZ136">INDEX(BX:BX,SMALL(IF(BX$1:BX$500&lt;&gt;"",ROW($1:$500),1000),ROW(BX136)))&amp;""</f>
        <v/>
      </c>
      <c r="CA136" s="6" t="str">
        <f t="array" ref="CA136">INDEX(BY:BY,SMALL(IF(BY$1:BY$500&lt;&gt;"",ROW($1:$500),1000),ROW(BY136)))&amp;""</f>
        <v/>
      </c>
    </row>
    <row r="137" spans="1:79">
      <c r="A137" s="8" t="s">
        <v>2585</v>
      </c>
      <c r="B137" s="8" t="s">
        <v>1401</v>
      </c>
      <c r="C137" s="8" t="s">
        <v>494</v>
      </c>
      <c r="D137" s="9">
        <v>3</v>
      </c>
      <c r="F137" s="8" t="str">
        <f t="shared" si="14"/>
        <v/>
      </c>
      <c r="G137" s="8" t="str">
        <f>IF(AND(VLOOKUP(C137,查询!$C$8:$E$15,3,FALSE)="启用",$B$1=D137),B137,"")</f>
        <v/>
      </c>
      <c r="H137" s="6" t="str">
        <f t="array" ref="H137">INDEX(F:F,SMALL(IF($F$1:$F$500&lt;&gt;"",ROW($1:$500),1000),ROW(F137)))&amp;""</f>
        <v/>
      </c>
      <c r="I137" s="6" t="str">
        <f t="array" ref="I137">INDEX(G:G,SMALL(IF($F$1:$F$500&lt;&gt;"",ROW($1:$500),1000),ROW(G137)))&amp;""</f>
        <v/>
      </c>
      <c r="K137" s="8" t="s">
        <v>2739</v>
      </c>
      <c r="L137" s="8" t="s">
        <v>1696</v>
      </c>
      <c r="M137" s="8" t="s">
        <v>494</v>
      </c>
      <c r="N137" s="9">
        <v>3</v>
      </c>
      <c r="P137" s="8" t="str">
        <f t="shared" si="15"/>
        <v/>
      </c>
      <c r="Q137" s="8" t="str">
        <f>IF(AND(VLOOKUP(M137,查询!$C$8:$E$15,3,FALSE)="启用",$B$1=N137),L137,"")</f>
        <v/>
      </c>
      <c r="R137" s="6" t="str">
        <f t="array" ref="R137">INDEX(P:P,SMALL(IF(P$1:P$500&lt;&gt;"",ROW($1:$500),1000),ROW(P137)))&amp;""</f>
        <v/>
      </c>
      <c r="S137" s="6" t="str">
        <f t="array" ref="S137">INDEX(Q:Q,SMALL(IF(Q$1:Q$500&lt;&gt;"",ROW($1:$500),1000),ROW(Q137)))&amp;""</f>
        <v/>
      </c>
      <c r="X137" s="6"/>
      <c r="AB137" s="6" t="str">
        <f t="array" ref="AB137">INDEX(Z:Z,SMALL(IF(Z$1:Z$500&lt;&gt;"",ROW($1:$500),1000),ROW(Z137)))&amp;""</f>
        <v/>
      </c>
      <c r="AC137" s="6" t="str">
        <f t="array" ref="AC137">INDEX(AA:AA,SMALL(IF(AA$1:AA$500&lt;&gt;"",ROW($1:$500),1000),ROW(AA137)))&amp;""</f>
        <v/>
      </c>
      <c r="AH137" s="6"/>
      <c r="AL137" s="6" t="str">
        <f t="array" ref="AL137">INDEX(AJ:AJ,SMALL(IF(AJ$1:AJ$500&lt;&gt;"",ROW($1:$500),1000),ROW(AJ137)))&amp;""</f>
        <v/>
      </c>
      <c r="AM137" s="6" t="str">
        <f t="array" ref="AM137">INDEX(AK:AK,SMALL(IF(AK$1:AK$500&lt;&gt;"",ROW($1:$500),1000),ROW(AK137)))&amp;""</f>
        <v/>
      </c>
      <c r="AV137" s="6" t="str">
        <f t="array" ref="AV137">INDEX(AT:AT,SMALL(IF(AT$1:AT$500&lt;&gt;"",ROW($1:$500),1000),ROW(AT137)))&amp;""</f>
        <v/>
      </c>
      <c r="AW137" s="6" t="str">
        <f t="array" ref="AW137">INDEX(AU:AU,SMALL(IF(AU$1:AU$500&lt;&gt;"",ROW($1:$500),1000),ROW(AU137)))&amp;""</f>
        <v/>
      </c>
      <c r="BF137" s="6" t="str">
        <f t="array" ref="BF137">INDEX(BD:BD,SMALL(IF(BD$1:BD$500&lt;&gt;"",ROW($1:$500),1000),ROW(BD137)))&amp;""</f>
        <v/>
      </c>
      <c r="BG137" s="6" t="str">
        <f t="array" ref="BG137">INDEX(BE:BE,SMALL(IF(BE$1:BE$500&lt;&gt;"",ROW($1:$500),1000),ROW(BE137)))&amp;""</f>
        <v/>
      </c>
      <c r="BI137" s="8" t="s">
        <v>3088</v>
      </c>
      <c r="BJ137" s="8" t="s">
        <v>1681</v>
      </c>
      <c r="BK137" s="8" t="s">
        <v>494</v>
      </c>
      <c r="BL137" s="9">
        <v>5</v>
      </c>
      <c r="BN137" s="8" t="str">
        <f t="shared" si="16"/>
        <v/>
      </c>
      <c r="BO137" s="8" t="str">
        <f>IF(AND(VLOOKUP(BK137,查询!$C$8:$E$15,3,FALSE)="启用",$B$1=BL137),BJ137,"")</f>
        <v/>
      </c>
      <c r="BP137" s="6" t="str">
        <f t="array" ref="BP137">INDEX(BN:BN,SMALL(IF(BN$1:BN$500&lt;&gt;"",ROW($1:$500),1000),ROW(BN137)))&amp;""</f>
        <v/>
      </c>
      <c r="BQ137" s="6" t="str">
        <f t="array" ref="BQ137">INDEX(BO:BO,SMALL(IF(BO$1:BO$500&lt;&gt;"",ROW($1:$500),1000),ROW(BO137)))&amp;""</f>
        <v/>
      </c>
      <c r="BS137" s="8" t="s">
        <v>3493</v>
      </c>
      <c r="BT137" s="8" t="s">
        <v>1550</v>
      </c>
      <c r="BU137" s="8" t="s">
        <v>494</v>
      </c>
      <c r="BV137" s="9">
        <v>9</v>
      </c>
      <c r="BX137" s="8" t="str">
        <f t="shared" si="17"/>
        <v/>
      </c>
      <c r="BY137" s="8" t="str">
        <f>IF(AND(VLOOKUP(BU137,查询!$C$8:$E$15,3,FALSE)="启用",$B$1=BV137),BT137,"")</f>
        <v/>
      </c>
      <c r="BZ137" s="6" t="str">
        <f t="array" ref="BZ137">INDEX(BX:BX,SMALL(IF(BX$1:BX$500&lt;&gt;"",ROW($1:$500),1000),ROW(BX137)))&amp;""</f>
        <v/>
      </c>
      <c r="CA137" s="6" t="str">
        <f t="array" ref="CA137">INDEX(BY:BY,SMALL(IF(BY$1:BY$500&lt;&gt;"",ROW($1:$500),1000),ROW(BY137)))&amp;""</f>
        <v/>
      </c>
    </row>
    <row r="138" spans="1:79">
      <c r="A138" s="8" t="s">
        <v>2587</v>
      </c>
      <c r="B138" s="8" t="s">
        <v>1414</v>
      </c>
      <c r="C138" s="8" t="s">
        <v>494</v>
      </c>
      <c r="D138" s="9">
        <v>3</v>
      </c>
      <c r="F138" s="8" t="str">
        <f t="shared" si="14"/>
        <v/>
      </c>
      <c r="G138" s="8" t="str">
        <f>IF(AND(VLOOKUP(C138,查询!$C$8:$E$15,3,FALSE)="启用",$B$1=D138),B138,"")</f>
        <v/>
      </c>
      <c r="H138" s="6" t="str">
        <f t="array" ref="H138">INDEX(F:F,SMALL(IF($F$1:$F$500&lt;&gt;"",ROW($1:$500),1000),ROW(F138)))&amp;""</f>
        <v/>
      </c>
      <c r="I138" s="6" t="str">
        <f t="array" ref="I138">INDEX(G:G,SMALL(IF($F$1:$F$500&lt;&gt;"",ROW($1:$500),1000),ROW(G138)))&amp;""</f>
        <v/>
      </c>
      <c r="K138" s="8" t="s">
        <v>2547</v>
      </c>
      <c r="L138" s="8" t="s">
        <v>1759</v>
      </c>
      <c r="M138" s="8" t="s">
        <v>578</v>
      </c>
      <c r="N138" s="9">
        <v>3</v>
      </c>
      <c r="P138" s="8" t="str">
        <f t="shared" si="15"/>
        <v/>
      </c>
      <c r="Q138" s="8" t="str">
        <f>IF(AND(VLOOKUP(M138,查询!$C$8:$E$15,3,FALSE)="启用",$B$1=N138),L138,"")</f>
        <v/>
      </c>
      <c r="R138" s="6" t="str">
        <f t="array" ref="R138">INDEX(P:P,SMALL(IF(P$1:P$500&lt;&gt;"",ROW($1:$500),1000),ROW(P138)))&amp;""</f>
        <v/>
      </c>
      <c r="S138" s="6" t="str">
        <f t="array" ref="S138">INDEX(Q:Q,SMALL(IF(Q$1:Q$500&lt;&gt;"",ROW($1:$500),1000),ROW(Q138)))&amp;""</f>
        <v/>
      </c>
      <c r="X138" s="6"/>
      <c r="AB138" s="6" t="str">
        <f t="array" ref="AB138">INDEX(Z:Z,SMALL(IF(Z$1:Z$500&lt;&gt;"",ROW($1:$500),1000),ROW(Z138)))&amp;""</f>
        <v/>
      </c>
      <c r="AC138" s="6" t="str">
        <f t="array" ref="AC138">INDEX(AA:AA,SMALL(IF(AA$1:AA$500&lt;&gt;"",ROW($1:$500),1000),ROW(AA138)))&amp;""</f>
        <v/>
      </c>
      <c r="AH138" s="6"/>
      <c r="AL138" s="6" t="str">
        <f t="array" ref="AL138">INDEX(AJ:AJ,SMALL(IF(AJ$1:AJ$500&lt;&gt;"",ROW($1:$500),1000),ROW(AJ138)))&amp;""</f>
        <v/>
      </c>
      <c r="AM138" s="6" t="str">
        <f t="array" ref="AM138">INDEX(AK:AK,SMALL(IF(AK$1:AK$500&lt;&gt;"",ROW($1:$500),1000),ROW(AK138)))&amp;""</f>
        <v/>
      </c>
      <c r="AV138" s="6" t="str">
        <f t="array" ref="AV138">INDEX(AT:AT,SMALL(IF(AT$1:AT$500&lt;&gt;"",ROW($1:$500),1000),ROW(AT138)))&amp;""</f>
        <v/>
      </c>
      <c r="AW138" s="6" t="str">
        <f t="array" ref="AW138">INDEX(AU:AU,SMALL(IF(AU$1:AU$500&lt;&gt;"",ROW($1:$500),1000),ROW(AU138)))&amp;""</f>
        <v/>
      </c>
      <c r="BF138" s="6" t="str">
        <f t="array" ref="BF138">INDEX(BD:BD,SMALL(IF(BD$1:BD$500&lt;&gt;"",ROW($1:$500),1000),ROW(BD138)))&amp;""</f>
        <v/>
      </c>
      <c r="BG138" s="6" t="str">
        <f t="array" ref="BG138">INDEX(BE:BE,SMALL(IF(BE$1:BE$500&lt;&gt;"",ROW($1:$500),1000),ROW(BE138)))&amp;""</f>
        <v/>
      </c>
      <c r="BI138" s="8" t="s">
        <v>3090</v>
      </c>
      <c r="BJ138" s="8" t="s">
        <v>1688</v>
      </c>
      <c r="BK138" s="8" t="s">
        <v>494</v>
      </c>
      <c r="BL138" s="9">
        <v>5</v>
      </c>
      <c r="BN138" s="8" t="str">
        <f t="shared" si="16"/>
        <v/>
      </c>
      <c r="BO138" s="8" t="str">
        <f>IF(AND(VLOOKUP(BK138,查询!$C$8:$E$15,3,FALSE)="启用",$B$1=BL138),BJ138,"")</f>
        <v/>
      </c>
      <c r="BP138" s="6" t="str">
        <f t="array" ref="BP138">INDEX(BN:BN,SMALL(IF(BN$1:BN$500&lt;&gt;"",ROW($1:$500),1000),ROW(BN138)))&amp;""</f>
        <v/>
      </c>
      <c r="BQ138" s="6" t="str">
        <f t="array" ref="BQ138">INDEX(BO:BO,SMALL(IF(BO$1:BO$500&lt;&gt;"",ROW($1:$500),1000),ROW(BO138)))&amp;""</f>
        <v/>
      </c>
      <c r="BV138" s="6"/>
      <c r="BZ138" s="6" t="str">
        <f t="array" ref="BZ138">INDEX(BX:BX,SMALL(IF(BX$1:BX$500&lt;&gt;"",ROW($1:$500),1000),ROW(BX138)))&amp;""</f>
        <v/>
      </c>
      <c r="CA138" s="6" t="str">
        <f t="array" ref="CA138">INDEX(BY:BY,SMALL(IF(BY$1:BY$500&lt;&gt;"",ROW($1:$500),1000),ROW(BY138)))&amp;""</f>
        <v/>
      </c>
    </row>
    <row r="139" spans="1:79">
      <c r="A139" s="8" t="s">
        <v>2591</v>
      </c>
      <c r="B139" s="8" t="s">
        <v>1416</v>
      </c>
      <c r="C139" s="8" t="s">
        <v>494</v>
      </c>
      <c r="D139" s="9">
        <v>3</v>
      </c>
      <c r="F139" s="8" t="str">
        <f t="shared" si="14"/>
        <v/>
      </c>
      <c r="G139" s="8" t="str">
        <f>IF(AND(VLOOKUP(C139,查询!$C$8:$E$15,3,FALSE)="启用",$B$1=D139),B139,"")</f>
        <v/>
      </c>
      <c r="H139" s="6" t="str">
        <f t="array" ref="H139">INDEX(F:F,SMALL(IF($F$1:$F$500&lt;&gt;"",ROW($1:$500),1000),ROW(F139)))&amp;""</f>
        <v/>
      </c>
      <c r="I139" s="6" t="str">
        <f t="array" ref="I139">INDEX(G:G,SMALL(IF($F$1:$F$500&lt;&gt;"",ROW($1:$500),1000),ROW(G139)))&amp;""</f>
        <v/>
      </c>
      <c r="K139" s="8" t="s">
        <v>2758</v>
      </c>
      <c r="L139" s="8" t="s">
        <v>1276</v>
      </c>
      <c r="M139" s="8" t="s">
        <v>1249</v>
      </c>
      <c r="N139" s="9">
        <v>4</v>
      </c>
      <c r="P139" s="8" t="str">
        <f t="shared" si="15"/>
        <v/>
      </c>
      <c r="Q139" s="8" t="str">
        <f>IF(AND(VLOOKUP(M139,查询!$C$8:$E$15,3,FALSE)="启用",$B$1=N139),L139,"")</f>
        <v/>
      </c>
      <c r="R139" s="6" t="str">
        <f t="array" ref="R139">INDEX(P:P,SMALL(IF(P$1:P$500&lt;&gt;"",ROW($1:$500),1000),ROW(P139)))&amp;""</f>
        <v/>
      </c>
      <c r="S139" s="6" t="str">
        <f t="array" ref="S139">INDEX(Q:Q,SMALL(IF(Q$1:Q$500&lt;&gt;"",ROW($1:$500),1000),ROW(Q139)))&amp;""</f>
        <v/>
      </c>
      <c r="X139" s="6"/>
      <c r="AB139" s="6" t="str">
        <f t="array" ref="AB139">INDEX(Z:Z,SMALL(IF(Z$1:Z$500&lt;&gt;"",ROW($1:$500),1000),ROW(Z139)))&amp;""</f>
        <v/>
      </c>
      <c r="AC139" s="6" t="str">
        <f t="array" ref="AC139">INDEX(AA:AA,SMALL(IF(AA$1:AA$500&lt;&gt;"",ROW($1:$500),1000),ROW(AA139)))&amp;""</f>
        <v/>
      </c>
      <c r="AH139" s="6"/>
      <c r="AL139" s="6" t="str">
        <f t="array" ref="AL139">INDEX(AJ:AJ,SMALL(IF(AJ$1:AJ$500&lt;&gt;"",ROW($1:$500),1000),ROW(AJ139)))&amp;""</f>
        <v/>
      </c>
      <c r="AM139" s="6" t="str">
        <f t="array" ref="AM139">INDEX(AK:AK,SMALL(IF(AK$1:AK$500&lt;&gt;"",ROW($1:$500),1000),ROW(AK139)))&amp;""</f>
        <v/>
      </c>
      <c r="AV139" s="6" t="str">
        <f t="array" ref="AV139">INDEX(AT:AT,SMALL(IF(AT$1:AT$500&lt;&gt;"",ROW($1:$500),1000),ROW(AT139)))&amp;""</f>
        <v/>
      </c>
      <c r="AW139" s="6" t="str">
        <f t="array" ref="AW139">INDEX(AU:AU,SMALL(IF(AU$1:AU$500&lt;&gt;"",ROW($1:$500),1000),ROW(AU139)))&amp;""</f>
        <v/>
      </c>
      <c r="BF139" s="6" t="str">
        <f t="array" ref="BF139">INDEX(BD:BD,SMALL(IF(BD$1:BD$500&lt;&gt;"",ROW($1:$500),1000),ROW(BD139)))&amp;""</f>
        <v/>
      </c>
      <c r="BG139" s="6" t="str">
        <f t="array" ref="BG139">INDEX(BE:BE,SMALL(IF(BE$1:BE$500&lt;&gt;"",ROW($1:$500),1000),ROW(BE139)))&amp;""</f>
        <v/>
      </c>
      <c r="BI139" s="8" t="s">
        <v>3092</v>
      </c>
      <c r="BJ139" s="8" t="s">
        <v>1700</v>
      </c>
      <c r="BK139" s="8" t="s">
        <v>494</v>
      </c>
      <c r="BL139" s="9">
        <v>5</v>
      </c>
      <c r="BN139" s="8" t="str">
        <f t="shared" si="16"/>
        <v/>
      </c>
      <c r="BO139" s="8" t="str">
        <f>IF(AND(VLOOKUP(BK139,查询!$C$8:$E$15,3,FALSE)="启用",$B$1=BL139),BJ139,"")</f>
        <v/>
      </c>
      <c r="BP139" s="6" t="str">
        <f t="array" ref="BP139">INDEX(BN:BN,SMALL(IF(BN$1:BN$500&lt;&gt;"",ROW($1:$500),1000),ROW(BN139)))&amp;""</f>
        <v/>
      </c>
      <c r="BQ139" s="6" t="str">
        <f t="array" ref="BQ139">INDEX(BO:BO,SMALL(IF(BO$1:BO$500&lt;&gt;"",ROW($1:$500),1000),ROW(BO139)))&amp;""</f>
        <v/>
      </c>
      <c r="BV139" s="6"/>
      <c r="BZ139" s="6" t="str">
        <f t="array" ref="BZ139">INDEX(BX:BX,SMALL(IF(BX$1:BX$500&lt;&gt;"",ROW($1:$500),1000),ROW(BX139)))&amp;""</f>
        <v/>
      </c>
      <c r="CA139" s="6" t="str">
        <f t="array" ref="CA139">INDEX(BY:BY,SMALL(IF(BY$1:BY$500&lt;&gt;"",ROW($1:$500),1000),ROW(BY139)))&amp;""</f>
        <v/>
      </c>
    </row>
    <row r="140" spans="1:79">
      <c r="A140" s="8" t="s">
        <v>2595</v>
      </c>
      <c r="B140" s="8" t="s">
        <v>1419</v>
      </c>
      <c r="C140" s="8" t="s">
        <v>494</v>
      </c>
      <c r="D140" s="9">
        <v>3</v>
      </c>
      <c r="F140" s="8" t="str">
        <f t="shared" si="14"/>
        <v/>
      </c>
      <c r="G140" s="8" t="str">
        <f>IF(AND(VLOOKUP(C140,查询!$C$8:$E$15,3,FALSE)="启用",$B$1=D140),B140,"")</f>
        <v/>
      </c>
      <c r="H140" s="6" t="str">
        <f t="array" ref="H140">INDEX(F:F,SMALL(IF($F$1:$F$500&lt;&gt;"",ROW($1:$500),1000),ROW(F140)))&amp;""</f>
        <v/>
      </c>
      <c r="I140" s="6" t="str">
        <f t="array" ref="I140">INDEX(G:G,SMALL(IF($F$1:$F$500&lt;&gt;"",ROW($1:$500),1000),ROW(G140)))&amp;""</f>
        <v/>
      </c>
      <c r="K140" s="8" t="s">
        <v>2761</v>
      </c>
      <c r="L140" s="8" t="s">
        <v>1726</v>
      </c>
      <c r="M140" s="8" t="s">
        <v>578</v>
      </c>
      <c r="N140" s="9">
        <v>4</v>
      </c>
      <c r="P140" s="8" t="str">
        <f t="shared" si="15"/>
        <v/>
      </c>
      <c r="Q140" s="8" t="str">
        <f>IF(AND(VLOOKUP(M140,查询!$C$8:$E$15,3,FALSE)="启用",$B$1=N140),L140,"")</f>
        <v/>
      </c>
      <c r="R140" s="6" t="str">
        <f t="array" ref="R140">INDEX(P:P,SMALL(IF(P$1:P$500&lt;&gt;"",ROW($1:$500),1000),ROW(P140)))&amp;""</f>
        <v/>
      </c>
      <c r="S140" s="6" t="str">
        <f t="array" ref="S140">INDEX(Q:Q,SMALL(IF(Q$1:Q$500&lt;&gt;"",ROW($1:$500),1000),ROW(Q140)))&amp;""</f>
        <v/>
      </c>
      <c r="X140" s="6"/>
      <c r="AB140" s="6" t="str">
        <f t="array" ref="AB140">INDEX(Z:Z,SMALL(IF(Z$1:Z$500&lt;&gt;"",ROW($1:$500),1000),ROW(Z140)))&amp;""</f>
        <v/>
      </c>
      <c r="AC140" s="6" t="str">
        <f t="array" ref="AC140">INDEX(AA:AA,SMALL(IF(AA$1:AA$500&lt;&gt;"",ROW($1:$500),1000),ROW(AA140)))&amp;""</f>
        <v/>
      </c>
      <c r="AH140" s="6"/>
      <c r="AL140" s="6" t="str">
        <f t="array" ref="AL140">INDEX(AJ:AJ,SMALL(IF(AJ$1:AJ$500&lt;&gt;"",ROW($1:$500),1000),ROW(AJ140)))&amp;""</f>
        <v/>
      </c>
      <c r="AM140" s="6" t="str">
        <f t="array" ref="AM140">INDEX(AK:AK,SMALL(IF(AK$1:AK$500&lt;&gt;"",ROW($1:$500),1000),ROW(AK140)))&amp;""</f>
        <v/>
      </c>
      <c r="AV140" s="6" t="str">
        <f t="array" ref="AV140">INDEX(AT:AT,SMALL(IF(AT$1:AT$500&lt;&gt;"",ROW($1:$500),1000),ROW(AT140)))&amp;""</f>
        <v/>
      </c>
      <c r="AW140" s="6" t="str">
        <f t="array" ref="AW140">INDEX(AU:AU,SMALL(IF(AU$1:AU$500&lt;&gt;"",ROW($1:$500),1000),ROW(AU140)))&amp;""</f>
        <v/>
      </c>
      <c r="BF140" s="6" t="str">
        <f t="array" ref="BF140">INDEX(BD:BD,SMALL(IF(BD$1:BD$500&lt;&gt;"",ROW($1:$500),1000),ROW(BD140)))&amp;""</f>
        <v/>
      </c>
      <c r="BG140" s="6" t="str">
        <f t="array" ref="BG140">INDEX(BE:BE,SMALL(IF(BE$1:BE$500&lt;&gt;"",ROW($1:$500),1000),ROW(BE140)))&amp;""</f>
        <v/>
      </c>
      <c r="BI140" s="8" t="s">
        <v>3096</v>
      </c>
      <c r="BJ140" s="8" t="s">
        <v>1704</v>
      </c>
      <c r="BK140" s="8" t="s">
        <v>494</v>
      </c>
      <c r="BL140" s="9">
        <v>5</v>
      </c>
      <c r="BN140" s="8" t="str">
        <f t="shared" si="16"/>
        <v/>
      </c>
      <c r="BO140" s="8" t="str">
        <f>IF(AND(VLOOKUP(BK140,查询!$C$8:$E$15,3,FALSE)="启用",$B$1=BL140),BJ140,"")</f>
        <v/>
      </c>
      <c r="BP140" s="6" t="str">
        <f t="array" ref="BP140">INDEX(BN:BN,SMALL(IF(BN$1:BN$500&lt;&gt;"",ROW($1:$500),1000),ROW(BN140)))&amp;""</f>
        <v/>
      </c>
      <c r="BQ140" s="6" t="str">
        <f t="array" ref="BQ140">INDEX(BO:BO,SMALL(IF(BO$1:BO$500&lt;&gt;"",ROW($1:$500),1000),ROW(BO140)))&amp;""</f>
        <v/>
      </c>
      <c r="BV140" s="6"/>
      <c r="BZ140" s="6" t="str">
        <f t="array" ref="BZ140">INDEX(BX:BX,SMALL(IF(BX$1:BX$500&lt;&gt;"",ROW($1:$500),1000),ROW(BX140)))&amp;""</f>
        <v/>
      </c>
      <c r="CA140" s="6" t="str">
        <f t="array" ref="CA140">INDEX(BY:BY,SMALL(IF(BY$1:BY$500&lt;&gt;"",ROW($1:$500),1000),ROW(BY140)))&amp;""</f>
        <v/>
      </c>
    </row>
    <row r="141" spans="1:79">
      <c r="A141" s="8" t="s">
        <v>2600</v>
      </c>
      <c r="B141" s="8" t="s">
        <v>1428</v>
      </c>
      <c r="C141" s="8" t="s">
        <v>494</v>
      </c>
      <c r="D141" s="9">
        <v>3</v>
      </c>
      <c r="F141" s="8" t="str">
        <f t="shared" si="14"/>
        <v/>
      </c>
      <c r="G141" s="8" t="str">
        <f>IF(AND(VLOOKUP(C141,查询!$C$8:$E$15,3,FALSE)="启用",$B$1=D141),B141,"")</f>
        <v/>
      </c>
      <c r="H141" s="6" t="str">
        <f t="array" ref="H141">INDEX(F:F,SMALL(IF($F$1:$F$500&lt;&gt;"",ROW($1:$500),1000),ROW(F141)))&amp;""</f>
        <v/>
      </c>
      <c r="I141" s="6" t="str">
        <f t="array" ref="I141">INDEX(G:G,SMALL(IF($F$1:$F$500&lt;&gt;"",ROW($1:$500),1000),ROW(G141)))&amp;""</f>
        <v/>
      </c>
      <c r="K141" s="8" t="s">
        <v>2761</v>
      </c>
      <c r="L141" s="8" t="s">
        <v>1287</v>
      </c>
      <c r="M141" s="8" t="s">
        <v>1249</v>
      </c>
      <c r="N141" s="9">
        <v>4</v>
      </c>
      <c r="P141" s="8" t="str">
        <f t="shared" si="15"/>
        <v/>
      </c>
      <c r="Q141" s="8" t="str">
        <f>IF(AND(VLOOKUP(M141,查询!$C$8:$E$15,3,FALSE)="启用",$B$1=N141),L141,"")</f>
        <v/>
      </c>
      <c r="R141" s="6" t="str">
        <f t="array" ref="R141">INDEX(P:P,SMALL(IF(P$1:P$500&lt;&gt;"",ROW($1:$500),1000),ROW(P141)))&amp;""</f>
        <v/>
      </c>
      <c r="S141" s="6" t="str">
        <f t="array" ref="S141">INDEX(Q:Q,SMALL(IF(Q$1:Q$500&lt;&gt;"",ROW($1:$500),1000),ROW(Q141)))&amp;""</f>
        <v/>
      </c>
      <c r="X141" s="6"/>
      <c r="AB141" s="6" t="str">
        <f t="array" ref="AB141">INDEX(Z:Z,SMALL(IF(Z$1:Z$500&lt;&gt;"",ROW($1:$500),1000),ROW(Z141)))&amp;""</f>
        <v/>
      </c>
      <c r="AC141" s="6" t="str">
        <f t="array" ref="AC141">INDEX(AA:AA,SMALL(IF(AA$1:AA$500&lt;&gt;"",ROW($1:$500),1000),ROW(AA141)))&amp;""</f>
        <v/>
      </c>
      <c r="AH141" s="6"/>
      <c r="AL141" s="6" t="str">
        <f t="array" ref="AL141">INDEX(AJ:AJ,SMALL(IF(AJ$1:AJ$500&lt;&gt;"",ROW($1:$500),1000),ROW(AJ141)))&amp;""</f>
        <v/>
      </c>
      <c r="AM141" s="6" t="str">
        <f t="array" ref="AM141">INDEX(AK:AK,SMALL(IF(AK$1:AK$500&lt;&gt;"",ROW($1:$500),1000),ROW(AK141)))&amp;""</f>
        <v/>
      </c>
      <c r="AV141" s="6" t="str">
        <f t="array" ref="AV141">INDEX(AT:AT,SMALL(IF(AT$1:AT$500&lt;&gt;"",ROW($1:$500),1000),ROW(AT141)))&amp;""</f>
        <v/>
      </c>
      <c r="AW141" s="6" t="str">
        <f t="array" ref="AW141">INDEX(AU:AU,SMALL(IF(AU$1:AU$500&lt;&gt;"",ROW($1:$500),1000),ROW(AU141)))&amp;""</f>
        <v/>
      </c>
      <c r="BF141" s="6" t="str">
        <f t="array" ref="BF141">INDEX(BD:BD,SMALL(IF(BD$1:BD$500&lt;&gt;"",ROW($1:$500),1000),ROW(BD141)))&amp;""</f>
        <v/>
      </c>
      <c r="BG141" s="6" t="str">
        <f t="array" ref="BG141">INDEX(BE:BE,SMALL(IF(BE$1:BE$500&lt;&gt;"",ROW($1:$500),1000),ROW(BE141)))&amp;""</f>
        <v/>
      </c>
      <c r="BI141" s="8" t="s">
        <v>3100</v>
      </c>
      <c r="BJ141" s="8" t="s">
        <v>1708</v>
      </c>
      <c r="BK141" s="8" t="s">
        <v>494</v>
      </c>
      <c r="BL141" s="9">
        <v>5</v>
      </c>
      <c r="BN141" s="8" t="str">
        <f t="shared" si="16"/>
        <v/>
      </c>
      <c r="BO141" s="8" t="str">
        <f>IF(AND(VLOOKUP(BK141,查询!$C$8:$E$15,3,FALSE)="启用",$B$1=BL141),BJ141,"")</f>
        <v/>
      </c>
      <c r="BP141" s="6" t="str">
        <f t="array" ref="BP141">INDEX(BN:BN,SMALL(IF(BN$1:BN$500&lt;&gt;"",ROW($1:$500),1000),ROW(BN141)))&amp;""</f>
        <v/>
      </c>
      <c r="BQ141" s="6" t="str">
        <f t="array" ref="BQ141">INDEX(BO:BO,SMALL(IF(BO$1:BO$500&lt;&gt;"",ROW($1:$500),1000),ROW(BO141)))&amp;""</f>
        <v/>
      </c>
      <c r="BV141" s="6"/>
      <c r="BZ141" s="6" t="str">
        <f t="array" ref="BZ141">INDEX(BX:BX,SMALL(IF(BX$1:BX$500&lt;&gt;"",ROW($1:$500),1000),ROW(BX141)))&amp;""</f>
        <v/>
      </c>
      <c r="CA141" s="6" t="str">
        <f t="array" ref="CA141">INDEX(BY:BY,SMALL(IF(BY$1:BY$500&lt;&gt;"",ROW($1:$500),1000),ROW(BY141)))&amp;""</f>
        <v/>
      </c>
    </row>
    <row r="142" spans="1:79">
      <c r="A142" s="8" t="s">
        <v>2525</v>
      </c>
      <c r="B142" s="8" t="s">
        <v>1290</v>
      </c>
      <c r="C142" s="8" t="s">
        <v>1249</v>
      </c>
      <c r="D142" s="9">
        <v>3</v>
      </c>
      <c r="F142" s="8" t="str">
        <f t="shared" si="14"/>
        <v/>
      </c>
      <c r="G142" s="8" t="str">
        <f>IF(AND(VLOOKUP(C142,查询!$C$8:$E$15,3,FALSE)="启用",$B$1=D142),B142,"")</f>
        <v/>
      </c>
      <c r="H142" s="6" t="str">
        <f t="array" ref="H142">INDEX(F:F,SMALL(IF($F$1:$F$500&lt;&gt;"",ROW($1:$500),1000),ROW(F142)))&amp;""</f>
        <v/>
      </c>
      <c r="I142" s="6" t="str">
        <f t="array" ref="I142">INDEX(G:G,SMALL(IF($F$1:$F$500&lt;&gt;"",ROW($1:$500),1000),ROW(G142)))&amp;""</f>
        <v/>
      </c>
      <c r="K142" s="8" t="s">
        <v>2763</v>
      </c>
      <c r="L142" s="8" t="s">
        <v>1727</v>
      </c>
      <c r="M142" s="8" t="s">
        <v>578</v>
      </c>
      <c r="N142" s="9">
        <v>4</v>
      </c>
      <c r="P142" s="8" t="str">
        <f t="shared" si="15"/>
        <v/>
      </c>
      <c r="Q142" s="8" t="str">
        <f>IF(AND(VLOOKUP(M142,查询!$C$8:$E$15,3,FALSE)="启用",$B$1=N142),L142,"")</f>
        <v/>
      </c>
      <c r="R142" s="6" t="str">
        <f t="array" ref="R142">INDEX(P:P,SMALL(IF(P$1:P$500&lt;&gt;"",ROW($1:$500),1000),ROW(P142)))&amp;""</f>
        <v/>
      </c>
      <c r="S142" s="6" t="str">
        <f t="array" ref="S142">INDEX(Q:Q,SMALL(IF(Q$1:Q$500&lt;&gt;"",ROW($1:$500),1000),ROW(Q142)))&amp;""</f>
        <v/>
      </c>
      <c r="X142" s="6"/>
      <c r="AB142" s="6" t="str">
        <f t="array" ref="AB142">INDEX(Z:Z,SMALL(IF(Z$1:Z$500&lt;&gt;"",ROW($1:$500),1000),ROW(Z142)))&amp;""</f>
        <v/>
      </c>
      <c r="AC142" s="6" t="str">
        <f t="array" ref="AC142">INDEX(AA:AA,SMALL(IF(AA$1:AA$500&lt;&gt;"",ROW($1:$500),1000),ROW(AA142)))&amp;""</f>
        <v/>
      </c>
      <c r="AH142" s="6"/>
      <c r="AL142" s="6" t="str">
        <f t="array" ref="AL142">INDEX(AJ:AJ,SMALL(IF(AJ$1:AJ$500&lt;&gt;"",ROW($1:$500),1000),ROW(AJ142)))&amp;""</f>
        <v/>
      </c>
      <c r="AM142" s="6" t="str">
        <f t="array" ref="AM142">INDEX(AK:AK,SMALL(IF(AK$1:AK$500&lt;&gt;"",ROW($1:$500),1000),ROW(AK142)))&amp;""</f>
        <v/>
      </c>
      <c r="AV142" s="6" t="str">
        <f t="array" ref="AV142">INDEX(AT:AT,SMALL(IF(AT$1:AT$500&lt;&gt;"",ROW($1:$500),1000),ROW(AT142)))&amp;""</f>
        <v/>
      </c>
      <c r="AW142" s="6" t="str">
        <f t="array" ref="AW142">INDEX(AU:AU,SMALL(IF(AU$1:AU$500&lt;&gt;"",ROW($1:$500),1000),ROW(AU142)))&amp;""</f>
        <v/>
      </c>
      <c r="BF142" s="6" t="str">
        <f t="array" ref="BF142">INDEX(BD:BD,SMALL(IF(BD$1:BD$500&lt;&gt;"",ROW($1:$500),1000),ROW(BD142)))&amp;""</f>
        <v/>
      </c>
      <c r="BG142" s="6" t="str">
        <f t="array" ref="BG142">INDEX(BE:BE,SMALL(IF(BE$1:BE$500&lt;&gt;"",ROW($1:$500),1000),ROW(BE142)))&amp;""</f>
        <v/>
      </c>
      <c r="BI142" s="8" t="s">
        <v>3102</v>
      </c>
      <c r="BJ142" s="8" t="s">
        <v>1714</v>
      </c>
      <c r="BK142" s="8" t="s">
        <v>494</v>
      </c>
      <c r="BL142" s="9">
        <v>5</v>
      </c>
      <c r="BN142" s="8" t="str">
        <f t="shared" si="16"/>
        <v/>
      </c>
      <c r="BO142" s="8" t="str">
        <f>IF(AND(VLOOKUP(BK142,查询!$C$8:$E$15,3,FALSE)="启用",$B$1=BL142),BJ142,"")</f>
        <v/>
      </c>
      <c r="BP142" s="6" t="str">
        <f t="array" ref="BP142">INDEX(BN:BN,SMALL(IF(BN$1:BN$500&lt;&gt;"",ROW($1:$500),1000),ROW(BN142)))&amp;""</f>
        <v/>
      </c>
      <c r="BQ142" s="6" t="str">
        <f t="array" ref="BQ142">INDEX(BO:BO,SMALL(IF(BO$1:BO$500&lt;&gt;"",ROW($1:$500),1000),ROW(BO142)))&amp;""</f>
        <v/>
      </c>
      <c r="BV142" s="6"/>
      <c r="BZ142" s="6" t="str">
        <f t="array" ref="BZ142">INDEX(BX:BX,SMALL(IF(BX$1:BX$500&lt;&gt;"",ROW($1:$500),1000),ROW(BX142)))&amp;""</f>
        <v/>
      </c>
      <c r="CA142" s="6" t="str">
        <f t="array" ref="CA142">INDEX(BY:BY,SMALL(IF(BY$1:BY$500&lt;&gt;"",ROW($1:$500),1000),ROW(BY142)))&amp;""</f>
        <v/>
      </c>
    </row>
    <row r="143" spans="1:79">
      <c r="A143" s="8" t="s">
        <v>2529</v>
      </c>
      <c r="B143" s="8" t="s">
        <v>1292</v>
      </c>
      <c r="C143" s="8" t="s">
        <v>1249</v>
      </c>
      <c r="D143" s="9">
        <v>3</v>
      </c>
      <c r="F143" s="8" t="str">
        <f t="shared" si="14"/>
        <v/>
      </c>
      <c r="G143" s="8" t="str">
        <f>IF(AND(VLOOKUP(C143,查询!$C$8:$E$15,3,FALSE)="启用",$B$1=D143),B143,"")</f>
        <v/>
      </c>
      <c r="H143" s="6" t="str">
        <f t="array" ref="H143">INDEX(F:F,SMALL(IF($F$1:$F$500&lt;&gt;"",ROW($1:$500),1000),ROW(F143)))&amp;""</f>
        <v/>
      </c>
      <c r="I143" s="6" t="str">
        <f t="array" ref="I143">INDEX(G:G,SMALL(IF($F$1:$F$500&lt;&gt;"",ROW($1:$500),1000),ROW(G143)))&amp;""</f>
        <v/>
      </c>
      <c r="K143" s="8" t="s">
        <v>2763</v>
      </c>
      <c r="L143" s="8" t="s">
        <v>1288</v>
      </c>
      <c r="M143" s="8" t="s">
        <v>1249</v>
      </c>
      <c r="N143" s="9">
        <v>4</v>
      </c>
      <c r="P143" s="8" t="str">
        <f t="shared" si="15"/>
        <v/>
      </c>
      <c r="Q143" s="8" t="str">
        <f>IF(AND(VLOOKUP(M143,查询!$C$8:$E$15,3,FALSE)="启用",$B$1=N143),L143,"")</f>
        <v/>
      </c>
      <c r="R143" s="6" t="str">
        <f t="array" ref="R143">INDEX(P:P,SMALL(IF(P$1:P$500&lt;&gt;"",ROW($1:$500),1000),ROW(P143)))&amp;""</f>
        <v/>
      </c>
      <c r="S143" s="6" t="str">
        <f t="array" ref="S143">INDEX(Q:Q,SMALL(IF(Q$1:Q$500&lt;&gt;"",ROW($1:$500),1000),ROW(Q143)))&amp;""</f>
        <v/>
      </c>
      <c r="X143" s="6"/>
      <c r="AB143" s="6" t="str">
        <f t="array" ref="AB143">INDEX(Z:Z,SMALL(IF(Z$1:Z$500&lt;&gt;"",ROW($1:$500),1000),ROW(Z143)))&amp;""</f>
        <v/>
      </c>
      <c r="AC143" s="6" t="str">
        <f t="array" ref="AC143">INDEX(AA:AA,SMALL(IF(AA$1:AA$500&lt;&gt;"",ROW($1:$500),1000),ROW(AA143)))&amp;""</f>
        <v/>
      </c>
      <c r="AH143" s="6"/>
      <c r="AL143" s="6" t="str">
        <f t="array" ref="AL143">INDEX(AJ:AJ,SMALL(IF(AJ$1:AJ$500&lt;&gt;"",ROW($1:$500),1000),ROW(AJ143)))&amp;""</f>
        <v/>
      </c>
      <c r="AM143" s="6" t="str">
        <f t="array" ref="AM143">INDEX(AK:AK,SMALL(IF(AK$1:AK$500&lt;&gt;"",ROW($1:$500),1000),ROW(AK143)))&amp;""</f>
        <v/>
      </c>
      <c r="AV143" s="6" t="str">
        <f t="array" ref="AV143">INDEX(AT:AT,SMALL(IF(AT$1:AT$500&lt;&gt;"",ROW($1:$500),1000),ROW(AT143)))&amp;""</f>
        <v/>
      </c>
      <c r="AW143" s="6" t="str">
        <f t="array" ref="AW143">INDEX(AU:AU,SMALL(IF(AU$1:AU$500&lt;&gt;"",ROW($1:$500),1000),ROW(AU143)))&amp;""</f>
        <v/>
      </c>
      <c r="BF143" s="6" t="str">
        <f t="array" ref="BF143">INDEX(BD:BD,SMALL(IF(BD$1:BD$500&lt;&gt;"",ROW($1:$500),1000),ROW(BD143)))&amp;""</f>
        <v/>
      </c>
      <c r="BG143" s="6" t="str">
        <f t="array" ref="BG143">INDEX(BE:BE,SMALL(IF(BE$1:BE$500&lt;&gt;"",ROW($1:$500),1000),ROW(BE143)))&amp;""</f>
        <v/>
      </c>
      <c r="BI143" s="8" t="s">
        <v>3189</v>
      </c>
      <c r="BJ143" s="8" t="s">
        <v>1508</v>
      </c>
      <c r="BK143" s="8" t="s">
        <v>494</v>
      </c>
      <c r="BL143" s="9">
        <v>6</v>
      </c>
      <c r="BN143" s="8" t="str">
        <f t="shared" si="16"/>
        <v/>
      </c>
      <c r="BO143" s="8" t="str">
        <f>IF(AND(VLOOKUP(BK143,查询!$C$8:$E$15,3,FALSE)="启用",$B$1=BL143),BJ143,"")</f>
        <v/>
      </c>
      <c r="BP143" s="6" t="str">
        <f t="array" ref="BP143">INDEX(BN:BN,SMALL(IF(BN$1:BN$500&lt;&gt;"",ROW($1:$500),1000),ROW(BN143)))&amp;""</f>
        <v/>
      </c>
      <c r="BQ143" s="6" t="str">
        <f t="array" ref="BQ143">INDEX(BO:BO,SMALL(IF(BO$1:BO$500&lt;&gt;"",ROW($1:$500),1000),ROW(BO143)))&amp;""</f>
        <v/>
      </c>
      <c r="BV143" s="6"/>
      <c r="BZ143" s="6" t="str">
        <f t="array" ref="BZ143">INDEX(BX:BX,SMALL(IF(BX$1:BX$500&lt;&gt;"",ROW($1:$500),1000),ROW(BX143)))&amp;""</f>
        <v/>
      </c>
      <c r="CA143" s="6" t="str">
        <f t="array" ref="CA143">INDEX(BY:BY,SMALL(IF(BY$1:BY$500&lt;&gt;"",ROW($1:$500),1000),ROW(BY143)))&amp;""</f>
        <v/>
      </c>
    </row>
    <row r="144" spans="1:79">
      <c r="A144" s="8" t="s">
        <v>2604</v>
      </c>
      <c r="B144" s="8" t="s">
        <v>1433</v>
      </c>
      <c r="C144" s="8" t="s">
        <v>494</v>
      </c>
      <c r="D144" s="9">
        <v>3</v>
      </c>
      <c r="F144" s="8" t="str">
        <f t="shared" si="14"/>
        <v/>
      </c>
      <c r="G144" s="8" t="str">
        <f>IF(AND(VLOOKUP(C144,查询!$C$8:$E$15,3,FALSE)="启用",$B$1=D144),B144,"")</f>
        <v/>
      </c>
      <c r="H144" s="6" t="str">
        <f t="array" ref="H144">INDEX(F:F,SMALL(IF($F$1:$F$500&lt;&gt;"",ROW($1:$500),1000),ROW(F144)))&amp;""</f>
        <v/>
      </c>
      <c r="I144" s="6" t="str">
        <f t="array" ref="I144">INDEX(G:G,SMALL(IF($F$1:$F$500&lt;&gt;"",ROW($1:$500),1000),ROW(G144)))&amp;""</f>
        <v/>
      </c>
      <c r="K144" s="8" t="s">
        <v>2767</v>
      </c>
      <c r="L144" s="8" t="s">
        <v>1296</v>
      </c>
      <c r="M144" s="8" t="s">
        <v>1249</v>
      </c>
      <c r="N144" s="9">
        <v>4</v>
      </c>
      <c r="P144" s="8" t="str">
        <f t="shared" si="15"/>
        <v/>
      </c>
      <c r="Q144" s="8" t="str">
        <f>IF(AND(VLOOKUP(M144,查询!$C$8:$E$15,3,FALSE)="启用",$B$1=N144),L144,"")</f>
        <v/>
      </c>
      <c r="R144" s="6" t="str">
        <f t="array" ref="R144">INDEX(P:P,SMALL(IF(P$1:P$500&lt;&gt;"",ROW($1:$500),1000),ROW(P144)))&amp;""</f>
        <v/>
      </c>
      <c r="S144" s="6" t="str">
        <f t="array" ref="S144">INDEX(Q:Q,SMALL(IF(Q$1:Q$500&lt;&gt;"",ROW($1:$500),1000),ROW(Q144)))&amp;""</f>
        <v/>
      </c>
      <c r="X144" s="6"/>
      <c r="AB144" s="6" t="str">
        <f t="array" ref="AB144">INDEX(Z:Z,SMALL(IF(Z$1:Z$500&lt;&gt;"",ROW($1:$500),1000),ROW(Z144)))&amp;""</f>
        <v/>
      </c>
      <c r="AC144" s="6" t="str">
        <f t="array" ref="AC144">INDEX(AA:AA,SMALL(IF(AA$1:AA$500&lt;&gt;"",ROW($1:$500),1000),ROW(AA144)))&amp;""</f>
        <v/>
      </c>
      <c r="AH144" s="6"/>
      <c r="AL144" s="6" t="str">
        <f t="array" ref="AL144">INDEX(AJ:AJ,SMALL(IF(AJ$1:AJ$500&lt;&gt;"",ROW($1:$500),1000),ROW(AJ144)))&amp;""</f>
        <v/>
      </c>
      <c r="AM144" s="6" t="str">
        <f t="array" ref="AM144">INDEX(AK:AK,SMALL(IF(AK$1:AK$500&lt;&gt;"",ROW($1:$500),1000),ROW(AK144)))&amp;""</f>
        <v/>
      </c>
      <c r="AV144" s="6" t="str">
        <f t="array" ref="AV144">INDEX(AT:AT,SMALL(IF(AT$1:AT$500&lt;&gt;"",ROW($1:$500),1000),ROW(AT144)))&amp;""</f>
        <v/>
      </c>
      <c r="AW144" s="6" t="str">
        <f t="array" ref="AW144">INDEX(AU:AU,SMALL(IF(AU$1:AU$500&lt;&gt;"",ROW($1:$500),1000),ROW(AU144)))&amp;""</f>
        <v/>
      </c>
      <c r="BF144" s="6" t="str">
        <f t="array" ref="BF144">INDEX(BD:BD,SMALL(IF(BD$1:BD$500&lt;&gt;"",ROW($1:$500),1000),ROW(BD144)))&amp;""</f>
        <v/>
      </c>
      <c r="BG144" s="6" t="str">
        <f t="array" ref="BG144">INDEX(BE:BE,SMALL(IF(BE$1:BE$500&lt;&gt;"",ROW($1:$500),1000),ROW(BE144)))&amp;""</f>
        <v/>
      </c>
      <c r="BI144" s="8" t="s">
        <v>3210</v>
      </c>
      <c r="BJ144" s="8" t="s">
        <v>1607</v>
      </c>
      <c r="BK144" s="8" t="s">
        <v>494</v>
      </c>
      <c r="BL144" s="9">
        <v>6</v>
      </c>
      <c r="BN144" s="8" t="str">
        <f t="shared" si="16"/>
        <v/>
      </c>
      <c r="BO144" s="8" t="str">
        <f>IF(AND(VLOOKUP(BK144,查询!$C$8:$E$15,3,FALSE)="启用",$B$1=BL144),BJ144,"")</f>
        <v/>
      </c>
      <c r="BP144" s="6" t="str">
        <f t="array" ref="BP144">INDEX(BN:BN,SMALL(IF(BN$1:BN$500&lt;&gt;"",ROW($1:$500),1000),ROW(BN144)))&amp;""</f>
        <v/>
      </c>
      <c r="BQ144" s="6" t="str">
        <f t="array" ref="BQ144">INDEX(BO:BO,SMALL(IF(BO$1:BO$500&lt;&gt;"",ROW($1:$500),1000),ROW(BO144)))&amp;""</f>
        <v/>
      </c>
      <c r="BV144" s="6"/>
      <c r="BZ144" s="6" t="str">
        <f t="array" ref="BZ144">INDEX(BX:BX,SMALL(IF(BX$1:BX$500&lt;&gt;"",ROW($1:$500),1000),ROW(BX144)))&amp;""</f>
        <v/>
      </c>
      <c r="CA144" s="6" t="str">
        <f t="array" ref="CA144">INDEX(BY:BY,SMALL(IF(BY$1:BY$500&lt;&gt;"",ROW($1:$500),1000),ROW(BY144)))&amp;""</f>
        <v/>
      </c>
    </row>
    <row r="145" spans="1:79">
      <c r="A145" s="8" t="s">
        <v>2609</v>
      </c>
      <c r="B145" s="8" t="s">
        <v>1448</v>
      </c>
      <c r="C145" s="8" t="s">
        <v>494</v>
      </c>
      <c r="D145" s="9">
        <v>3</v>
      </c>
      <c r="F145" s="8" t="str">
        <f t="shared" si="14"/>
        <v/>
      </c>
      <c r="G145" s="8" t="str">
        <f>IF(AND(VLOOKUP(C145,查询!$C$8:$E$15,3,FALSE)="启用",$B$1=D145),B145,"")</f>
        <v/>
      </c>
      <c r="H145" s="6" t="str">
        <f t="array" ref="H145">INDEX(F:F,SMALL(IF($F$1:$F$500&lt;&gt;"",ROW($1:$500),1000),ROW(F145)))&amp;""</f>
        <v/>
      </c>
      <c r="I145" s="6" t="str">
        <f t="array" ref="I145">INDEX(G:G,SMALL(IF($F$1:$F$500&lt;&gt;"",ROW($1:$500),1000),ROW(G145)))&amp;""</f>
        <v/>
      </c>
      <c r="K145" s="8" t="s">
        <v>2784</v>
      </c>
      <c r="L145" s="8" t="s">
        <v>1445</v>
      </c>
      <c r="M145" s="8" t="s">
        <v>494</v>
      </c>
      <c r="N145" s="9">
        <v>4</v>
      </c>
      <c r="P145" s="8" t="str">
        <f t="shared" si="15"/>
        <v/>
      </c>
      <c r="Q145" s="8" t="str">
        <f>IF(AND(VLOOKUP(M145,查询!$C$8:$E$15,3,FALSE)="启用",$B$1=N145),L145,"")</f>
        <v/>
      </c>
      <c r="R145" s="6" t="str">
        <f t="array" ref="R145">INDEX(P:P,SMALL(IF(P$1:P$500&lt;&gt;"",ROW($1:$500),1000),ROW(P145)))&amp;""</f>
        <v/>
      </c>
      <c r="S145" s="6" t="str">
        <f t="array" ref="S145">INDEX(Q:Q,SMALL(IF(Q$1:Q$500&lt;&gt;"",ROW($1:$500),1000),ROW(Q145)))&amp;""</f>
        <v/>
      </c>
      <c r="X145" s="6"/>
      <c r="AB145" s="6" t="str">
        <f t="array" ref="AB145">INDEX(Z:Z,SMALL(IF(Z$1:Z$500&lt;&gt;"",ROW($1:$500),1000),ROW(Z145)))&amp;""</f>
        <v/>
      </c>
      <c r="AC145" s="6" t="str">
        <f t="array" ref="AC145">INDEX(AA:AA,SMALL(IF(AA$1:AA$500&lt;&gt;"",ROW($1:$500),1000),ROW(AA145)))&amp;""</f>
        <v/>
      </c>
      <c r="AH145" s="6"/>
      <c r="AL145" s="6" t="str">
        <f t="array" ref="AL145">INDEX(AJ:AJ,SMALL(IF(AJ$1:AJ$500&lt;&gt;"",ROW($1:$500),1000),ROW(AJ145)))&amp;""</f>
        <v/>
      </c>
      <c r="AM145" s="6" t="str">
        <f t="array" ref="AM145">INDEX(AK:AK,SMALL(IF(AK$1:AK$500&lt;&gt;"",ROW($1:$500),1000),ROW(AK145)))&amp;""</f>
        <v/>
      </c>
      <c r="AV145" s="6" t="str">
        <f t="array" ref="AV145">INDEX(AT:AT,SMALL(IF(AT$1:AT$500&lt;&gt;"",ROW($1:$500),1000),ROW(AT145)))&amp;""</f>
        <v/>
      </c>
      <c r="AW145" s="6" t="str">
        <f t="array" ref="AW145">INDEX(AU:AU,SMALL(IF(AU$1:AU$500&lt;&gt;"",ROW($1:$500),1000),ROW(AU145)))&amp;""</f>
        <v/>
      </c>
      <c r="BF145" s="6" t="str">
        <f t="array" ref="BF145">INDEX(BD:BD,SMALL(IF(BD$1:BD$500&lt;&gt;"",ROW($1:$500),1000),ROW(BD145)))&amp;""</f>
        <v/>
      </c>
      <c r="BG145" s="6" t="str">
        <f t="array" ref="BG145">INDEX(BE:BE,SMALL(IF(BE$1:BE$500&lt;&gt;"",ROW($1:$500),1000),ROW(BE145)))&amp;""</f>
        <v/>
      </c>
      <c r="BI145" s="8" t="s">
        <v>3212</v>
      </c>
      <c r="BJ145" s="8" t="s">
        <v>1608</v>
      </c>
      <c r="BK145" s="8" t="s">
        <v>494</v>
      </c>
      <c r="BL145" s="9">
        <v>6</v>
      </c>
      <c r="BN145" s="8" t="str">
        <f t="shared" si="16"/>
        <v/>
      </c>
      <c r="BO145" s="8" t="str">
        <f>IF(AND(VLOOKUP(BK145,查询!$C$8:$E$15,3,FALSE)="启用",$B$1=BL145),BJ145,"")</f>
        <v/>
      </c>
      <c r="BP145" s="6" t="str">
        <f t="array" ref="BP145">INDEX(BN:BN,SMALL(IF(BN$1:BN$500&lt;&gt;"",ROW($1:$500),1000),ROW(BN145)))&amp;""</f>
        <v/>
      </c>
      <c r="BQ145" s="6" t="str">
        <f t="array" ref="BQ145">INDEX(BO:BO,SMALL(IF(BO$1:BO$500&lt;&gt;"",ROW($1:$500),1000),ROW(BO145)))&amp;""</f>
        <v/>
      </c>
      <c r="BV145" s="6"/>
      <c r="BZ145" s="6" t="str">
        <f t="array" ref="BZ145">INDEX(BX:BX,SMALL(IF(BX$1:BX$500&lt;&gt;"",ROW($1:$500),1000),ROW(BX145)))&amp;""</f>
        <v/>
      </c>
      <c r="CA145" s="6" t="str">
        <f t="array" ref="CA145">INDEX(BY:BY,SMALL(IF(BY$1:BY$500&lt;&gt;"",ROW($1:$500),1000),ROW(BY145)))&amp;""</f>
        <v/>
      </c>
    </row>
    <row r="146" spans="1:79">
      <c r="A146" s="8" t="s">
        <v>2615</v>
      </c>
      <c r="B146" s="8" t="s">
        <v>1451</v>
      </c>
      <c r="C146" s="8" t="s">
        <v>494</v>
      </c>
      <c r="D146" s="9">
        <v>3</v>
      </c>
      <c r="F146" s="8" t="str">
        <f t="shared" si="14"/>
        <v/>
      </c>
      <c r="G146" s="8" t="str">
        <f>IF(AND(VLOOKUP(C146,查询!$C$8:$E$15,3,FALSE)="启用",$B$1=D146),B146,"")</f>
        <v/>
      </c>
      <c r="H146" s="6" t="str">
        <f t="array" ref="H146">INDEX(F:F,SMALL(IF($F$1:$F$500&lt;&gt;"",ROW($1:$500),1000),ROW(F146)))&amp;""</f>
        <v/>
      </c>
      <c r="I146" s="6" t="str">
        <f t="array" ref="I146">INDEX(G:G,SMALL(IF($F$1:$F$500&lt;&gt;"",ROW($1:$500),1000),ROW(G146)))&amp;""</f>
        <v/>
      </c>
      <c r="K146" s="8" t="s">
        <v>2787</v>
      </c>
      <c r="L146" s="8" t="s">
        <v>1468</v>
      </c>
      <c r="M146" s="8" t="s">
        <v>494</v>
      </c>
      <c r="N146" s="9">
        <v>4</v>
      </c>
      <c r="P146" s="8" t="str">
        <f t="shared" si="15"/>
        <v/>
      </c>
      <c r="Q146" s="8" t="str">
        <f>IF(AND(VLOOKUP(M146,查询!$C$8:$E$15,3,FALSE)="启用",$B$1=N146),L146,"")</f>
        <v/>
      </c>
      <c r="R146" s="6" t="str">
        <f t="array" ref="R146">INDEX(P:P,SMALL(IF(P$1:P$500&lt;&gt;"",ROW($1:$500),1000),ROW(P146)))&amp;""</f>
        <v/>
      </c>
      <c r="S146" s="6" t="str">
        <f t="array" ref="S146">INDEX(Q:Q,SMALL(IF(Q$1:Q$500&lt;&gt;"",ROW($1:$500),1000),ROW(Q146)))&amp;""</f>
        <v/>
      </c>
      <c r="X146" s="6"/>
      <c r="AB146" s="6" t="str">
        <f t="array" ref="AB146">INDEX(Z:Z,SMALL(IF(Z$1:Z$500&lt;&gt;"",ROW($1:$500),1000),ROW(Z146)))&amp;""</f>
        <v/>
      </c>
      <c r="AC146" s="6" t="str">
        <f t="array" ref="AC146">INDEX(AA:AA,SMALL(IF(AA$1:AA$500&lt;&gt;"",ROW($1:$500),1000),ROW(AA146)))&amp;""</f>
        <v/>
      </c>
      <c r="AH146" s="6"/>
      <c r="AL146" s="6" t="str">
        <f t="array" ref="AL146">INDEX(AJ:AJ,SMALL(IF(AJ$1:AJ$500&lt;&gt;"",ROW($1:$500),1000),ROW(AJ146)))&amp;""</f>
        <v/>
      </c>
      <c r="AM146" s="6" t="str">
        <f t="array" ref="AM146">INDEX(AK:AK,SMALL(IF(AK$1:AK$500&lt;&gt;"",ROW($1:$500),1000),ROW(AK146)))&amp;""</f>
        <v/>
      </c>
      <c r="AV146" s="6" t="str">
        <f t="array" ref="AV146">INDEX(AT:AT,SMALL(IF(AT$1:AT$500&lt;&gt;"",ROW($1:$500),1000),ROW(AT146)))&amp;""</f>
        <v/>
      </c>
      <c r="AW146" s="6" t="str">
        <f t="array" ref="AW146">INDEX(AU:AU,SMALL(IF(AU$1:AU$500&lt;&gt;"",ROW($1:$500),1000),ROW(AU146)))&amp;""</f>
        <v/>
      </c>
      <c r="BF146" s="6" t="str">
        <f t="array" ref="BF146">INDEX(BD:BD,SMALL(IF(BD$1:BD$500&lt;&gt;"",ROW($1:$500),1000),ROW(BD146)))&amp;""</f>
        <v/>
      </c>
      <c r="BG146" s="6" t="str">
        <f t="array" ref="BG146">INDEX(BE:BE,SMALL(IF(BE$1:BE$500&lt;&gt;"",ROW($1:$500),1000),ROW(BE146)))&amp;""</f>
        <v/>
      </c>
      <c r="BI146" s="8" t="s">
        <v>3137</v>
      </c>
      <c r="BJ146" s="8" t="s">
        <v>1335</v>
      </c>
      <c r="BK146" s="8" t="s">
        <v>1249</v>
      </c>
      <c r="BL146" s="9">
        <v>6</v>
      </c>
      <c r="BN146" s="8" t="str">
        <f t="shared" si="16"/>
        <v/>
      </c>
      <c r="BO146" s="8" t="str">
        <f>IF(AND(VLOOKUP(BK146,查询!$C$8:$E$15,3,FALSE)="启用",$B$1=BL146),BJ146,"")</f>
        <v/>
      </c>
      <c r="BP146" s="6" t="str">
        <f t="array" ref="BP146">INDEX(BN:BN,SMALL(IF(BN$1:BN$500&lt;&gt;"",ROW($1:$500),1000),ROW(BN146)))&amp;""</f>
        <v/>
      </c>
      <c r="BQ146" s="6" t="str">
        <f t="array" ref="BQ146">INDEX(BO:BO,SMALL(IF(BO$1:BO$500&lt;&gt;"",ROW($1:$500),1000),ROW(BO146)))&amp;""</f>
        <v/>
      </c>
      <c r="BV146" s="6"/>
      <c r="BZ146" s="6" t="str">
        <f t="array" ref="BZ146">INDEX(BX:BX,SMALL(IF(BX$1:BX$500&lt;&gt;"",ROW($1:$500),1000),ROW(BX146)))&amp;""</f>
        <v/>
      </c>
      <c r="CA146" s="6" t="str">
        <f t="array" ref="CA146">INDEX(BY:BY,SMALL(IF(BY$1:BY$500&lt;&gt;"",ROW($1:$500),1000),ROW(BY146)))&amp;""</f>
        <v/>
      </c>
    </row>
    <row r="147" spans="1:79">
      <c r="A147" s="8" t="s">
        <v>2619</v>
      </c>
      <c r="B147" s="8" t="s">
        <v>1454</v>
      </c>
      <c r="C147" s="8" t="s">
        <v>494</v>
      </c>
      <c r="D147" s="9">
        <v>3</v>
      </c>
      <c r="F147" s="8" t="str">
        <f t="shared" si="14"/>
        <v/>
      </c>
      <c r="G147" s="8" t="str">
        <f>IF(AND(VLOOKUP(C147,查询!$C$8:$E$15,3,FALSE)="启用",$B$1=D147),B147,"")</f>
        <v/>
      </c>
      <c r="H147" s="6" t="str">
        <f t="array" ref="H147">INDEX(F:F,SMALL(IF($F$1:$F$500&lt;&gt;"",ROW($1:$500),1000),ROW(F147)))&amp;""</f>
        <v/>
      </c>
      <c r="I147" s="6" t="str">
        <f t="array" ref="I147">INDEX(G:G,SMALL(IF($F$1:$F$500&lt;&gt;"",ROW($1:$500),1000),ROW(G147)))&amp;""</f>
        <v/>
      </c>
      <c r="K147" s="8" t="s">
        <v>2804</v>
      </c>
      <c r="L147" s="8" t="s">
        <v>1541</v>
      </c>
      <c r="M147" s="8" t="s">
        <v>494</v>
      </c>
      <c r="N147" s="9">
        <v>4</v>
      </c>
      <c r="P147" s="8" t="str">
        <f t="shared" si="15"/>
        <v/>
      </c>
      <c r="Q147" s="8" t="str">
        <f>IF(AND(VLOOKUP(M147,查询!$C$8:$E$15,3,FALSE)="启用",$B$1=N147),L147,"")</f>
        <v/>
      </c>
      <c r="R147" s="6" t="str">
        <f t="array" ref="R147">INDEX(P:P,SMALL(IF(P$1:P$500&lt;&gt;"",ROW($1:$500),1000),ROW(P147)))&amp;""</f>
        <v/>
      </c>
      <c r="S147" s="6" t="str">
        <f t="array" ref="S147">INDEX(Q:Q,SMALL(IF(Q$1:Q$500&lt;&gt;"",ROW($1:$500),1000),ROW(Q147)))&amp;""</f>
        <v/>
      </c>
      <c r="X147" s="6"/>
      <c r="AB147" s="6" t="str">
        <f t="array" ref="AB147">INDEX(Z:Z,SMALL(IF(Z$1:Z$500&lt;&gt;"",ROW($1:$500),1000),ROW(Z147)))&amp;""</f>
        <v/>
      </c>
      <c r="AC147" s="6" t="str">
        <f t="array" ref="AC147">INDEX(AA:AA,SMALL(IF(AA$1:AA$500&lt;&gt;"",ROW($1:$500),1000),ROW(AA147)))&amp;""</f>
        <v/>
      </c>
      <c r="AH147" s="6"/>
      <c r="AL147" s="6" t="str">
        <f t="array" ref="AL147">INDEX(AJ:AJ,SMALL(IF(AJ$1:AJ$500&lt;&gt;"",ROW($1:$500),1000),ROW(AJ147)))&amp;""</f>
        <v/>
      </c>
      <c r="AM147" s="6" t="str">
        <f t="array" ref="AM147">INDEX(AK:AK,SMALL(IF(AK$1:AK$500&lt;&gt;"",ROW($1:$500),1000),ROW(AK147)))&amp;""</f>
        <v/>
      </c>
      <c r="AV147" s="6" t="str">
        <f t="array" ref="AV147">INDEX(AT:AT,SMALL(IF(AT$1:AT$500&lt;&gt;"",ROW($1:$500),1000),ROW(AT147)))&amp;""</f>
        <v/>
      </c>
      <c r="AW147" s="6" t="str">
        <f t="array" ref="AW147">INDEX(AU:AU,SMALL(IF(AU$1:AU$500&lt;&gt;"",ROW($1:$500),1000),ROW(AU147)))&amp;""</f>
        <v/>
      </c>
      <c r="BF147" s="6" t="str">
        <f t="array" ref="BF147">INDEX(BD:BD,SMALL(IF(BD$1:BD$500&lt;&gt;"",ROW($1:$500),1000),ROW(BD147)))&amp;""</f>
        <v/>
      </c>
      <c r="BG147" s="6" t="str">
        <f t="array" ref="BG147">INDEX(BE:BE,SMALL(IF(BE$1:BE$500&lt;&gt;"",ROW($1:$500),1000),ROW(BE147)))&amp;""</f>
        <v/>
      </c>
      <c r="BI147" s="8" t="s">
        <v>3139</v>
      </c>
      <c r="BJ147" s="8" t="s">
        <v>1737</v>
      </c>
      <c r="BK147" s="8" t="s">
        <v>578</v>
      </c>
      <c r="BL147" s="9">
        <v>6</v>
      </c>
      <c r="BN147" s="8" t="str">
        <f t="shared" si="16"/>
        <v/>
      </c>
      <c r="BO147" s="8" t="str">
        <f>IF(AND(VLOOKUP(BK147,查询!$C$8:$E$15,3,FALSE)="启用",$B$1=BL147),BJ147,"")</f>
        <v/>
      </c>
      <c r="BP147" s="6" t="str">
        <f t="array" ref="BP147">INDEX(BN:BN,SMALL(IF(BN$1:BN$500&lt;&gt;"",ROW($1:$500),1000),ROW(BN147)))&amp;""</f>
        <v/>
      </c>
      <c r="BQ147" s="6" t="str">
        <f t="array" ref="BQ147">INDEX(BO:BO,SMALL(IF(BO$1:BO$500&lt;&gt;"",ROW($1:$500),1000),ROW(BO147)))&amp;""</f>
        <v/>
      </c>
      <c r="BV147" s="6"/>
      <c r="BZ147" s="6" t="str">
        <f t="array" ref="BZ147">INDEX(BX:BX,SMALL(IF(BX$1:BX$500&lt;&gt;"",ROW($1:$500),1000),ROW(BX147)))&amp;""</f>
        <v/>
      </c>
      <c r="CA147" s="6" t="str">
        <f t="array" ref="CA147">INDEX(BY:BY,SMALL(IF(BY$1:BY$500&lt;&gt;"",ROW($1:$500),1000),ROW(BY147)))&amp;""</f>
        <v/>
      </c>
    </row>
    <row r="148" spans="1:79">
      <c r="A148" s="8" t="s">
        <v>2623</v>
      </c>
      <c r="B148" s="8" t="s">
        <v>1476</v>
      </c>
      <c r="C148" s="8" t="s">
        <v>494</v>
      </c>
      <c r="D148" s="9">
        <v>3</v>
      </c>
      <c r="F148" s="8" t="str">
        <f t="shared" si="14"/>
        <v/>
      </c>
      <c r="G148" s="8" t="str">
        <f>IF(AND(VLOOKUP(C148,查询!$C$8:$E$15,3,FALSE)="启用",$B$1=D148),B148,"")</f>
        <v/>
      </c>
      <c r="H148" s="6" t="str">
        <f t="array" ref="H148">INDEX(F:F,SMALL(IF($F$1:$F$500&lt;&gt;"",ROW($1:$500),1000),ROW(F148)))&amp;""</f>
        <v/>
      </c>
      <c r="I148" s="6" t="str">
        <f t="array" ref="I148">INDEX(G:G,SMALL(IF($F$1:$F$500&lt;&gt;"",ROW($1:$500),1000),ROW(G148)))&amp;""</f>
        <v/>
      </c>
      <c r="K148" s="8" t="s">
        <v>2808</v>
      </c>
      <c r="L148" s="8" t="s">
        <v>1542</v>
      </c>
      <c r="M148" s="8" t="s">
        <v>494</v>
      </c>
      <c r="N148" s="9">
        <v>4</v>
      </c>
      <c r="P148" s="8" t="str">
        <f t="shared" si="15"/>
        <v/>
      </c>
      <c r="Q148" s="8" t="str">
        <f>IF(AND(VLOOKUP(M148,查询!$C$8:$E$15,3,FALSE)="启用",$B$1=N148),L148,"")</f>
        <v/>
      </c>
      <c r="R148" s="6" t="str">
        <f t="array" ref="R148">INDEX(P:P,SMALL(IF(P$1:P$500&lt;&gt;"",ROW($1:$500),1000),ROW(P148)))&amp;""</f>
        <v/>
      </c>
      <c r="S148" s="6" t="str">
        <f t="array" ref="S148">INDEX(Q:Q,SMALL(IF(Q$1:Q$500&lt;&gt;"",ROW($1:$500),1000),ROW(Q148)))&amp;""</f>
        <v/>
      </c>
      <c r="X148" s="6"/>
      <c r="AB148" s="6" t="str">
        <f t="array" ref="AB148">INDEX(Z:Z,SMALL(IF(Z$1:Z$500&lt;&gt;"",ROW($1:$500),1000),ROW(Z148)))&amp;""</f>
        <v/>
      </c>
      <c r="AC148" s="6" t="str">
        <f t="array" ref="AC148">INDEX(AA:AA,SMALL(IF(AA$1:AA$500&lt;&gt;"",ROW($1:$500),1000),ROW(AA148)))&amp;""</f>
        <v/>
      </c>
      <c r="AH148" s="6"/>
      <c r="AL148" s="6" t="str">
        <f t="array" ref="AL148">INDEX(AJ:AJ,SMALL(IF(AJ$1:AJ$500&lt;&gt;"",ROW($1:$500),1000),ROW(AJ148)))&amp;""</f>
        <v/>
      </c>
      <c r="AM148" s="6" t="str">
        <f t="array" ref="AM148">INDEX(AK:AK,SMALL(IF(AK$1:AK$500&lt;&gt;"",ROW($1:$500),1000),ROW(AK148)))&amp;""</f>
        <v/>
      </c>
      <c r="AV148" s="6" t="str">
        <f t="array" ref="AV148">INDEX(AT:AT,SMALL(IF(AT$1:AT$500&lt;&gt;"",ROW($1:$500),1000),ROW(AT148)))&amp;""</f>
        <v/>
      </c>
      <c r="AW148" s="6" t="str">
        <f t="array" ref="AW148">INDEX(AU:AU,SMALL(IF(AU$1:AU$500&lt;&gt;"",ROW($1:$500),1000),ROW(AU148)))&amp;""</f>
        <v/>
      </c>
      <c r="BF148" s="6" t="str">
        <f t="array" ref="BF148">INDEX(BD:BD,SMALL(IF(BD$1:BD$500&lt;&gt;"",ROW($1:$500),1000),ROW(BD148)))&amp;""</f>
        <v/>
      </c>
      <c r="BG148" s="6" t="str">
        <f t="array" ref="BG148">INDEX(BE:BE,SMALL(IF(BE$1:BE$500&lt;&gt;"",ROW($1:$500),1000),ROW(BE148)))&amp;""</f>
        <v/>
      </c>
      <c r="BI148" s="8" t="s">
        <v>3139</v>
      </c>
      <c r="BJ148" s="8" t="s">
        <v>1336</v>
      </c>
      <c r="BK148" s="8" t="s">
        <v>1249</v>
      </c>
      <c r="BL148" s="9">
        <v>6</v>
      </c>
      <c r="BN148" s="8" t="str">
        <f t="shared" si="16"/>
        <v/>
      </c>
      <c r="BO148" s="8" t="str">
        <f>IF(AND(VLOOKUP(BK148,查询!$C$8:$E$15,3,FALSE)="启用",$B$1=BL148),BJ148,"")</f>
        <v/>
      </c>
      <c r="BP148" s="6" t="str">
        <f t="array" ref="BP148">INDEX(BN:BN,SMALL(IF(BN$1:BN$500&lt;&gt;"",ROW($1:$500),1000),ROW(BN148)))&amp;""</f>
        <v/>
      </c>
      <c r="BQ148" s="6" t="str">
        <f t="array" ref="BQ148">INDEX(BO:BO,SMALL(IF(BO$1:BO$500&lt;&gt;"",ROW($1:$500),1000),ROW(BO148)))&amp;""</f>
        <v/>
      </c>
      <c r="BV148" s="6"/>
      <c r="BZ148" s="6" t="str">
        <f t="array" ref="BZ148">INDEX(BX:BX,SMALL(IF(BX$1:BX$500&lt;&gt;"",ROW($1:$500),1000),ROW(BX148)))&amp;""</f>
        <v/>
      </c>
      <c r="CA148" s="6" t="str">
        <f t="array" ref="CA148">INDEX(BY:BY,SMALL(IF(BY$1:BY$500&lt;&gt;"",ROW($1:$500),1000),ROW(BY148)))&amp;""</f>
        <v/>
      </c>
    </row>
    <row r="149" spans="1:79">
      <c r="A149" s="8" t="s">
        <v>2627</v>
      </c>
      <c r="B149" s="8" t="s">
        <v>1482</v>
      </c>
      <c r="C149" s="8" t="s">
        <v>494</v>
      </c>
      <c r="D149" s="9">
        <v>3</v>
      </c>
      <c r="F149" s="8" t="str">
        <f t="shared" si="14"/>
        <v/>
      </c>
      <c r="G149" s="8" t="str">
        <f>IF(AND(VLOOKUP(C149,查询!$C$8:$E$15,3,FALSE)="启用",$B$1=D149),B149,"")</f>
        <v/>
      </c>
      <c r="H149" s="6" t="str">
        <f t="array" ref="H149">INDEX(F:F,SMALL(IF($F$1:$F$500&lt;&gt;"",ROW($1:$500),1000),ROW(F149)))&amp;""</f>
        <v/>
      </c>
      <c r="I149" s="6" t="str">
        <f t="array" ref="I149">INDEX(G:G,SMALL(IF($F$1:$F$500&lt;&gt;"",ROW($1:$500),1000),ROW(G149)))&amp;""</f>
        <v/>
      </c>
      <c r="K149" s="8" t="s">
        <v>2820</v>
      </c>
      <c r="L149" s="8" t="s">
        <v>1576</v>
      </c>
      <c r="M149" s="8" t="s">
        <v>494</v>
      </c>
      <c r="N149" s="9">
        <v>4</v>
      </c>
      <c r="P149" s="8" t="str">
        <f t="shared" si="15"/>
        <v/>
      </c>
      <c r="Q149" s="8" t="str">
        <f>IF(AND(VLOOKUP(M149,查询!$C$8:$E$15,3,FALSE)="启用",$B$1=N149),L149,"")</f>
        <v/>
      </c>
      <c r="R149" s="6" t="str">
        <f t="array" ref="R149">INDEX(P:P,SMALL(IF(P$1:P$500&lt;&gt;"",ROW($1:$500),1000),ROW(P149)))&amp;""</f>
        <v/>
      </c>
      <c r="S149" s="6" t="str">
        <f t="array" ref="S149">INDEX(Q:Q,SMALL(IF(Q$1:Q$500&lt;&gt;"",ROW($1:$500),1000),ROW(Q149)))&amp;""</f>
        <v/>
      </c>
      <c r="X149" s="6"/>
      <c r="AB149" s="6" t="str">
        <f t="array" ref="AB149">INDEX(Z:Z,SMALL(IF(Z$1:Z$500&lt;&gt;"",ROW($1:$500),1000),ROW(Z149)))&amp;""</f>
        <v/>
      </c>
      <c r="AC149" s="6" t="str">
        <f t="array" ref="AC149">INDEX(AA:AA,SMALL(IF(AA$1:AA$500&lt;&gt;"",ROW($1:$500),1000),ROW(AA149)))&amp;""</f>
        <v/>
      </c>
      <c r="AH149" s="6"/>
      <c r="AL149" s="6" t="str">
        <f t="array" ref="AL149">INDEX(AJ:AJ,SMALL(IF(AJ$1:AJ$500&lt;&gt;"",ROW($1:$500),1000),ROW(AJ149)))&amp;""</f>
        <v/>
      </c>
      <c r="AM149" s="6" t="str">
        <f t="array" ref="AM149">INDEX(AK:AK,SMALL(IF(AK$1:AK$500&lt;&gt;"",ROW($1:$500),1000),ROW(AK149)))&amp;""</f>
        <v/>
      </c>
      <c r="AV149" s="6" t="str">
        <f t="array" ref="AV149">INDEX(AT:AT,SMALL(IF(AT$1:AT$500&lt;&gt;"",ROW($1:$500),1000),ROW(AT149)))&amp;""</f>
        <v/>
      </c>
      <c r="AW149" s="6" t="str">
        <f t="array" ref="AW149">INDEX(AU:AU,SMALL(IF(AU$1:AU$500&lt;&gt;"",ROW($1:$500),1000),ROW(AU149)))&amp;""</f>
        <v/>
      </c>
      <c r="BF149" s="6" t="str">
        <f t="array" ref="BF149">INDEX(BD:BD,SMALL(IF(BD$1:BD$500&lt;&gt;"",ROW($1:$500),1000),ROW(BD149)))&amp;""</f>
        <v/>
      </c>
      <c r="BG149" s="6" t="str">
        <f t="array" ref="BG149">INDEX(BE:BE,SMALL(IF(BE$1:BE$500&lt;&gt;"",ROW($1:$500),1000),ROW(BE149)))&amp;""</f>
        <v/>
      </c>
      <c r="BI149" s="8" t="s">
        <v>3141</v>
      </c>
      <c r="BJ149" s="8" t="s">
        <v>1738</v>
      </c>
      <c r="BK149" s="8" t="s">
        <v>578</v>
      </c>
      <c r="BL149" s="9">
        <v>6</v>
      </c>
      <c r="BN149" s="8" t="str">
        <f t="shared" si="16"/>
        <v/>
      </c>
      <c r="BO149" s="8" t="str">
        <f>IF(AND(VLOOKUP(BK149,查询!$C$8:$E$15,3,FALSE)="启用",$B$1=BL149),BJ149,"")</f>
        <v/>
      </c>
      <c r="BP149" s="6" t="str">
        <f t="array" ref="BP149">INDEX(BN:BN,SMALL(IF(BN$1:BN$500&lt;&gt;"",ROW($1:$500),1000),ROW(BN149)))&amp;""</f>
        <v/>
      </c>
      <c r="BQ149" s="6" t="str">
        <f t="array" ref="BQ149">INDEX(BO:BO,SMALL(IF(BO$1:BO$500&lt;&gt;"",ROW($1:$500),1000),ROW(BO149)))&amp;""</f>
        <v/>
      </c>
      <c r="BV149" s="6"/>
      <c r="BZ149" s="6" t="str">
        <f t="array" ref="BZ149">INDEX(BX:BX,SMALL(IF(BX$1:BX$500&lt;&gt;"",ROW($1:$500),1000),ROW(BX149)))&amp;""</f>
        <v/>
      </c>
      <c r="CA149" s="6" t="str">
        <f t="array" ref="CA149">INDEX(BY:BY,SMALL(IF(BY$1:BY$500&lt;&gt;"",ROW($1:$500),1000),ROW(BY149)))&amp;""</f>
        <v/>
      </c>
    </row>
    <row r="150" spans="1:79">
      <c r="A150" s="8" t="s">
        <v>2633</v>
      </c>
      <c r="B150" s="8" t="s">
        <v>1485</v>
      </c>
      <c r="C150" s="8" t="s">
        <v>494</v>
      </c>
      <c r="D150" s="9">
        <v>3</v>
      </c>
      <c r="F150" s="8" t="str">
        <f t="shared" si="14"/>
        <v/>
      </c>
      <c r="G150" s="8" t="str">
        <f>IF(AND(VLOOKUP(C150,查询!$C$8:$E$15,3,FALSE)="启用",$B$1=D150),B150,"")</f>
        <v/>
      </c>
      <c r="H150" s="6" t="str">
        <f t="array" ref="H150">INDEX(F:F,SMALL(IF($F$1:$F$500&lt;&gt;"",ROW($1:$500),1000),ROW(F150)))&amp;""</f>
        <v/>
      </c>
      <c r="I150" s="6" t="str">
        <f t="array" ref="I150">INDEX(G:G,SMALL(IF($F$1:$F$500&lt;&gt;"",ROW($1:$500),1000),ROW(G150)))&amp;""</f>
        <v/>
      </c>
      <c r="K150" s="8" t="s">
        <v>2779</v>
      </c>
      <c r="L150" s="8" t="s">
        <v>1749</v>
      </c>
      <c r="M150" s="8" t="s">
        <v>578</v>
      </c>
      <c r="N150" s="9">
        <v>4</v>
      </c>
      <c r="P150" s="8" t="str">
        <f t="shared" si="15"/>
        <v/>
      </c>
      <c r="Q150" s="8" t="str">
        <f>IF(AND(VLOOKUP(M150,查询!$C$8:$E$15,3,FALSE)="启用",$B$1=N150),L150,"")</f>
        <v/>
      </c>
      <c r="R150" s="6" t="str">
        <f t="array" ref="R150">INDEX(P:P,SMALL(IF(P$1:P$500&lt;&gt;"",ROW($1:$500),1000),ROW(P150)))&amp;""</f>
        <v/>
      </c>
      <c r="S150" s="6" t="str">
        <f t="array" ref="S150">INDEX(Q:Q,SMALL(IF(Q$1:Q$500&lt;&gt;"",ROW($1:$500),1000),ROW(Q150)))&amp;""</f>
        <v/>
      </c>
      <c r="X150" s="6"/>
      <c r="AB150" s="6" t="str">
        <f t="array" ref="AB150">INDEX(Z:Z,SMALL(IF(Z$1:Z$500&lt;&gt;"",ROW($1:$500),1000),ROW(Z150)))&amp;""</f>
        <v/>
      </c>
      <c r="AC150" s="6" t="str">
        <f t="array" ref="AC150">INDEX(AA:AA,SMALL(IF(AA$1:AA$500&lt;&gt;"",ROW($1:$500),1000),ROW(AA150)))&amp;""</f>
        <v/>
      </c>
      <c r="AH150" s="6"/>
      <c r="AL150" s="6" t="str">
        <f t="array" ref="AL150">INDEX(AJ:AJ,SMALL(IF(AJ$1:AJ$500&lt;&gt;"",ROW($1:$500),1000),ROW(AJ150)))&amp;""</f>
        <v/>
      </c>
      <c r="AM150" s="6" t="str">
        <f t="array" ref="AM150">INDEX(AK:AK,SMALL(IF(AK$1:AK$500&lt;&gt;"",ROW($1:$500),1000),ROW(AK150)))&amp;""</f>
        <v/>
      </c>
      <c r="AV150" s="6" t="str">
        <f t="array" ref="AV150">INDEX(AT:AT,SMALL(IF(AT$1:AT$500&lt;&gt;"",ROW($1:$500),1000),ROW(AT150)))&amp;""</f>
        <v/>
      </c>
      <c r="AW150" s="6" t="str">
        <f t="array" ref="AW150">INDEX(AU:AU,SMALL(IF(AU$1:AU$500&lt;&gt;"",ROW($1:$500),1000),ROW(AU150)))&amp;""</f>
        <v/>
      </c>
      <c r="BF150" s="6" t="str">
        <f t="array" ref="BF150">INDEX(BD:BD,SMALL(IF(BD$1:BD$500&lt;&gt;"",ROW($1:$500),1000),ROW(BD150)))&amp;""</f>
        <v/>
      </c>
      <c r="BG150" s="6" t="str">
        <f t="array" ref="BG150">INDEX(BE:BE,SMALL(IF(BE$1:BE$500&lt;&gt;"",ROW($1:$500),1000),ROW(BE150)))&amp;""</f>
        <v/>
      </c>
      <c r="BI150" s="8" t="s">
        <v>3141</v>
      </c>
      <c r="BJ150" s="8" t="s">
        <v>1337</v>
      </c>
      <c r="BK150" s="8" t="s">
        <v>1249</v>
      </c>
      <c r="BL150" s="9">
        <v>6</v>
      </c>
      <c r="BN150" s="8" t="str">
        <f t="shared" si="16"/>
        <v/>
      </c>
      <c r="BO150" s="8" t="str">
        <f>IF(AND(VLOOKUP(BK150,查询!$C$8:$E$15,3,FALSE)="启用",$B$1=BL150),BJ150,"")</f>
        <v/>
      </c>
      <c r="BP150" s="6" t="str">
        <f t="array" ref="BP150">INDEX(BN:BN,SMALL(IF(BN$1:BN$500&lt;&gt;"",ROW($1:$500),1000),ROW(BN150)))&amp;""</f>
        <v/>
      </c>
      <c r="BQ150" s="6" t="str">
        <f t="array" ref="BQ150">INDEX(BO:BO,SMALL(IF(BO$1:BO$500&lt;&gt;"",ROW($1:$500),1000),ROW(BO150)))&amp;""</f>
        <v/>
      </c>
      <c r="BV150" s="6"/>
      <c r="BZ150" s="6" t="str">
        <f t="array" ref="BZ150">INDEX(BX:BX,SMALL(IF(BX$1:BX$500&lt;&gt;"",ROW($1:$500),1000),ROW(BX150)))&amp;""</f>
        <v/>
      </c>
      <c r="CA150" s="6" t="str">
        <f t="array" ref="CA150">INDEX(BY:BY,SMALL(IF(BY$1:BY$500&lt;&gt;"",ROW($1:$500),1000),ROW(BY150)))&amp;""</f>
        <v/>
      </c>
    </row>
    <row r="151" spans="1:79">
      <c r="A151" s="8" t="s">
        <v>2638</v>
      </c>
      <c r="B151" s="8" t="s">
        <v>1489</v>
      </c>
      <c r="C151" s="8" t="s">
        <v>494</v>
      </c>
      <c r="D151" s="9">
        <v>3</v>
      </c>
      <c r="F151" s="8" t="str">
        <f t="shared" si="14"/>
        <v/>
      </c>
      <c r="G151" s="8" t="str">
        <f>IF(AND(VLOOKUP(C151,查询!$C$8:$E$15,3,FALSE)="启用",$B$1=D151),B151,"")</f>
        <v/>
      </c>
      <c r="H151" s="6" t="str">
        <f t="array" ref="H151">INDEX(F:F,SMALL(IF($F$1:$F$500&lt;&gt;"",ROW($1:$500),1000),ROW(F151)))&amp;""</f>
        <v/>
      </c>
      <c r="I151" s="6" t="str">
        <f t="array" ref="I151">INDEX(G:G,SMALL(IF($F$1:$F$500&lt;&gt;"",ROW($1:$500),1000),ROW(G151)))&amp;""</f>
        <v/>
      </c>
      <c r="K151" s="8" t="s">
        <v>2779</v>
      </c>
      <c r="L151" s="8" t="s">
        <v>1348</v>
      </c>
      <c r="M151" s="8" t="s">
        <v>1249</v>
      </c>
      <c r="N151" s="9">
        <v>4</v>
      </c>
      <c r="P151" s="8" t="str">
        <f t="shared" si="15"/>
        <v/>
      </c>
      <c r="Q151" s="8" t="str">
        <f>IF(AND(VLOOKUP(M151,查询!$C$8:$E$15,3,FALSE)="启用",$B$1=N151),L151,"")</f>
        <v/>
      </c>
      <c r="R151" s="6" t="str">
        <f t="array" ref="R151">INDEX(P:P,SMALL(IF(P$1:P$500&lt;&gt;"",ROW($1:$500),1000),ROW(P151)))&amp;""</f>
        <v/>
      </c>
      <c r="S151" s="6" t="str">
        <f t="array" ref="S151">INDEX(Q:Q,SMALL(IF(Q$1:Q$500&lt;&gt;"",ROW($1:$500),1000),ROW(Q151)))&amp;""</f>
        <v/>
      </c>
      <c r="X151" s="6"/>
      <c r="AB151" s="6" t="str">
        <f t="array" ref="AB151">INDEX(Z:Z,SMALL(IF(Z$1:Z$500&lt;&gt;"",ROW($1:$500),1000),ROW(Z151)))&amp;""</f>
        <v/>
      </c>
      <c r="AC151" s="6" t="str">
        <f t="array" ref="AC151">INDEX(AA:AA,SMALL(IF(AA$1:AA$500&lt;&gt;"",ROW($1:$500),1000),ROW(AA151)))&amp;""</f>
        <v/>
      </c>
      <c r="AH151" s="6"/>
      <c r="AL151" s="6" t="str">
        <f t="array" ref="AL151">INDEX(AJ:AJ,SMALL(IF(AJ$1:AJ$500&lt;&gt;"",ROW($1:$500),1000),ROW(AJ151)))&amp;""</f>
        <v/>
      </c>
      <c r="AM151" s="6" t="str">
        <f t="array" ref="AM151">INDEX(AK:AK,SMALL(IF(AK$1:AK$500&lt;&gt;"",ROW($1:$500),1000),ROW(AK151)))&amp;""</f>
        <v/>
      </c>
      <c r="AV151" s="6" t="str">
        <f t="array" ref="AV151">INDEX(AT:AT,SMALL(IF(AT$1:AT$500&lt;&gt;"",ROW($1:$500),1000),ROW(AT151)))&amp;""</f>
        <v/>
      </c>
      <c r="AW151" s="6" t="str">
        <f t="array" ref="AW151">INDEX(AU:AU,SMALL(IF(AU$1:AU$500&lt;&gt;"",ROW($1:$500),1000),ROW(AU151)))&amp;""</f>
        <v/>
      </c>
      <c r="BF151" s="6" t="str">
        <f t="array" ref="BF151">INDEX(BD:BD,SMALL(IF(BD$1:BD$500&lt;&gt;"",ROW($1:$500),1000),ROW(BD151)))&amp;""</f>
        <v/>
      </c>
      <c r="BG151" s="6" t="str">
        <f t="array" ref="BG151">INDEX(BE:BE,SMALL(IF(BE$1:BE$500&lt;&gt;"",ROW($1:$500),1000),ROW(BE151)))&amp;""</f>
        <v/>
      </c>
      <c r="BI151" s="8" t="s">
        <v>3143</v>
      </c>
      <c r="BJ151" s="8" t="s">
        <v>1739</v>
      </c>
      <c r="BK151" s="8" t="s">
        <v>578</v>
      </c>
      <c r="BL151" s="9">
        <v>6</v>
      </c>
      <c r="BN151" s="8" t="str">
        <f t="shared" si="16"/>
        <v/>
      </c>
      <c r="BO151" s="8" t="str">
        <f>IF(AND(VLOOKUP(BK151,查询!$C$8:$E$15,3,FALSE)="启用",$B$1=BL151),BJ151,"")</f>
        <v/>
      </c>
      <c r="BP151" s="6" t="str">
        <f t="array" ref="BP151">INDEX(BN:BN,SMALL(IF(BN$1:BN$500&lt;&gt;"",ROW($1:$500),1000),ROW(BN151)))&amp;""</f>
        <v/>
      </c>
      <c r="BQ151" s="6" t="str">
        <f t="array" ref="BQ151">INDEX(BO:BO,SMALL(IF(BO$1:BO$500&lt;&gt;"",ROW($1:$500),1000),ROW(BO151)))&amp;""</f>
        <v/>
      </c>
      <c r="BV151" s="6"/>
      <c r="BZ151" s="6" t="str">
        <f t="array" ref="BZ151">INDEX(BX:BX,SMALL(IF(BX$1:BX$500&lt;&gt;"",ROW($1:$500),1000),ROW(BX151)))&amp;""</f>
        <v/>
      </c>
      <c r="CA151" s="6" t="str">
        <f t="array" ref="CA151">INDEX(BY:BY,SMALL(IF(BY$1:BY$500&lt;&gt;"",ROW($1:$500),1000),ROW(BY151)))&amp;""</f>
        <v/>
      </c>
    </row>
    <row r="152" spans="1:79">
      <c r="A152" s="8" t="s">
        <v>2641</v>
      </c>
      <c r="B152" s="8" t="s">
        <v>1490</v>
      </c>
      <c r="C152" s="8" t="s">
        <v>494</v>
      </c>
      <c r="D152" s="9">
        <v>3</v>
      </c>
      <c r="F152" s="8" t="str">
        <f t="shared" si="14"/>
        <v/>
      </c>
      <c r="G152" s="8" t="str">
        <f>IF(AND(VLOOKUP(C152,查询!$C$8:$E$15,3,FALSE)="启用",$B$1=D152),B152,"")</f>
        <v/>
      </c>
      <c r="H152" s="6" t="str">
        <f t="array" ref="H152">INDEX(F:F,SMALL(IF($F$1:$F$500&lt;&gt;"",ROW($1:$500),1000),ROW(F152)))&amp;""</f>
        <v/>
      </c>
      <c r="I152" s="6" t="str">
        <f t="array" ref="I152">INDEX(G:G,SMALL(IF($F$1:$F$500&lt;&gt;"",ROW($1:$500),1000),ROW(G152)))&amp;""</f>
        <v/>
      </c>
      <c r="K152" s="8" t="s">
        <v>2876</v>
      </c>
      <c r="L152" s="8" t="s">
        <v>1677</v>
      </c>
      <c r="M152" s="8" t="s">
        <v>494</v>
      </c>
      <c r="N152" s="9">
        <v>4</v>
      </c>
      <c r="P152" s="8" t="str">
        <f t="shared" si="15"/>
        <v/>
      </c>
      <c r="Q152" s="8" t="str">
        <f>IF(AND(VLOOKUP(M152,查询!$C$8:$E$15,3,FALSE)="启用",$B$1=N152),L152,"")</f>
        <v/>
      </c>
      <c r="R152" s="6" t="str">
        <f t="array" ref="R152">INDEX(P:P,SMALL(IF(P$1:P$500&lt;&gt;"",ROW($1:$500),1000),ROW(P152)))&amp;""</f>
        <v/>
      </c>
      <c r="S152" s="6" t="str">
        <f t="array" ref="S152">INDEX(Q:Q,SMALL(IF(Q$1:Q$500&lt;&gt;"",ROW($1:$500),1000),ROW(Q152)))&amp;""</f>
        <v/>
      </c>
      <c r="X152" s="6"/>
      <c r="AB152" s="6" t="str">
        <f t="array" ref="AB152">INDEX(Z:Z,SMALL(IF(Z$1:Z$500&lt;&gt;"",ROW($1:$500),1000),ROW(Z152)))&amp;""</f>
        <v/>
      </c>
      <c r="AC152" s="6" t="str">
        <f t="array" ref="AC152">INDEX(AA:AA,SMALL(IF(AA$1:AA$500&lt;&gt;"",ROW($1:$500),1000),ROW(AA152)))&amp;""</f>
        <v/>
      </c>
      <c r="AH152" s="6"/>
      <c r="AL152" s="6" t="str">
        <f t="array" ref="AL152">INDEX(AJ:AJ,SMALL(IF(AJ$1:AJ$500&lt;&gt;"",ROW($1:$500),1000),ROW(AJ152)))&amp;""</f>
        <v/>
      </c>
      <c r="AM152" s="6" t="str">
        <f t="array" ref="AM152">INDEX(AK:AK,SMALL(IF(AK$1:AK$500&lt;&gt;"",ROW($1:$500),1000),ROW(AK152)))&amp;""</f>
        <v/>
      </c>
      <c r="AV152" s="6" t="str">
        <f t="array" ref="AV152">INDEX(AT:AT,SMALL(IF(AT$1:AT$500&lt;&gt;"",ROW($1:$500),1000),ROW(AT152)))&amp;""</f>
        <v/>
      </c>
      <c r="AW152" s="6" t="str">
        <f t="array" ref="AW152">INDEX(AU:AU,SMALL(IF(AU$1:AU$500&lt;&gt;"",ROW($1:$500),1000),ROW(AU152)))&amp;""</f>
        <v/>
      </c>
      <c r="BF152" s="6" t="str">
        <f t="array" ref="BF152">INDEX(BD:BD,SMALL(IF(BD$1:BD$500&lt;&gt;"",ROW($1:$500),1000),ROW(BD152)))&amp;""</f>
        <v/>
      </c>
      <c r="BG152" s="6" t="str">
        <f t="array" ref="BG152">INDEX(BE:BE,SMALL(IF(BE$1:BE$500&lt;&gt;"",ROW($1:$500),1000),ROW(BE152)))&amp;""</f>
        <v/>
      </c>
      <c r="BI152" s="8" t="s">
        <v>3143</v>
      </c>
      <c r="BJ152" s="8" t="s">
        <v>1338</v>
      </c>
      <c r="BK152" s="8" t="s">
        <v>1249</v>
      </c>
      <c r="BL152" s="9">
        <v>6</v>
      </c>
      <c r="BN152" s="8" t="str">
        <f t="shared" si="16"/>
        <v/>
      </c>
      <c r="BO152" s="8" t="str">
        <f>IF(AND(VLOOKUP(BK152,查询!$C$8:$E$15,3,FALSE)="启用",$B$1=BL152),BJ152,"")</f>
        <v/>
      </c>
      <c r="BP152" s="6" t="str">
        <f t="array" ref="BP152">INDEX(BN:BN,SMALL(IF(BN$1:BN$500&lt;&gt;"",ROW($1:$500),1000),ROW(BN152)))&amp;""</f>
        <v/>
      </c>
      <c r="BQ152" s="6" t="str">
        <f t="array" ref="BQ152">INDEX(BO:BO,SMALL(IF(BO$1:BO$500&lt;&gt;"",ROW($1:$500),1000),ROW(BO152)))&amp;""</f>
        <v/>
      </c>
      <c r="BV152" s="6"/>
      <c r="BZ152" s="6" t="str">
        <f t="array" ref="BZ152">INDEX(BX:BX,SMALL(IF(BX$1:BX$500&lt;&gt;"",ROW($1:$500),1000),ROW(BX152)))&amp;""</f>
        <v/>
      </c>
      <c r="CA152" s="6" t="str">
        <f t="array" ref="CA152">INDEX(BY:BY,SMALL(IF(BY$1:BY$500&lt;&gt;"",ROW($1:$500),1000),ROW(BY152)))&amp;""</f>
        <v/>
      </c>
    </row>
    <row r="153" spans="1:79">
      <c r="A153" s="8" t="s">
        <v>2646</v>
      </c>
      <c r="B153" s="8" t="s">
        <v>1492</v>
      </c>
      <c r="C153" s="8" t="s">
        <v>494</v>
      </c>
      <c r="D153" s="9">
        <v>3</v>
      </c>
      <c r="F153" s="8" t="str">
        <f t="shared" si="14"/>
        <v/>
      </c>
      <c r="G153" s="8" t="str">
        <f>IF(AND(VLOOKUP(C153,查询!$C$8:$E$15,3,FALSE)="启用",$B$1=D153),B153,"")</f>
        <v/>
      </c>
      <c r="H153" s="6" t="str">
        <f t="array" ref="H153">INDEX(F:F,SMALL(IF($F$1:$F$500&lt;&gt;"",ROW($1:$500),1000),ROW(F153)))&amp;""</f>
        <v/>
      </c>
      <c r="I153" s="6" t="str">
        <f t="array" ref="I153">INDEX(G:G,SMALL(IF($F$1:$F$500&lt;&gt;"",ROW($1:$500),1000),ROW(G153)))&amp;""</f>
        <v/>
      </c>
      <c r="K153" s="8" t="s">
        <v>2886</v>
      </c>
      <c r="L153" s="8" t="s">
        <v>1691</v>
      </c>
      <c r="M153" s="8" t="s">
        <v>494</v>
      </c>
      <c r="N153" s="9">
        <v>4</v>
      </c>
      <c r="P153" s="8" t="str">
        <f t="shared" si="15"/>
        <v/>
      </c>
      <c r="Q153" s="8" t="str">
        <f>IF(AND(VLOOKUP(M153,查询!$C$8:$E$15,3,FALSE)="启用",$B$1=N153),L153,"")</f>
        <v/>
      </c>
      <c r="R153" s="6" t="str">
        <f t="array" ref="R153">INDEX(P:P,SMALL(IF(P$1:P$500&lt;&gt;"",ROW($1:$500),1000),ROW(P153)))&amp;""</f>
        <v/>
      </c>
      <c r="S153" s="6" t="str">
        <f t="array" ref="S153">INDEX(Q:Q,SMALL(IF(Q$1:Q$500&lt;&gt;"",ROW($1:$500),1000),ROW(Q153)))&amp;""</f>
        <v/>
      </c>
      <c r="X153" s="6"/>
      <c r="AB153" s="6" t="str">
        <f t="array" ref="AB153">INDEX(Z:Z,SMALL(IF(Z$1:Z$500&lt;&gt;"",ROW($1:$500),1000),ROW(Z153)))&amp;""</f>
        <v/>
      </c>
      <c r="AC153" s="6" t="str">
        <f t="array" ref="AC153">INDEX(AA:AA,SMALL(IF(AA$1:AA$500&lt;&gt;"",ROW($1:$500),1000),ROW(AA153)))&amp;""</f>
        <v/>
      </c>
      <c r="AH153" s="6"/>
      <c r="AL153" s="6" t="str">
        <f t="array" ref="AL153">INDEX(AJ:AJ,SMALL(IF(AJ$1:AJ$500&lt;&gt;"",ROW($1:$500),1000),ROW(AJ153)))&amp;""</f>
        <v/>
      </c>
      <c r="AM153" s="6" t="str">
        <f t="array" ref="AM153">INDEX(AK:AK,SMALL(IF(AK$1:AK$500&lt;&gt;"",ROW($1:$500),1000),ROW(AK153)))&amp;""</f>
        <v/>
      </c>
      <c r="AV153" s="6" t="str">
        <f t="array" ref="AV153">INDEX(AT:AT,SMALL(IF(AT$1:AT$500&lt;&gt;"",ROW($1:$500),1000),ROW(AT153)))&amp;""</f>
        <v/>
      </c>
      <c r="AW153" s="6" t="str">
        <f t="array" ref="AW153">INDEX(AU:AU,SMALL(IF(AU$1:AU$500&lt;&gt;"",ROW($1:$500),1000),ROW(AU153)))&amp;""</f>
        <v/>
      </c>
      <c r="BF153" s="6" t="str">
        <f t="array" ref="BF153">INDEX(BD:BD,SMALL(IF(BD$1:BD$500&lt;&gt;"",ROW($1:$500),1000),ROW(BD153)))&amp;""</f>
        <v/>
      </c>
      <c r="BG153" s="6" t="str">
        <f t="array" ref="BG153">INDEX(BE:BE,SMALL(IF(BE$1:BE$500&lt;&gt;"",ROW($1:$500),1000),ROW(BE153)))&amp;""</f>
        <v/>
      </c>
      <c r="BI153" s="8" t="s">
        <v>3145</v>
      </c>
      <c r="BJ153" s="8" t="s">
        <v>1354</v>
      </c>
      <c r="BK153" s="8" t="s">
        <v>1249</v>
      </c>
      <c r="BL153" s="9">
        <v>6</v>
      </c>
      <c r="BN153" s="8" t="str">
        <f t="shared" si="16"/>
        <v/>
      </c>
      <c r="BO153" s="8" t="str">
        <f>IF(AND(VLOOKUP(BK153,查询!$C$8:$E$15,3,FALSE)="启用",$B$1=BL153),BJ153,"")</f>
        <v/>
      </c>
      <c r="BP153" s="6" t="str">
        <f t="array" ref="BP153">INDEX(BN:BN,SMALL(IF(BN$1:BN$500&lt;&gt;"",ROW($1:$500),1000),ROW(BN153)))&amp;""</f>
        <v/>
      </c>
      <c r="BQ153" s="6" t="str">
        <f t="array" ref="BQ153">INDEX(BO:BO,SMALL(IF(BO$1:BO$500&lt;&gt;"",ROW($1:$500),1000),ROW(BO153)))&amp;""</f>
        <v/>
      </c>
      <c r="BV153" s="6"/>
      <c r="BZ153" s="6" t="str">
        <f t="array" ref="BZ153">INDEX(BX:BX,SMALL(IF(BX$1:BX$500&lt;&gt;"",ROW($1:$500),1000),ROW(BX153)))&amp;""</f>
        <v/>
      </c>
      <c r="CA153" s="6" t="str">
        <f t="array" ref="CA153">INDEX(BY:BY,SMALL(IF(BY$1:BY$500&lt;&gt;"",ROW($1:$500),1000),ROW(BY153)))&amp;""</f>
        <v/>
      </c>
    </row>
    <row r="154" spans="1:79">
      <c r="A154" s="8" t="s">
        <v>2651</v>
      </c>
      <c r="B154" s="8" t="s">
        <v>1504</v>
      </c>
      <c r="C154" s="8" t="s">
        <v>494</v>
      </c>
      <c r="D154" s="9">
        <v>3</v>
      </c>
      <c r="F154" s="8" t="str">
        <f t="shared" si="14"/>
        <v/>
      </c>
      <c r="G154" s="8" t="str">
        <f>IF(AND(VLOOKUP(C154,查询!$C$8:$E$15,3,FALSE)="启用",$B$1=D154),B154,"")</f>
        <v/>
      </c>
      <c r="H154" s="6" t="str">
        <f t="array" ref="H154">INDEX(F:F,SMALL(IF($F$1:$F$500&lt;&gt;"",ROW($1:$500),1000),ROW(F154)))&amp;""</f>
        <v/>
      </c>
      <c r="I154" s="6" t="str">
        <f t="array" ref="I154">INDEX(G:G,SMALL(IF($F$1:$F$500&lt;&gt;"",ROW($1:$500),1000),ROW(G154)))&amp;""</f>
        <v/>
      </c>
      <c r="K154" s="8" t="s">
        <v>2889</v>
      </c>
      <c r="L154" s="8" t="s">
        <v>1694</v>
      </c>
      <c r="M154" s="8" t="s">
        <v>494</v>
      </c>
      <c r="N154" s="9">
        <v>4</v>
      </c>
      <c r="P154" s="8" t="str">
        <f t="shared" si="15"/>
        <v/>
      </c>
      <c r="Q154" s="8" t="str">
        <f>IF(AND(VLOOKUP(M154,查询!$C$8:$E$15,3,FALSE)="启用",$B$1=N154),L154,"")</f>
        <v/>
      </c>
      <c r="R154" s="6" t="str">
        <f t="array" ref="R154">INDEX(P:P,SMALL(IF(P$1:P$500&lt;&gt;"",ROW($1:$500),1000),ROW(P154)))&amp;""</f>
        <v/>
      </c>
      <c r="S154" s="6" t="str">
        <f t="array" ref="S154">INDEX(Q:Q,SMALL(IF(Q$1:Q$500&lt;&gt;"",ROW($1:$500),1000),ROW(Q154)))&amp;""</f>
        <v/>
      </c>
      <c r="X154" s="6"/>
      <c r="AB154" s="6" t="str">
        <f t="array" ref="AB154">INDEX(Z:Z,SMALL(IF(Z$1:Z$500&lt;&gt;"",ROW($1:$500),1000),ROW(Z154)))&amp;""</f>
        <v/>
      </c>
      <c r="AC154" s="6" t="str">
        <f t="array" ref="AC154">INDEX(AA:AA,SMALL(IF(AA$1:AA$500&lt;&gt;"",ROW($1:$500),1000),ROW(AA154)))&amp;""</f>
        <v/>
      </c>
      <c r="AH154" s="6"/>
      <c r="AL154" s="6" t="str">
        <f t="array" ref="AL154">INDEX(AJ:AJ,SMALL(IF(AJ$1:AJ$500&lt;&gt;"",ROW($1:$500),1000),ROW(AJ154)))&amp;""</f>
        <v/>
      </c>
      <c r="AM154" s="6" t="str">
        <f t="array" ref="AM154">INDEX(AK:AK,SMALL(IF(AK$1:AK$500&lt;&gt;"",ROW($1:$500),1000),ROW(AK154)))&amp;""</f>
        <v/>
      </c>
      <c r="AV154" s="6" t="str">
        <f t="array" ref="AV154">INDEX(AT:AT,SMALL(IF(AT$1:AT$500&lt;&gt;"",ROW($1:$500),1000),ROW(AT154)))&amp;""</f>
        <v/>
      </c>
      <c r="AW154" s="6" t="str">
        <f t="array" ref="AW154">INDEX(AU:AU,SMALL(IF(AU$1:AU$500&lt;&gt;"",ROW($1:$500),1000),ROW(AU154)))&amp;""</f>
        <v/>
      </c>
      <c r="BF154" s="6" t="str">
        <f t="array" ref="BF154">INDEX(BD:BD,SMALL(IF(BD$1:BD$500&lt;&gt;"",ROW($1:$500),1000),ROW(BD154)))&amp;""</f>
        <v/>
      </c>
      <c r="BG154" s="6" t="str">
        <f t="array" ref="BG154">INDEX(BE:BE,SMALL(IF(BE$1:BE$500&lt;&gt;"",ROW($1:$500),1000),ROW(BE154)))&amp;""</f>
        <v/>
      </c>
      <c r="BI154" s="8" t="s">
        <v>3147</v>
      </c>
      <c r="BJ154" s="8" t="s">
        <v>1355</v>
      </c>
      <c r="BK154" s="8" t="s">
        <v>1249</v>
      </c>
      <c r="BL154" s="9">
        <v>6</v>
      </c>
      <c r="BN154" s="8" t="str">
        <f t="shared" si="16"/>
        <v/>
      </c>
      <c r="BO154" s="8" t="str">
        <f>IF(AND(VLOOKUP(BK154,查询!$C$8:$E$15,3,FALSE)="启用",$B$1=BL154),BJ154,"")</f>
        <v/>
      </c>
      <c r="BP154" s="6" t="str">
        <f t="array" ref="BP154">INDEX(BN:BN,SMALL(IF(BN$1:BN$500&lt;&gt;"",ROW($1:$500),1000),ROW(BN154)))&amp;""</f>
        <v/>
      </c>
      <c r="BQ154" s="6" t="str">
        <f t="array" ref="BQ154">INDEX(BO:BO,SMALL(IF(BO$1:BO$500&lt;&gt;"",ROW($1:$500),1000),ROW(BO154)))&amp;""</f>
        <v/>
      </c>
      <c r="BV154" s="6"/>
      <c r="BZ154" s="6" t="str">
        <f t="array" ref="BZ154">INDEX(BX:BX,SMALL(IF(BX$1:BX$500&lt;&gt;"",ROW($1:$500),1000),ROW(BX154)))&amp;""</f>
        <v/>
      </c>
      <c r="CA154" s="6" t="str">
        <f t="array" ref="CA154">INDEX(BY:BY,SMALL(IF(BY$1:BY$500&lt;&gt;"",ROW($1:$500),1000),ROW(BY154)))&amp;""</f>
        <v/>
      </c>
    </row>
    <row r="155" spans="1:79">
      <c r="A155" s="8" t="s">
        <v>2654</v>
      </c>
      <c r="B155" s="8" t="s">
        <v>1506</v>
      </c>
      <c r="C155" s="8" t="s">
        <v>494</v>
      </c>
      <c r="D155" s="9">
        <v>3</v>
      </c>
      <c r="F155" s="8" t="str">
        <f t="shared" si="14"/>
        <v/>
      </c>
      <c r="G155" s="8" t="str">
        <f>IF(AND(VLOOKUP(C155,查询!$C$8:$E$15,3,FALSE)="启用",$B$1=D155),B155,"")</f>
        <v/>
      </c>
      <c r="H155" s="6" t="str">
        <f t="array" ref="H155">INDEX(F:F,SMALL(IF($F$1:$F$500&lt;&gt;"",ROW($1:$500),1000),ROW(F155)))&amp;""</f>
        <v/>
      </c>
      <c r="I155" s="6" t="str">
        <f t="array" ref="I155">INDEX(G:G,SMALL(IF($F$1:$F$500&lt;&gt;"",ROW($1:$500),1000),ROW(G155)))&amp;""</f>
        <v/>
      </c>
      <c r="K155" s="8" t="s">
        <v>2893</v>
      </c>
      <c r="L155" s="8" t="s">
        <v>1699</v>
      </c>
      <c r="M155" s="8" t="s">
        <v>494</v>
      </c>
      <c r="N155" s="9">
        <v>4</v>
      </c>
      <c r="P155" s="8" t="str">
        <f t="shared" si="15"/>
        <v/>
      </c>
      <c r="Q155" s="8" t="str">
        <f>IF(AND(VLOOKUP(M155,查询!$C$8:$E$15,3,FALSE)="启用",$B$1=N155),L155,"")</f>
        <v/>
      </c>
      <c r="R155" s="6" t="str">
        <f t="array" ref="R155">INDEX(P:P,SMALL(IF(P$1:P$500&lt;&gt;"",ROW($1:$500),1000),ROW(P155)))&amp;""</f>
        <v/>
      </c>
      <c r="S155" s="6" t="str">
        <f t="array" ref="S155">INDEX(Q:Q,SMALL(IF(Q$1:Q$500&lt;&gt;"",ROW($1:$500),1000),ROW(Q155)))&amp;""</f>
        <v/>
      </c>
      <c r="X155" s="6"/>
      <c r="AB155" s="6" t="str">
        <f t="array" ref="AB155">INDEX(Z:Z,SMALL(IF(Z$1:Z$500&lt;&gt;"",ROW($1:$500),1000),ROW(Z155)))&amp;""</f>
        <v/>
      </c>
      <c r="AC155" s="6" t="str">
        <f t="array" ref="AC155">INDEX(AA:AA,SMALL(IF(AA$1:AA$500&lt;&gt;"",ROW($1:$500),1000),ROW(AA155)))&amp;""</f>
        <v/>
      </c>
      <c r="AH155" s="6"/>
      <c r="AL155" s="6" t="str">
        <f t="array" ref="AL155">INDEX(AJ:AJ,SMALL(IF(AJ$1:AJ$500&lt;&gt;"",ROW($1:$500),1000),ROW(AJ155)))&amp;""</f>
        <v/>
      </c>
      <c r="AM155" s="6" t="str">
        <f t="array" ref="AM155">INDEX(AK:AK,SMALL(IF(AK$1:AK$500&lt;&gt;"",ROW($1:$500),1000),ROW(AK155)))&amp;""</f>
        <v/>
      </c>
      <c r="AV155" s="6" t="str">
        <f t="array" ref="AV155">INDEX(AT:AT,SMALL(IF(AT$1:AT$500&lt;&gt;"",ROW($1:$500),1000),ROW(AT155)))&amp;""</f>
        <v/>
      </c>
      <c r="AW155" s="6" t="str">
        <f t="array" ref="AW155">INDEX(AU:AU,SMALL(IF(AU$1:AU$500&lt;&gt;"",ROW($1:$500),1000),ROW(AU155)))&amp;""</f>
        <v/>
      </c>
      <c r="BF155" s="6" t="str">
        <f t="array" ref="BF155">INDEX(BD:BD,SMALL(IF(BD$1:BD$500&lt;&gt;"",ROW($1:$500),1000),ROW(BD155)))&amp;""</f>
        <v/>
      </c>
      <c r="BG155" s="6" t="str">
        <f t="array" ref="BG155">INDEX(BE:BE,SMALL(IF(BE$1:BE$500&lt;&gt;"",ROW($1:$500),1000),ROW(BE155)))&amp;""</f>
        <v/>
      </c>
      <c r="BI155" s="8" t="s">
        <v>3152</v>
      </c>
      <c r="BJ155" s="8" t="s">
        <v>1756</v>
      </c>
      <c r="BK155" s="8" t="s">
        <v>578</v>
      </c>
      <c r="BL155" s="9">
        <v>6</v>
      </c>
      <c r="BN155" s="8" t="str">
        <f t="shared" si="16"/>
        <v/>
      </c>
      <c r="BO155" s="8" t="str">
        <f>IF(AND(VLOOKUP(BK155,查询!$C$8:$E$15,3,FALSE)="启用",$B$1=BL155),BJ155,"")</f>
        <v/>
      </c>
      <c r="BP155" s="6" t="str">
        <f t="array" ref="BP155">INDEX(BN:BN,SMALL(IF(BN$1:BN$500&lt;&gt;"",ROW($1:$500),1000),ROW(BN155)))&amp;""</f>
        <v/>
      </c>
      <c r="BQ155" s="6" t="str">
        <f t="array" ref="BQ155">INDEX(BO:BO,SMALL(IF(BO$1:BO$500&lt;&gt;"",ROW($1:$500),1000),ROW(BO155)))&amp;""</f>
        <v/>
      </c>
      <c r="BV155" s="6"/>
      <c r="BZ155" s="6" t="str">
        <f t="array" ref="BZ155">INDEX(BX:BX,SMALL(IF(BX$1:BX$500&lt;&gt;"",ROW($1:$500),1000),ROW(BX155)))&amp;""</f>
        <v/>
      </c>
      <c r="CA155" s="6" t="str">
        <f t="array" ref="CA155">INDEX(BY:BY,SMALL(IF(BY$1:BY$500&lt;&gt;"",ROW($1:$500),1000),ROW(BY155)))&amp;""</f>
        <v/>
      </c>
    </row>
    <row r="156" spans="1:79">
      <c r="A156" s="8" t="s">
        <v>2664</v>
      </c>
      <c r="B156" s="8" t="s">
        <v>1519</v>
      </c>
      <c r="C156" s="8" t="s">
        <v>494</v>
      </c>
      <c r="D156" s="9">
        <v>3</v>
      </c>
      <c r="F156" s="8" t="str">
        <f t="shared" si="14"/>
        <v/>
      </c>
      <c r="G156" s="8" t="str">
        <f>IF(AND(VLOOKUP(C156,查询!$C$8:$E$15,3,FALSE)="启用",$B$1=D156),B156,"")</f>
        <v/>
      </c>
      <c r="H156" s="6" t="str">
        <f t="array" ref="H156">INDEX(F:F,SMALL(IF($F$1:$F$500&lt;&gt;"",ROW($1:$500),1000),ROW(F156)))&amp;""</f>
        <v/>
      </c>
      <c r="I156" s="6" t="str">
        <f t="array" ref="I156">INDEX(G:G,SMALL(IF($F$1:$F$500&lt;&gt;"",ROW($1:$500),1000),ROW(G156)))&amp;""</f>
        <v/>
      </c>
      <c r="K156" s="8" t="s">
        <v>2897</v>
      </c>
      <c r="L156" s="8" t="s">
        <v>1701</v>
      </c>
      <c r="M156" s="8" t="s">
        <v>494</v>
      </c>
      <c r="N156" s="9">
        <v>4</v>
      </c>
      <c r="P156" s="8" t="str">
        <f t="shared" si="15"/>
        <v/>
      </c>
      <c r="Q156" s="8" t="str">
        <f>IF(AND(VLOOKUP(M156,查询!$C$8:$E$15,3,FALSE)="启用",$B$1=N156),L156,"")</f>
        <v/>
      </c>
      <c r="R156" s="6" t="str">
        <f t="array" ref="R156">INDEX(P:P,SMALL(IF(P$1:P$500&lt;&gt;"",ROW($1:$500),1000),ROW(P156)))&amp;""</f>
        <v/>
      </c>
      <c r="S156" s="6" t="str">
        <f t="array" ref="S156">INDEX(Q:Q,SMALL(IF(Q$1:Q$500&lt;&gt;"",ROW($1:$500),1000),ROW(Q156)))&amp;""</f>
        <v/>
      </c>
      <c r="X156" s="6"/>
      <c r="AB156" s="6" t="str">
        <f t="array" ref="AB156">INDEX(Z:Z,SMALL(IF(Z$1:Z$500&lt;&gt;"",ROW($1:$500),1000),ROW(Z156)))&amp;""</f>
        <v/>
      </c>
      <c r="AC156" s="6" t="str">
        <f t="array" ref="AC156">INDEX(AA:AA,SMALL(IF(AA$1:AA$500&lt;&gt;"",ROW($1:$500),1000),ROW(AA156)))&amp;""</f>
        <v/>
      </c>
      <c r="AH156" s="6"/>
      <c r="AL156" s="6" t="str">
        <f t="array" ref="AL156">INDEX(AJ:AJ,SMALL(IF(AJ$1:AJ$500&lt;&gt;"",ROW($1:$500),1000),ROW(AJ156)))&amp;""</f>
        <v/>
      </c>
      <c r="AM156" s="6" t="str">
        <f t="array" ref="AM156">INDEX(AK:AK,SMALL(IF(AK$1:AK$500&lt;&gt;"",ROW($1:$500),1000),ROW(AK156)))&amp;""</f>
        <v/>
      </c>
      <c r="AV156" s="6" t="str">
        <f t="array" ref="AV156">INDEX(AT:AT,SMALL(IF(AT$1:AT$500&lt;&gt;"",ROW($1:$500),1000),ROW(AT156)))&amp;""</f>
        <v/>
      </c>
      <c r="AW156" s="6" t="str">
        <f t="array" ref="AW156">INDEX(AU:AU,SMALL(IF(AU$1:AU$500&lt;&gt;"",ROW($1:$500),1000),ROW(AU156)))&amp;""</f>
        <v/>
      </c>
      <c r="BF156" s="6" t="str">
        <f t="array" ref="BF156">INDEX(BD:BD,SMALL(IF(BD$1:BD$500&lt;&gt;"",ROW($1:$500),1000),ROW(BD156)))&amp;""</f>
        <v/>
      </c>
      <c r="BG156" s="6" t="str">
        <f t="array" ref="BG156">INDEX(BE:BE,SMALL(IF(BE$1:BE$500&lt;&gt;"",ROW($1:$500),1000),ROW(BE156)))&amp;""</f>
        <v/>
      </c>
      <c r="BI156" s="8" t="s">
        <v>3152</v>
      </c>
      <c r="BJ156" s="8" t="s">
        <v>1358</v>
      </c>
      <c r="BK156" s="8" t="s">
        <v>1249</v>
      </c>
      <c r="BL156" s="9">
        <v>6</v>
      </c>
      <c r="BN156" s="8" t="str">
        <f t="shared" si="16"/>
        <v/>
      </c>
      <c r="BO156" s="8" t="str">
        <f>IF(AND(VLOOKUP(BK156,查询!$C$8:$E$15,3,FALSE)="启用",$B$1=BL156),BJ156,"")</f>
        <v/>
      </c>
      <c r="BP156" s="6" t="str">
        <f t="array" ref="BP156">INDEX(BN:BN,SMALL(IF(BN$1:BN$500&lt;&gt;"",ROW($1:$500),1000),ROW(BN156)))&amp;""</f>
        <v/>
      </c>
      <c r="BQ156" s="6" t="str">
        <f t="array" ref="BQ156">INDEX(BO:BO,SMALL(IF(BO$1:BO$500&lt;&gt;"",ROW($1:$500),1000),ROW(BO156)))&amp;""</f>
        <v/>
      </c>
      <c r="BV156" s="6"/>
      <c r="BZ156" s="6" t="str">
        <f t="array" ref="BZ156">INDEX(BX:BX,SMALL(IF(BX$1:BX$500&lt;&gt;"",ROW($1:$500),1000),ROW(BX156)))&amp;""</f>
        <v/>
      </c>
      <c r="CA156" s="6" t="str">
        <f t="array" ref="CA156">INDEX(BY:BY,SMALL(IF(BY$1:BY$500&lt;&gt;"",ROW($1:$500),1000),ROW(BY156)))&amp;""</f>
        <v/>
      </c>
    </row>
    <row r="157" spans="1:79">
      <c r="A157" s="8" t="s">
        <v>2533</v>
      </c>
      <c r="B157" s="8" t="s">
        <v>1306</v>
      </c>
      <c r="C157" s="8" t="s">
        <v>1249</v>
      </c>
      <c r="D157" s="9">
        <v>3</v>
      </c>
      <c r="F157" s="8" t="str">
        <f t="shared" si="14"/>
        <v/>
      </c>
      <c r="G157" s="8" t="str">
        <f>IF(AND(VLOOKUP(C157,查询!$C$8:$E$15,3,FALSE)="启用",$B$1=D157),B157,"")</f>
        <v/>
      </c>
      <c r="H157" s="6" t="str">
        <f t="array" ref="H157">INDEX(F:F,SMALL(IF($F$1:$F$500&lt;&gt;"",ROW($1:$500),1000),ROW(F157)))&amp;""</f>
        <v/>
      </c>
      <c r="I157" s="6" t="str">
        <f t="array" ref="I157">INDEX(G:G,SMALL(IF($F$1:$F$500&lt;&gt;"",ROW($1:$500),1000),ROW(G157)))&amp;""</f>
        <v/>
      </c>
      <c r="K157" s="8" t="s">
        <v>2920</v>
      </c>
      <c r="L157" s="8" t="s">
        <v>1268</v>
      </c>
      <c r="M157" s="8" t="s">
        <v>1249</v>
      </c>
      <c r="N157" s="9">
        <v>5</v>
      </c>
      <c r="P157" s="8" t="str">
        <f t="shared" si="15"/>
        <v/>
      </c>
      <c r="Q157" s="8" t="str">
        <f>IF(AND(VLOOKUP(M157,查询!$C$8:$E$15,3,FALSE)="启用",$B$1=N157),L157,"")</f>
        <v/>
      </c>
      <c r="R157" s="6" t="str">
        <f t="array" ref="R157">INDEX(P:P,SMALL(IF(P$1:P$500&lt;&gt;"",ROW($1:$500),1000),ROW(P157)))&amp;""</f>
        <v/>
      </c>
      <c r="S157" s="6" t="str">
        <f t="array" ref="S157">INDEX(Q:Q,SMALL(IF(Q$1:Q$500&lt;&gt;"",ROW($1:$500),1000),ROW(Q157)))&amp;""</f>
        <v/>
      </c>
      <c r="X157" s="6"/>
      <c r="AB157" s="6" t="str">
        <f t="array" ref="AB157">INDEX(Z:Z,SMALL(IF(Z$1:Z$500&lt;&gt;"",ROW($1:$500),1000),ROW(Z157)))&amp;""</f>
        <v/>
      </c>
      <c r="AC157" s="6" t="str">
        <f t="array" ref="AC157">INDEX(AA:AA,SMALL(IF(AA$1:AA$500&lt;&gt;"",ROW($1:$500),1000),ROW(AA157)))&amp;""</f>
        <v/>
      </c>
      <c r="AH157" s="6"/>
      <c r="AL157" s="6" t="str">
        <f t="array" ref="AL157">INDEX(AJ:AJ,SMALL(IF(AJ$1:AJ$500&lt;&gt;"",ROW($1:$500),1000),ROW(AJ157)))&amp;""</f>
        <v/>
      </c>
      <c r="AM157" s="6" t="str">
        <f t="array" ref="AM157">INDEX(AK:AK,SMALL(IF(AK$1:AK$500&lt;&gt;"",ROW($1:$500),1000),ROW(AK157)))&amp;""</f>
        <v/>
      </c>
      <c r="AV157" s="6" t="str">
        <f t="array" ref="AV157">INDEX(AT:AT,SMALL(IF(AT$1:AT$500&lt;&gt;"",ROW($1:$500),1000),ROW(AT157)))&amp;""</f>
        <v/>
      </c>
      <c r="AW157" s="6" t="str">
        <f t="array" ref="AW157">INDEX(AU:AU,SMALL(IF(AU$1:AU$500&lt;&gt;"",ROW($1:$500),1000),ROW(AU157)))&amp;""</f>
        <v/>
      </c>
      <c r="BF157" s="6" t="str">
        <f t="array" ref="BF157">INDEX(BD:BD,SMALL(IF(BD$1:BD$500&lt;&gt;"",ROW($1:$500),1000),ROW(BD157)))&amp;""</f>
        <v/>
      </c>
      <c r="BG157" s="6" t="str">
        <f t="array" ref="BG157">INDEX(BE:BE,SMALL(IF(BE$1:BE$500&lt;&gt;"",ROW($1:$500),1000),ROW(BE157)))&amp;""</f>
        <v/>
      </c>
      <c r="BI157" s="8" t="s">
        <v>3251</v>
      </c>
      <c r="BJ157" s="8" t="s">
        <v>1690</v>
      </c>
      <c r="BK157" s="8" t="s">
        <v>494</v>
      </c>
      <c r="BL157" s="9">
        <v>6</v>
      </c>
      <c r="BN157" s="8" t="str">
        <f t="shared" si="16"/>
        <v/>
      </c>
      <c r="BO157" s="8" t="str">
        <f>IF(AND(VLOOKUP(BK157,查询!$C$8:$E$15,3,FALSE)="启用",$B$1=BL157),BJ157,"")</f>
        <v/>
      </c>
      <c r="BP157" s="6" t="str">
        <f t="array" ref="BP157">INDEX(BN:BN,SMALL(IF(BN$1:BN$500&lt;&gt;"",ROW($1:$500),1000),ROW(BN157)))&amp;""</f>
        <v/>
      </c>
      <c r="BQ157" s="6" t="str">
        <f t="array" ref="BQ157">INDEX(BO:BO,SMALL(IF(BO$1:BO$500&lt;&gt;"",ROW($1:$500),1000),ROW(BO157)))&amp;""</f>
        <v/>
      </c>
      <c r="BV157" s="6"/>
      <c r="BZ157" s="6" t="str">
        <f t="array" ref="BZ157">INDEX(BX:BX,SMALL(IF(BX$1:BX$500&lt;&gt;"",ROW($1:$500),1000),ROW(BX157)))&amp;""</f>
        <v/>
      </c>
      <c r="CA157" s="6" t="str">
        <f t="array" ref="CA157">INDEX(BY:BY,SMALL(IF(BY$1:BY$500&lt;&gt;"",ROW($1:$500),1000),ROW(BY157)))&amp;""</f>
        <v/>
      </c>
    </row>
    <row r="158" spans="1:79">
      <c r="A158" s="8" t="s">
        <v>2686</v>
      </c>
      <c r="B158" s="8" t="s">
        <v>1573</v>
      </c>
      <c r="C158" s="8" t="s">
        <v>494</v>
      </c>
      <c r="D158" s="9">
        <v>3</v>
      </c>
      <c r="F158" s="8" t="str">
        <f t="shared" si="14"/>
        <v/>
      </c>
      <c r="G158" s="8" t="str">
        <f>IF(AND(VLOOKUP(C158,查询!$C$8:$E$15,3,FALSE)="启用",$B$1=D158),B158,"")</f>
        <v/>
      </c>
      <c r="H158" s="6" t="str">
        <f t="array" ref="H158">INDEX(F:F,SMALL(IF($F$1:$F$500&lt;&gt;"",ROW($1:$500),1000),ROW(F158)))&amp;""</f>
        <v/>
      </c>
      <c r="I158" s="6" t="str">
        <f t="array" ref="I158">INDEX(G:G,SMALL(IF($F$1:$F$500&lt;&gt;"",ROW($1:$500),1000),ROW(G158)))&amp;""</f>
        <v/>
      </c>
      <c r="K158" s="8" t="s">
        <v>2923</v>
      </c>
      <c r="L158" s="8" t="s">
        <v>1269</v>
      </c>
      <c r="M158" s="8" t="s">
        <v>1249</v>
      </c>
      <c r="N158" s="9">
        <v>5</v>
      </c>
      <c r="P158" s="8" t="str">
        <f t="shared" si="15"/>
        <v/>
      </c>
      <c r="Q158" s="8" t="str">
        <f>IF(AND(VLOOKUP(M158,查询!$C$8:$E$15,3,FALSE)="启用",$B$1=N158),L158,"")</f>
        <v/>
      </c>
      <c r="R158" s="6" t="str">
        <f t="array" ref="R158">INDEX(P:P,SMALL(IF(P$1:P$500&lt;&gt;"",ROW($1:$500),1000),ROW(P158)))&amp;""</f>
        <v/>
      </c>
      <c r="S158" s="6" t="str">
        <f t="array" ref="S158">INDEX(Q:Q,SMALL(IF(Q$1:Q$500&lt;&gt;"",ROW($1:$500),1000),ROW(Q158)))&amp;""</f>
        <v/>
      </c>
      <c r="X158" s="6"/>
      <c r="AB158" s="6" t="str">
        <f t="array" ref="AB158">INDEX(Z:Z,SMALL(IF(Z$1:Z$500&lt;&gt;"",ROW($1:$500),1000),ROW(Z158)))&amp;""</f>
        <v/>
      </c>
      <c r="AC158" s="6" t="str">
        <f t="array" ref="AC158">INDEX(AA:AA,SMALL(IF(AA$1:AA$500&lt;&gt;"",ROW($1:$500),1000),ROW(AA158)))&amp;""</f>
        <v/>
      </c>
      <c r="AH158" s="6"/>
      <c r="AL158" s="6" t="str">
        <f t="array" ref="AL158">INDEX(AJ:AJ,SMALL(IF(AJ$1:AJ$500&lt;&gt;"",ROW($1:$500),1000),ROW(AJ158)))&amp;""</f>
        <v/>
      </c>
      <c r="AM158" s="6" t="str">
        <f t="array" ref="AM158">INDEX(AK:AK,SMALL(IF(AK$1:AK$500&lt;&gt;"",ROW($1:$500),1000),ROW(AK158)))&amp;""</f>
        <v/>
      </c>
      <c r="AV158" s="6" t="str">
        <f t="array" ref="AV158">INDEX(AT:AT,SMALL(IF(AT$1:AT$500&lt;&gt;"",ROW($1:$500),1000),ROW(AT158)))&amp;""</f>
        <v/>
      </c>
      <c r="AW158" s="6" t="str">
        <f t="array" ref="AW158">INDEX(AU:AU,SMALL(IF(AU$1:AU$500&lt;&gt;"",ROW($1:$500),1000),ROW(AU158)))&amp;""</f>
        <v/>
      </c>
      <c r="BF158" s="6" t="str">
        <f t="array" ref="BF158">INDEX(BD:BD,SMALL(IF(BD$1:BD$500&lt;&gt;"",ROW($1:$500),1000),ROW(BD158)))&amp;""</f>
        <v/>
      </c>
      <c r="BG158" s="6" t="str">
        <f t="array" ref="BG158">INDEX(BE:BE,SMALL(IF(BE$1:BE$500&lt;&gt;"",ROW($1:$500),1000),ROW(BE158)))&amp;""</f>
        <v/>
      </c>
      <c r="BI158" s="8" t="s">
        <v>3254</v>
      </c>
      <c r="BJ158" s="8" t="s">
        <v>1695</v>
      </c>
      <c r="BK158" s="8" t="s">
        <v>494</v>
      </c>
      <c r="BL158" s="9">
        <v>6</v>
      </c>
      <c r="BN158" s="8" t="str">
        <f t="shared" si="16"/>
        <v/>
      </c>
      <c r="BO158" s="8" t="str">
        <f>IF(AND(VLOOKUP(BK158,查询!$C$8:$E$15,3,FALSE)="启用",$B$1=BL158),BJ158,"")</f>
        <v/>
      </c>
      <c r="BP158" s="6" t="str">
        <f t="array" ref="BP158">INDEX(BN:BN,SMALL(IF(BN$1:BN$500&lt;&gt;"",ROW($1:$500),1000),ROW(BN158)))&amp;""</f>
        <v/>
      </c>
      <c r="BQ158" s="6" t="str">
        <f t="array" ref="BQ158">INDEX(BO:BO,SMALL(IF(BO$1:BO$500&lt;&gt;"",ROW($1:$500),1000),ROW(BO158)))&amp;""</f>
        <v/>
      </c>
      <c r="BV158" s="6"/>
      <c r="BZ158" s="6" t="str">
        <f t="array" ref="BZ158">INDEX(BX:BX,SMALL(IF(BX$1:BX$500&lt;&gt;"",ROW($1:$500),1000),ROW(BX158)))&amp;""</f>
        <v/>
      </c>
      <c r="CA158" s="6" t="str">
        <f t="array" ref="CA158">INDEX(BY:BY,SMALL(IF(BY$1:BY$500&lt;&gt;"",ROW($1:$500),1000),ROW(BY158)))&amp;""</f>
        <v/>
      </c>
    </row>
    <row r="159" spans="1:79">
      <c r="A159" s="8" t="s">
        <v>2690</v>
      </c>
      <c r="B159" s="8" t="s">
        <v>1575</v>
      </c>
      <c r="C159" s="8" t="s">
        <v>494</v>
      </c>
      <c r="D159" s="9">
        <v>3</v>
      </c>
      <c r="F159" s="8" t="str">
        <f t="shared" si="14"/>
        <v/>
      </c>
      <c r="G159" s="8" t="str">
        <f>IF(AND(VLOOKUP(C159,查询!$C$8:$E$15,3,FALSE)="启用",$B$1=D159),B159,"")</f>
        <v/>
      </c>
      <c r="H159" s="6" t="str">
        <f t="array" ref="H159">INDEX(F:F,SMALL(IF($F$1:$F$500&lt;&gt;"",ROW($1:$500),1000),ROW(F159)))&amp;""</f>
        <v/>
      </c>
      <c r="I159" s="6" t="str">
        <f t="array" ref="I159">INDEX(G:G,SMALL(IF($F$1:$F$500&lt;&gt;"",ROW($1:$500),1000),ROW(G159)))&amp;""</f>
        <v/>
      </c>
      <c r="K159" s="8" t="s">
        <v>2925</v>
      </c>
      <c r="L159" s="8" t="s">
        <v>1278</v>
      </c>
      <c r="M159" s="8" t="s">
        <v>1249</v>
      </c>
      <c r="N159" s="9">
        <v>5</v>
      </c>
      <c r="P159" s="8" t="str">
        <f t="shared" si="15"/>
        <v/>
      </c>
      <c r="Q159" s="8" t="str">
        <f>IF(AND(VLOOKUP(M159,查询!$C$8:$E$15,3,FALSE)="启用",$B$1=N159),L159,"")</f>
        <v/>
      </c>
      <c r="R159" s="6" t="str">
        <f t="array" ref="R159">INDEX(P:P,SMALL(IF(P$1:P$500&lt;&gt;"",ROW($1:$500),1000),ROW(P159)))&amp;""</f>
        <v/>
      </c>
      <c r="S159" s="6" t="str">
        <f t="array" ref="S159">INDEX(Q:Q,SMALL(IF(Q$1:Q$500&lt;&gt;"",ROW($1:$500),1000),ROW(Q159)))&amp;""</f>
        <v/>
      </c>
      <c r="X159" s="6"/>
      <c r="AB159" s="6" t="str">
        <f t="array" ref="AB159">INDEX(Z:Z,SMALL(IF(Z$1:Z$500&lt;&gt;"",ROW($1:$500),1000),ROW(Z159)))&amp;""</f>
        <v/>
      </c>
      <c r="AC159" s="6" t="str">
        <f t="array" ref="AC159">INDEX(AA:AA,SMALL(IF(AA$1:AA$500&lt;&gt;"",ROW($1:$500),1000),ROW(AA159)))&amp;""</f>
        <v/>
      </c>
      <c r="AH159" s="6"/>
      <c r="AL159" s="6" t="str">
        <f t="array" ref="AL159">INDEX(AJ:AJ,SMALL(IF(AJ$1:AJ$500&lt;&gt;"",ROW($1:$500),1000),ROW(AJ159)))&amp;""</f>
        <v/>
      </c>
      <c r="AM159" s="6" t="str">
        <f t="array" ref="AM159">INDEX(AK:AK,SMALL(IF(AK$1:AK$500&lt;&gt;"",ROW($1:$500),1000),ROW(AK159)))&amp;""</f>
        <v/>
      </c>
      <c r="AV159" s="6" t="str">
        <f t="array" ref="AV159">INDEX(AT:AT,SMALL(IF(AT$1:AT$500&lt;&gt;"",ROW($1:$500),1000),ROW(AT159)))&amp;""</f>
        <v/>
      </c>
      <c r="AW159" s="6" t="str">
        <f t="array" ref="AW159">INDEX(AU:AU,SMALL(IF(AU$1:AU$500&lt;&gt;"",ROW($1:$500),1000),ROW(AU159)))&amp;""</f>
        <v/>
      </c>
      <c r="BF159" s="6" t="str">
        <f t="array" ref="BF159">INDEX(BD:BD,SMALL(IF(BD$1:BD$500&lt;&gt;"",ROW($1:$500),1000),ROW(BD159)))&amp;""</f>
        <v/>
      </c>
      <c r="BG159" s="6" t="str">
        <f t="array" ref="BG159">INDEX(BE:BE,SMALL(IF(BE$1:BE$500&lt;&gt;"",ROW($1:$500),1000),ROW(BE159)))&amp;""</f>
        <v/>
      </c>
      <c r="BI159" s="8" t="s">
        <v>3259</v>
      </c>
      <c r="BJ159" s="8" t="s">
        <v>1697</v>
      </c>
      <c r="BK159" s="8" t="s">
        <v>494</v>
      </c>
      <c r="BL159" s="9">
        <v>6</v>
      </c>
      <c r="BN159" s="8" t="str">
        <f t="shared" si="16"/>
        <v/>
      </c>
      <c r="BO159" s="8" t="str">
        <f>IF(AND(VLOOKUP(BK159,查询!$C$8:$E$15,3,FALSE)="启用",$B$1=BL159),BJ159,"")</f>
        <v/>
      </c>
      <c r="BP159" s="6" t="str">
        <f t="array" ref="BP159">INDEX(BN:BN,SMALL(IF(BN$1:BN$500&lt;&gt;"",ROW($1:$500),1000),ROW(BN159)))&amp;""</f>
        <v/>
      </c>
      <c r="BQ159" s="6" t="str">
        <f t="array" ref="BQ159">INDEX(BO:BO,SMALL(IF(BO$1:BO$500&lt;&gt;"",ROW($1:$500),1000),ROW(BO159)))&amp;""</f>
        <v/>
      </c>
      <c r="BV159" s="6"/>
      <c r="BZ159" s="6" t="str">
        <f t="array" ref="BZ159">INDEX(BX:BX,SMALL(IF(BX$1:BX$500&lt;&gt;"",ROW($1:$500),1000),ROW(BX159)))&amp;""</f>
        <v/>
      </c>
      <c r="CA159" s="6" t="str">
        <f t="array" ref="CA159">INDEX(BY:BY,SMALL(IF(BY$1:BY$500&lt;&gt;"",ROW($1:$500),1000),ROW(BY159)))&amp;""</f>
        <v/>
      </c>
    </row>
    <row r="160" spans="1:79">
      <c r="A160" s="8" t="s">
        <v>2699</v>
      </c>
      <c r="B160" s="8" t="s">
        <v>1586</v>
      </c>
      <c r="C160" s="8" t="s">
        <v>494</v>
      </c>
      <c r="D160" s="9">
        <v>3</v>
      </c>
      <c r="F160" s="8" t="str">
        <f t="shared" si="14"/>
        <v/>
      </c>
      <c r="G160" s="8" t="str">
        <f>IF(AND(VLOOKUP(C160,查询!$C$8:$E$15,3,FALSE)="启用",$B$1=D160),B160,"")</f>
        <v/>
      </c>
      <c r="H160" s="6" t="str">
        <f t="array" ref="H160">INDEX(F:F,SMALL(IF($F$1:$F$500&lt;&gt;"",ROW($1:$500),1000),ROW(F160)))&amp;""</f>
        <v/>
      </c>
      <c r="I160" s="6" t="str">
        <f t="array" ref="I160">INDEX(G:G,SMALL(IF($F$1:$F$500&lt;&gt;"",ROW($1:$500),1000),ROW(G160)))&amp;""</f>
        <v/>
      </c>
      <c r="K160" s="8" t="s">
        <v>2975</v>
      </c>
      <c r="L160" s="8" t="s">
        <v>1384</v>
      </c>
      <c r="M160" s="8" t="s">
        <v>494</v>
      </c>
      <c r="N160" s="9">
        <v>5</v>
      </c>
      <c r="P160" s="8" t="str">
        <f t="shared" si="15"/>
        <v/>
      </c>
      <c r="Q160" s="8" t="str">
        <f>IF(AND(VLOOKUP(M160,查询!$C$8:$E$15,3,FALSE)="启用",$B$1=N160),L160,"")</f>
        <v/>
      </c>
      <c r="R160" s="6" t="str">
        <f t="array" ref="R160">INDEX(P:P,SMALL(IF(P$1:P$500&lt;&gt;"",ROW($1:$500),1000),ROW(P160)))&amp;""</f>
        <v/>
      </c>
      <c r="S160" s="6" t="str">
        <f t="array" ref="S160">INDEX(Q:Q,SMALL(IF(Q$1:Q$500&lt;&gt;"",ROW($1:$500),1000),ROW(Q160)))&amp;""</f>
        <v/>
      </c>
      <c r="X160" s="6"/>
      <c r="AB160" s="6" t="str">
        <f t="array" ref="AB160">INDEX(Z:Z,SMALL(IF(Z$1:Z$500&lt;&gt;"",ROW($1:$500),1000),ROW(Z160)))&amp;""</f>
        <v/>
      </c>
      <c r="AC160" s="6" t="str">
        <f t="array" ref="AC160">INDEX(AA:AA,SMALL(IF(AA$1:AA$500&lt;&gt;"",ROW($1:$500),1000),ROW(AA160)))&amp;""</f>
        <v/>
      </c>
      <c r="AH160" s="6"/>
      <c r="AL160" s="6" t="str">
        <f t="array" ref="AL160">INDEX(AJ:AJ,SMALL(IF(AJ$1:AJ$500&lt;&gt;"",ROW($1:$500),1000),ROW(AJ160)))&amp;""</f>
        <v/>
      </c>
      <c r="AM160" s="6" t="str">
        <f t="array" ref="AM160">INDEX(AK:AK,SMALL(IF(AK$1:AK$500&lt;&gt;"",ROW($1:$500),1000),ROW(AK160)))&amp;""</f>
        <v/>
      </c>
      <c r="AV160" s="6" t="str">
        <f t="array" ref="AV160">INDEX(AT:AT,SMALL(IF(AT$1:AT$500&lt;&gt;"",ROW($1:$500),1000),ROW(AT160)))&amp;""</f>
        <v/>
      </c>
      <c r="AW160" s="6" t="str">
        <f t="array" ref="AW160">INDEX(AU:AU,SMALL(IF(AU$1:AU$500&lt;&gt;"",ROW($1:$500),1000),ROW(AU160)))&amp;""</f>
        <v/>
      </c>
      <c r="BF160" s="6" t="str">
        <f t="array" ref="BF160">INDEX(BD:BD,SMALL(IF(BD$1:BD$500&lt;&gt;"",ROW($1:$500),1000),ROW(BD160)))&amp;""</f>
        <v/>
      </c>
      <c r="BG160" s="6" t="str">
        <f t="array" ref="BG160">INDEX(BE:BE,SMALL(IF(BE$1:BE$500&lt;&gt;"",ROW($1:$500),1000),ROW(BE160)))&amp;""</f>
        <v/>
      </c>
      <c r="BI160" s="8" t="s">
        <v>3145</v>
      </c>
      <c r="BJ160" s="8" t="s">
        <v>1758</v>
      </c>
      <c r="BK160" s="8" t="s">
        <v>578</v>
      </c>
      <c r="BL160" s="9">
        <v>6</v>
      </c>
      <c r="BN160" s="8" t="str">
        <f t="shared" si="16"/>
        <v/>
      </c>
      <c r="BO160" s="8" t="str">
        <f>IF(AND(VLOOKUP(BK160,查询!$C$8:$E$15,3,FALSE)="启用",$B$1=BL160),BJ160,"")</f>
        <v/>
      </c>
      <c r="BP160" s="6" t="str">
        <f t="array" ref="BP160">INDEX(BN:BN,SMALL(IF(BN$1:BN$500&lt;&gt;"",ROW($1:$500),1000),ROW(BN160)))&amp;""</f>
        <v/>
      </c>
      <c r="BQ160" s="6" t="str">
        <f t="array" ref="BQ160">INDEX(BO:BO,SMALL(IF(BO$1:BO$500&lt;&gt;"",ROW($1:$500),1000),ROW(BO160)))&amp;""</f>
        <v/>
      </c>
      <c r="BV160" s="6"/>
      <c r="BZ160" s="6" t="str">
        <f t="array" ref="BZ160">INDEX(BX:BX,SMALL(IF(BX$1:BX$500&lt;&gt;"",ROW($1:$500),1000),ROW(BX160)))&amp;""</f>
        <v/>
      </c>
      <c r="CA160" s="6" t="str">
        <f t="array" ref="CA160">INDEX(BY:BY,SMALL(IF(BY$1:BY$500&lt;&gt;"",ROW($1:$500),1000),ROW(BY160)))&amp;""</f>
        <v/>
      </c>
    </row>
    <row r="161" spans="1:79">
      <c r="A161" s="8" t="s">
        <v>2703</v>
      </c>
      <c r="B161" s="8" t="s">
        <v>1590</v>
      </c>
      <c r="C161" s="8" t="s">
        <v>494</v>
      </c>
      <c r="D161" s="9">
        <v>3</v>
      </c>
      <c r="F161" s="8" t="str">
        <f t="shared" si="14"/>
        <v/>
      </c>
      <c r="G161" s="8" t="str">
        <f>IF(AND(VLOOKUP(C161,查询!$C$8:$E$15,3,FALSE)="启用",$B$1=D161),B161,"")</f>
        <v/>
      </c>
      <c r="H161" s="6" t="str">
        <f t="array" ref="H161">INDEX(F:F,SMALL(IF($F$1:$F$500&lt;&gt;"",ROW($1:$500),1000),ROW(F161)))&amp;""</f>
        <v/>
      </c>
      <c r="I161" s="6" t="str">
        <f t="array" ref="I161">INDEX(G:G,SMALL(IF($F$1:$F$500&lt;&gt;"",ROW($1:$500),1000),ROW(G161)))&amp;""</f>
        <v/>
      </c>
      <c r="K161" s="8" t="s">
        <v>2930</v>
      </c>
      <c r="L161" s="8" t="s">
        <v>1723</v>
      </c>
      <c r="M161" s="8" t="s">
        <v>578</v>
      </c>
      <c r="N161" s="9">
        <v>5</v>
      </c>
      <c r="P161" s="8" t="str">
        <f t="shared" si="15"/>
        <v/>
      </c>
      <c r="Q161" s="8" t="str">
        <f>IF(AND(VLOOKUP(M161,查询!$C$8:$E$15,3,FALSE)="启用",$B$1=N161),L161,"")</f>
        <v/>
      </c>
      <c r="R161" s="6" t="str">
        <f t="array" ref="R161">INDEX(P:P,SMALL(IF(P$1:P$500&lt;&gt;"",ROW($1:$500),1000),ROW(P161)))&amp;""</f>
        <v/>
      </c>
      <c r="S161" s="6" t="str">
        <f t="array" ref="S161">INDEX(Q:Q,SMALL(IF(Q$1:Q$500&lt;&gt;"",ROW($1:$500),1000),ROW(Q161)))&amp;""</f>
        <v/>
      </c>
      <c r="X161" s="6"/>
      <c r="AB161" s="6" t="str">
        <f t="array" ref="AB161">INDEX(Z:Z,SMALL(IF(Z$1:Z$500&lt;&gt;"",ROW($1:$500),1000),ROW(Z161)))&amp;""</f>
        <v/>
      </c>
      <c r="AC161" s="6" t="str">
        <f t="array" ref="AC161">INDEX(AA:AA,SMALL(IF(AA$1:AA$500&lt;&gt;"",ROW($1:$500),1000),ROW(AA161)))&amp;""</f>
        <v/>
      </c>
      <c r="AH161" s="6"/>
      <c r="AL161" s="6" t="str">
        <f t="array" ref="AL161">INDEX(AJ:AJ,SMALL(IF(AJ$1:AJ$500&lt;&gt;"",ROW($1:$500),1000),ROW(AJ161)))&amp;""</f>
        <v/>
      </c>
      <c r="AM161" s="6" t="str">
        <f t="array" ref="AM161">INDEX(AK:AK,SMALL(IF(AK$1:AK$500&lt;&gt;"",ROW($1:$500),1000),ROW(AK161)))&amp;""</f>
        <v/>
      </c>
      <c r="AV161" s="6" t="str">
        <f t="array" ref="AV161">INDEX(AT:AT,SMALL(IF(AT$1:AT$500&lt;&gt;"",ROW($1:$500),1000),ROW(AT161)))&amp;""</f>
        <v/>
      </c>
      <c r="AW161" s="6" t="str">
        <f t="array" ref="AW161">INDEX(AU:AU,SMALL(IF(AU$1:AU$500&lt;&gt;"",ROW($1:$500),1000),ROW(AU161)))&amp;""</f>
        <v/>
      </c>
      <c r="BF161" s="6" t="str">
        <f t="array" ref="BF161">INDEX(BD:BD,SMALL(IF(BD$1:BD$500&lt;&gt;"",ROW($1:$500),1000),ROW(BD161)))&amp;""</f>
        <v/>
      </c>
      <c r="BG161" s="6" t="str">
        <f t="array" ref="BG161">INDEX(BE:BE,SMALL(IF(BE$1:BE$500&lt;&gt;"",ROW($1:$500),1000),ROW(BE161)))&amp;""</f>
        <v/>
      </c>
      <c r="BI161" s="8" t="s">
        <v>3264</v>
      </c>
      <c r="BJ161" s="8" t="s">
        <v>1718</v>
      </c>
      <c r="BK161" s="8" t="s">
        <v>494</v>
      </c>
      <c r="BL161" s="9">
        <v>6</v>
      </c>
      <c r="BN161" s="8" t="str">
        <f t="shared" si="16"/>
        <v/>
      </c>
      <c r="BO161" s="8" t="str">
        <f>IF(AND(VLOOKUP(BK161,查询!$C$8:$E$15,3,FALSE)="启用",$B$1=BL161),BJ161,"")</f>
        <v/>
      </c>
      <c r="BP161" s="6" t="str">
        <f t="array" ref="BP161">INDEX(BN:BN,SMALL(IF(BN$1:BN$500&lt;&gt;"",ROW($1:$500),1000),ROW(BN161)))&amp;""</f>
        <v/>
      </c>
      <c r="BQ161" s="6" t="str">
        <f t="array" ref="BQ161">INDEX(BO:BO,SMALL(IF(BO$1:BO$500&lt;&gt;"",ROW($1:$500),1000),ROW(BO161)))&amp;""</f>
        <v/>
      </c>
      <c r="BV161" s="6"/>
      <c r="BZ161" s="6" t="str">
        <f t="array" ref="BZ161">INDEX(BX:BX,SMALL(IF(BX$1:BX$500&lt;&gt;"",ROW($1:$500),1000),ROW(BX161)))&amp;""</f>
        <v/>
      </c>
      <c r="CA161" s="6" t="str">
        <f t="array" ref="CA161">INDEX(BY:BY,SMALL(IF(BY$1:BY$500&lt;&gt;"",ROW($1:$500),1000),ROW(BY161)))&amp;""</f>
        <v/>
      </c>
    </row>
    <row r="162" spans="1:79">
      <c r="A162" s="8" t="s">
        <v>2536</v>
      </c>
      <c r="B162" s="8" t="s">
        <v>1317</v>
      </c>
      <c r="C162" s="8" t="s">
        <v>1249</v>
      </c>
      <c r="D162" s="9">
        <v>3</v>
      </c>
      <c r="F162" s="8" t="str">
        <f t="shared" si="14"/>
        <v/>
      </c>
      <c r="G162" s="8" t="str">
        <f>IF(AND(VLOOKUP(C162,查询!$C$8:$E$15,3,FALSE)="启用",$B$1=D162),B162,"")</f>
        <v/>
      </c>
      <c r="H162" s="6" t="str">
        <f t="array" ref="H162">INDEX(F:F,SMALL(IF($F$1:$F$500&lt;&gt;"",ROW($1:$500),1000),ROW(F162)))&amp;""</f>
        <v/>
      </c>
      <c r="I162" s="6" t="str">
        <f t="array" ref="I162">INDEX(G:G,SMALL(IF($F$1:$F$500&lt;&gt;"",ROW($1:$500),1000),ROW(G162)))&amp;""</f>
        <v/>
      </c>
      <c r="K162" s="8" t="s">
        <v>2930</v>
      </c>
      <c r="L162" s="8" t="s">
        <v>1283</v>
      </c>
      <c r="M162" s="8" t="s">
        <v>1249</v>
      </c>
      <c r="N162" s="9">
        <v>5</v>
      </c>
      <c r="P162" s="8" t="str">
        <f t="shared" si="15"/>
        <v/>
      </c>
      <c r="Q162" s="8" t="str">
        <f>IF(AND(VLOOKUP(M162,查询!$C$8:$E$15,3,FALSE)="启用",$B$1=N162),L162,"")</f>
        <v/>
      </c>
      <c r="R162" s="6" t="str">
        <f t="array" ref="R162">INDEX(P:P,SMALL(IF(P$1:P$500&lt;&gt;"",ROW($1:$500),1000),ROW(P162)))&amp;""</f>
        <v/>
      </c>
      <c r="S162" s="6" t="str">
        <f t="array" ref="S162">INDEX(Q:Q,SMALL(IF(Q$1:Q$500&lt;&gt;"",ROW($1:$500),1000),ROW(Q162)))&amp;""</f>
        <v/>
      </c>
      <c r="X162" s="6"/>
      <c r="AB162" s="6" t="str">
        <f t="array" ref="AB162">INDEX(Z:Z,SMALL(IF(Z$1:Z$500&lt;&gt;"",ROW($1:$500),1000),ROW(Z162)))&amp;""</f>
        <v/>
      </c>
      <c r="AC162" s="6" t="str">
        <f t="array" ref="AC162">INDEX(AA:AA,SMALL(IF(AA$1:AA$500&lt;&gt;"",ROW($1:$500),1000),ROW(AA162)))&amp;""</f>
        <v/>
      </c>
      <c r="AH162" s="6"/>
      <c r="AL162" s="6" t="str">
        <f t="array" ref="AL162">INDEX(AJ:AJ,SMALL(IF(AJ$1:AJ$500&lt;&gt;"",ROW($1:$500),1000),ROW(AJ162)))&amp;""</f>
        <v/>
      </c>
      <c r="AM162" s="6" t="str">
        <f t="array" ref="AM162">INDEX(AK:AK,SMALL(IF(AK$1:AK$500&lt;&gt;"",ROW($1:$500),1000),ROW(AK162)))&amp;""</f>
        <v/>
      </c>
      <c r="AV162" s="6" t="str">
        <f t="array" ref="AV162">INDEX(AT:AT,SMALL(IF(AT$1:AT$500&lt;&gt;"",ROW($1:$500),1000),ROW(AT162)))&amp;""</f>
        <v/>
      </c>
      <c r="AW162" s="6" t="str">
        <f t="array" ref="AW162">INDEX(AU:AU,SMALL(IF(AU$1:AU$500&lt;&gt;"",ROW($1:$500),1000),ROW(AU162)))&amp;""</f>
        <v/>
      </c>
      <c r="BF162" s="6" t="str">
        <f t="array" ref="BF162">INDEX(BD:BD,SMALL(IF(BD$1:BD$500&lt;&gt;"",ROW($1:$500),1000),ROW(BD162)))&amp;""</f>
        <v/>
      </c>
      <c r="BG162" s="6" t="str">
        <f t="array" ref="BG162">INDEX(BE:BE,SMALL(IF(BE$1:BE$500&lt;&gt;"",ROW($1:$500),1000),ROW(BE162)))&amp;""</f>
        <v/>
      </c>
      <c r="BI162" s="8" t="s">
        <v>3266</v>
      </c>
      <c r="BJ162" s="8" t="s">
        <v>1719</v>
      </c>
      <c r="BK162" s="8" t="s">
        <v>494</v>
      </c>
      <c r="BL162" s="9">
        <v>6</v>
      </c>
      <c r="BN162" s="8" t="str">
        <f t="shared" si="16"/>
        <v/>
      </c>
      <c r="BO162" s="8" t="str">
        <f>IF(AND(VLOOKUP(BK162,查询!$C$8:$E$15,3,FALSE)="启用",$B$1=BL162),BJ162,"")</f>
        <v/>
      </c>
      <c r="BP162" s="6" t="str">
        <f t="array" ref="BP162">INDEX(BN:BN,SMALL(IF(BN$1:BN$500&lt;&gt;"",ROW($1:$500),1000),ROW(BN162)))&amp;""</f>
        <v/>
      </c>
      <c r="BQ162" s="6" t="str">
        <f t="array" ref="BQ162">INDEX(BO:BO,SMALL(IF(BO$1:BO$500&lt;&gt;"",ROW($1:$500),1000),ROW(BO162)))&amp;""</f>
        <v/>
      </c>
      <c r="BV162" s="6"/>
      <c r="BZ162" s="6" t="str">
        <f t="array" ref="BZ162">INDEX(BX:BX,SMALL(IF(BX$1:BX$500&lt;&gt;"",ROW($1:$500),1000),ROW(BX162)))&amp;""</f>
        <v/>
      </c>
      <c r="CA162" s="6" t="str">
        <f t="array" ref="CA162">INDEX(BY:BY,SMALL(IF(BY$1:BY$500&lt;&gt;"",ROW($1:$500),1000),ROW(BY162)))&amp;""</f>
        <v/>
      </c>
    </row>
    <row r="163" spans="1:79">
      <c r="A163" s="8" t="s">
        <v>2726</v>
      </c>
      <c r="B163" s="8" t="s">
        <v>1662</v>
      </c>
      <c r="C163" s="8" t="s">
        <v>494</v>
      </c>
      <c r="D163" s="9">
        <v>3</v>
      </c>
      <c r="F163" s="8" t="str">
        <f t="shared" si="14"/>
        <v/>
      </c>
      <c r="G163" s="8" t="str">
        <f>IF(AND(VLOOKUP(C163,查询!$C$8:$E$15,3,FALSE)="启用",$B$1=D163),B163,"")</f>
        <v/>
      </c>
      <c r="H163" s="6" t="str">
        <f t="array" ref="H163">INDEX(F:F,SMALL(IF($F$1:$F$500&lt;&gt;"",ROW($1:$500),1000),ROW(F163)))&amp;""</f>
        <v/>
      </c>
      <c r="I163" s="6" t="str">
        <f t="array" ref="I163">INDEX(G:G,SMALL(IF($F$1:$F$500&lt;&gt;"",ROW($1:$500),1000),ROW(G163)))&amp;""</f>
        <v/>
      </c>
      <c r="K163" s="8" t="s">
        <v>2980</v>
      </c>
      <c r="L163" s="8" t="s">
        <v>1406</v>
      </c>
      <c r="M163" s="8" t="s">
        <v>494</v>
      </c>
      <c r="N163" s="9">
        <v>5</v>
      </c>
      <c r="P163" s="8" t="str">
        <f t="shared" si="15"/>
        <v/>
      </c>
      <c r="Q163" s="8" t="str">
        <f>IF(AND(VLOOKUP(M163,查询!$C$8:$E$15,3,FALSE)="启用",$B$1=N163),L163,"")</f>
        <v/>
      </c>
      <c r="R163" s="6" t="str">
        <f t="array" ref="R163">INDEX(P:P,SMALL(IF(P$1:P$500&lt;&gt;"",ROW($1:$500),1000),ROW(P163)))&amp;""</f>
        <v/>
      </c>
      <c r="S163" s="6" t="str">
        <f t="array" ref="S163">INDEX(Q:Q,SMALL(IF(Q$1:Q$500&lt;&gt;"",ROW($1:$500),1000),ROW(Q163)))&amp;""</f>
        <v/>
      </c>
      <c r="X163" s="6"/>
      <c r="AB163" s="6" t="str">
        <f t="array" ref="AB163">INDEX(Z:Z,SMALL(IF(Z$1:Z$500&lt;&gt;"",ROW($1:$500),1000),ROW(Z163)))&amp;""</f>
        <v/>
      </c>
      <c r="AC163" s="6" t="str">
        <f t="array" ref="AC163">INDEX(AA:AA,SMALL(IF(AA$1:AA$500&lt;&gt;"",ROW($1:$500),1000),ROW(AA163)))&amp;""</f>
        <v/>
      </c>
      <c r="AH163" s="6"/>
      <c r="AL163" s="6" t="str">
        <f t="array" ref="AL163">INDEX(AJ:AJ,SMALL(IF(AJ$1:AJ$500&lt;&gt;"",ROW($1:$500),1000),ROW(AJ163)))&amp;""</f>
        <v/>
      </c>
      <c r="AM163" s="6" t="str">
        <f t="array" ref="AM163">INDEX(AK:AK,SMALL(IF(AK$1:AK$500&lt;&gt;"",ROW($1:$500),1000),ROW(AK163)))&amp;""</f>
        <v/>
      </c>
      <c r="AV163" s="6" t="str">
        <f t="array" ref="AV163">INDEX(AT:AT,SMALL(IF(AT$1:AT$500&lt;&gt;"",ROW($1:$500),1000),ROW(AT163)))&amp;""</f>
        <v/>
      </c>
      <c r="AW163" s="6" t="str">
        <f t="array" ref="AW163">INDEX(AU:AU,SMALL(IF(AU$1:AU$500&lt;&gt;"",ROW($1:$500),1000),ROW(AU163)))&amp;""</f>
        <v/>
      </c>
      <c r="BF163" s="6" t="str">
        <f t="array" ref="BF163">INDEX(BD:BD,SMALL(IF(BD$1:BD$500&lt;&gt;"",ROW($1:$500),1000),ROW(BD163)))&amp;""</f>
        <v/>
      </c>
      <c r="BG163" s="6" t="str">
        <f t="array" ref="BG163">INDEX(BE:BE,SMALL(IF(BE$1:BE$500&lt;&gt;"",ROW($1:$500),1000),ROW(BE163)))&amp;""</f>
        <v/>
      </c>
      <c r="BI163" s="8" t="s">
        <v>3270</v>
      </c>
      <c r="BJ163" s="8" t="s">
        <v>1720</v>
      </c>
      <c r="BK163" s="8" t="s">
        <v>494</v>
      </c>
      <c r="BL163" s="9">
        <v>6</v>
      </c>
      <c r="BN163" s="8" t="str">
        <f t="shared" si="16"/>
        <v/>
      </c>
      <c r="BO163" s="8" t="str">
        <f>IF(AND(VLOOKUP(BK163,查询!$C$8:$E$15,3,FALSE)="启用",$B$1=BL163),BJ163,"")</f>
        <v/>
      </c>
      <c r="BP163" s="6" t="str">
        <f t="array" ref="BP163">INDEX(BN:BN,SMALL(IF(BN$1:BN$500&lt;&gt;"",ROW($1:$500),1000),ROW(BN163)))&amp;""</f>
        <v/>
      </c>
      <c r="BQ163" s="6" t="str">
        <f t="array" ref="BQ163">INDEX(BO:BO,SMALL(IF(BO$1:BO$500&lt;&gt;"",ROW($1:$500),1000),ROW(BO163)))&amp;""</f>
        <v/>
      </c>
      <c r="BV163" s="6"/>
      <c r="BZ163" s="6" t="str">
        <f t="array" ref="BZ163">INDEX(BX:BX,SMALL(IF(BX$1:BX$500&lt;&gt;"",ROW($1:$500),1000),ROW(BX163)))&amp;""</f>
        <v/>
      </c>
      <c r="CA163" s="6" t="str">
        <f t="array" ref="CA163">INDEX(BY:BY,SMALL(IF(BY$1:BY$500&lt;&gt;"",ROW($1:$500),1000),ROW(BY163)))&amp;""</f>
        <v/>
      </c>
    </row>
    <row r="164" spans="1:79">
      <c r="A164" s="8" t="s">
        <v>2540</v>
      </c>
      <c r="B164" s="8" t="s">
        <v>1323</v>
      </c>
      <c r="C164" s="8" t="s">
        <v>1249</v>
      </c>
      <c r="D164" s="9">
        <v>3</v>
      </c>
      <c r="F164" s="8" t="str">
        <f t="shared" si="14"/>
        <v/>
      </c>
      <c r="G164" s="8" t="str">
        <f>IF(AND(VLOOKUP(C164,查询!$C$8:$E$15,3,FALSE)="启用",$B$1=D164),B164,"")</f>
        <v/>
      </c>
      <c r="H164" s="6" t="str">
        <f t="array" ref="H164">INDEX(F:F,SMALL(IF($F$1:$F$500&lt;&gt;"",ROW($1:$500),1000),ROW(F164)))&amp;""</f>
        <v/>
      </c>
      <c r="I164" s="6" t="str">
        <f t="array" ref="I164">INDEX(G:G,SMALL(IF($F$1:$F$500&lt;&gt;"",ROW($1:$500),1000),ROW(G164)))&amp;""</f>
        <v/>
      </c>
      <c r="K164" s="8" t="s">
        <v>2982</v>
      </c>
      <c r="L164" s="8" t="s">
        <v>1408</v>
      </c>
      <c r="M164" s="8" t="s">
        <v>494</v>
      </c>
      <c r="N164" s="9">
        <v>5</v>
      </c>
      <c r="P164" s="8" t="str">
        <f t="shared" si="15"/>
        <v/>
      </c>
      <c r="Q164" s="8" t="str">
        <f>IF(AND(VLOOKUP(M164,查询!$C$8:$E$15,3,FALSE)="启用",$B$1=N164),L164,"")</f>
        <v/>
      </c>
      <c r="R164" s="6" t="str">
        <f t="array" ref="R164">INDEX(P:P,SMALL(IF(P$1:P$500&lt;&gt;"",ROW($1:$500),1000),ROW(P164)))&amp;""</f>
        <v/>
      </c>
      <c r="S164" s="6" t="str">
        <f t="array" ref="S164">INDEX(Q:Q,SMALL(IF(Q$1:Q$500&lt;&gt;"",ROW($1:$500),1000),ROW(Q164)))&amp;""</f>
        <v/>
      </c>
      <c r="X164" s="6"/>
      <c r="AB164" s="6" t="str">
        <f t="array" ref="AB164">INDEX(Z:Z,SMALL(IF(Z$1:Z$500&lt;&gt;"",ROW($1:$500),1000),ROW(Z164)))&amp;""</f>
        <v/>
      </c>
      <c r="AC164" s="6" t="str">
        <f t="array" ref="AC164">INDEX(AA:AA,SMALL(IF(AA$1:AA$500&lt;&gt;"",ROW($1:$500),1000),ROW(AA164)))&amp;""</f>
        <v/>
      </c>
      <c r="AH164" s="6"/>
      <c r="AL164" s="6" t="str">
        <f t="array" ref="AL164">INDEX(AJ:AJ,SMALL(IF(AJ$1:AJ$500&lt;&gt;"",ROW($1:$500),1000),ROW(AJ164)))&amp;""</f>
        <v/>
      </c>
      <c r="AM164" s="6" t="str">
        <f t="array" ref="AM164">INDEX(AK:AK,SMALL(IF(AK$1:AK$500&lt;&gt;"",ROW($1:$500),1000),ROW(AK164)))&amp;""</f>
        <v/>
      </c>
      <c r="AV164" s="6" t="str">
        <f t="array" ref="AV164">INDEX(AT:AT,SMALL(IF(AT$1:AT$500&lt;&gt;"",ROW($1:$500),1000),ROW(AT164)))&amp;""</f>
        <v/>
      </c>
      <c r="AW164" s="6" t="str">
        <f t="array" ref="AW164">INDEX(AU:AU,SMALL(IF(AU$1:AU$500&lt;&gt;"",ROW($1:$500),1000),ROW(AU164)))&amp;""</f>
        <v/>
      </c>
      <c r="BF164" s="6" t="str">
        <f t="array" ref="BF164">INDEX(BD:BD,SMALL(IF(BD$1:BD$500&lt;&gt;"",ROW($1:$500),1000),ROW(BD164)))&amp;""</f>
        <v/>
      </c>
      <c r="BG164" s="6" t="str">
        <f t="array" ref="BG164">INDEX(BE:BE,SMALL(IF(BE$1:BE$500&lt;&gt;"",ROW($1:$500),1000),ROW(BE164)))&amp;""</f>
        <v/>
      </c>
      <c r="BI164" s="8" t="s">
        <v>3325</v>
      </c>
      <c r="BJ164" s="8" t="s">
        <v>1512</v>
      </c>
      <c r="BK164" s="8" t="s">
        <v>494</v>
      </c>
      <c r="BL164" s="9">
        <v>7</v>
      </c>
      <c r="BN164" s="8" t="str">
        <f t="shared" si="16"/>
        <v/>
      </c>
      <c r="BO164" s="8" t="str">
        <f>IF(AND(VLOOKUP(BK164,查询!$C$8:$E$15,3,FALSE)="启用",$B$1=BL164),BJ164,"")</f>
        <v/>
      </c>
      <c r="BP164" s="6" t="str">
        <f t="array" ref="BP164">INDEX(BN:BN,SMALL(IF(BN$1:BN$500&lt;&gt;"",ROW($1:$500),1000),ROW(BN164)))&amp;""</f>
        <v/>
      </c>
      <c r="BQ164" s="6" t="str">
        <f t="array" ref="BQ164">INDEX(BO:BO,SMALL(IF(BO$1:BO$500&lt;&gt;"",ROW($1:$500),1000),ROW(BO164)))&amp;""</f>
        <v/>
      </c>
      <c r="BV164" s="6"/>
      <c r="BZ164" s="6" t="str">
        <f t="array" ref="BZ164">INDEX(BX:BX,SMALL(IF(BX$1:BX$500&lt;&gt;"",ROW($1:$500),1000),ROW(BX164)))&amp;""</f>
        <v/>
      </c>
      <c r="CA164" s="6" t="str">
        <f t="array" ref="CA164">INDEX(BY:BY,SMALL(IF(BY$1:BY$500&lt;&gt;"",ROW($1:$500),1000),ROW(BY164)))&amp;""</f>
        <v/>
      </c>
    </row>
    <row r="165" spans="1:79">
      <c r="A165" s="8" t="s">
        <v>2543</v>
      </c>
      <c r="B165" s="8" t="s">
        <v>1324</v>
      </c>
      <c r="C165" s="8" t="s">
        <v>1249</v>
      </c>
      <c r="D165" s="9">
        <v>3</v>
      </c>
      <c r="F165" s="8" t="str">
        <f t="shared" si="14"/>
        <v/>
      </c>
      <c r="G165" s="8" t="str">
        <f>IF(AND(VLOOKUP(C165,查询!$C$8:$E$15,3,FALSE)="启用",$B$1=D165),B165,"")</f>
        <v/>
      </c>
      <c r="H165" s="6" t="str">
        <f t="array" ref="H165">INDEX(F:F,SMALL(IF($F$1:$F$500&lt;&gt;"",ROW($1:$500),1000),ROW(F165)))&amp;""</f>
        <v/>
      </c>
      <c r="I165" s="6" t="str">
        <f t="array" ref="I165">INDEX(G:G,SMALL(IF($F$1:$F$500&lt;&gt;"",ROW($1:$500),1000),ROW(G165)))&amp;""</f>
        <v/>
      </c>
      <c r="K165" s="8" t="s">
        <v>2986</v>
      </c>
      <c r="L165" s="8" t="s">
        <v>1429</v>
      </c>
      <c r="M165" s="8" t="s">
        <v>494</v>
      </c>
      <c r="N165" s="9">
        <v>5</v>
      </c>
      <c r="P165" s="8" t="str">
        <f t="shared" si="15"/>
        <v/>
      </c>
      <c r="Q165" s="8" t="str">
        <f>IF(AND(VLOOKUP(M165,查询!$C$8:$E$15,3,FALSE)="启用",$B$1=N165),L165,"")</f>
        <v/>
      </c>
      <c r="R165" s="6" t="str">
        <f t="array" ref="R165">INDEX(P:P,SMALL(IF(P$1:P$500&lt;&gt;"",ROW($1:$500),1000),ROW(P165)))&amp;""</f>
        <v/>
      </c>
      <c r="S165" s="6" t="str">
        <f t="array" ref="S165">INDEX(Q:Q,SMALL(IF(Q$1:Q$500&lt;&gt;"",ROW($1:$500),1000),ROW(Q165)))&amp;""</f>
        <v/>
      </c>
      <c r="X165" s="6"/>
      <c r="AB165" s="6" t="str">
        <f t="array" ref="AB165">INDEX(Z:Z,SMALL(IF(Z$1:Z$500&lt;&gt;"",ROW($1:$500),1000),ROW(Z165)))&amp;""</f>
        <v/>
      </c>
      <c r="AC165" s="6" t="str">
        <f t="array" ref="AC165">INDEX(AA:AA,SMALL(IF(AA$1:AA$500&lt;&gt;"",ROW($1:$500),1000),ROW(AA165)))&amp;""</f>
        <v/>
      </c>
      <c r="AH165" s="6"/>
      <c r="AL165" s="6" t="str">
        <f t="array" ref="AL165">INDEX(AJ:AJ,SMALL(IF(AJ$1:AJ$500&lt;&gt;"",ROW($1:$500),1000),ROW(AJ165)))&amp;""</f>
        <v/>
      </c>
      <c r="AM165" s="6" t="str">
        <f t="array" ref="AM165">INDEX(AK:AK,SMALL(IF(AK$1:AK$500&lt;&gt;"",ROW($1:$500),1000),ROW(AK165)))&amp;""</f>
        <v/>
      </c>
      <c r="AV165" s="6" t="str">
        <f t="array" ref="AV165">INDEX(AT:AT,SMALL(IF(AT$1:AT$500&lt;&gt;"",ROW($1:$500),1000),ROW(AT165)))&amp;""</f>
        <v/>
      </c>
      <c r="AW165" s="6" t="str">
        <f t="array" ref="AW165">INDEX(AU:AU,SMALL(IF(AU$1:AU$500&lt;&gt;"",ROW($1:$500),1000),ROW(AU165)))&amp;""</f>
        <v/>
      </c>
      <c r="BF165" s="6" t="str">
        <f t="array" ref="BF165">INDEX(BD:BD,SMALL(IF(BD$1:BD$500&lt;&gt;"",ROW($1:$500),1000),ROW(BD165)))&amp;""</f>
        <v/>
      </c>
      <c r="BG165" s="6" t="str">
        <f t="array" ref="BG165">INDEX(BE:BE,SMALL(IF(BE$1:BE$500&lt;&gt;"",ROW($1:$500),1000),ROW(BE165)))&amp;""</f>
        <v/>
      </c>
      <c r="BI165" s="8" t="s">
        <v>3347</v>
      </c>
      <c r="BJ165" s="8" t="s">
        <v>1544</v>
      </c>
      <c r="BK165" s="8" t="s">
        <v>494</v>
      </c>
      <c r="BL165" s="9">
        <v>7</v>
      </c>
      <c r="BN165" s="8" t="str">
        <f t="shared" si="16"/>
        <v/>
      </c>
      <c r="BO165" s="8" t="str">
        <f>IF(AND(VLOOKUP(BK165,查询!$C$8:$E$15,3,FALSE)="启用",$B$1=BL165),BJ165,"")</f>
        <v/>
      </c>
      <c r="BP165" s="6" t="str">
        <f t="array" ref="BP165">INDEX(BN:BN,SMALL(IF(BN$1:BN$500&lt;&gt;"",ROW($1:$500),1000),ROW(BN165)))&amp;""</f>
        <v/>
      </c>
      <c r="BQ165" s="6" t="str">
        <f t="array" ref="BQ165">INDEX(BO:BO,SMALL(IF(BO$1:BO$500&lt;&gt;"",ROW($1:$500),1000),ROW(BO165)))&amp;""</f>
        <v/>
      </c>
      <c r="BV165" s="6"/>
      <c r="BZ165" s="6" t="str">
        <f t="array" ref="BZ165">INDEX(BX:BX,SMALL(IF(BX$1:BX$500&lt;&gt;"",ROW($1:$500),1000),ROW(BX165)))&amp;""</f>
        <v/>
      </c>
      <c r="CA165" s="6" t="str">
        <f t="array" ref="CA165">INDEX(BY:BY,SMALL(IF(BY$1:BY$500&lt;&gt;"",ROW($1:$500),1000),ROW(BY165)))&amp;""</f>
        <v/>
      </c>
    </row>
    <row r="166" spans="1:79">
      <c r="A166" s="8" t="s">
        <v>2547</v>
      </c>
      <c r="B166" s="8" t="s">
        <v>1325</v>
      </c>
      <c r="C166" s="8" t="s">
        <v>1249</v>
      </c>
      <c r="D166" s="9">
        <v>3</v>
      </c>
      <c r="F166" s="8" t="str">
        <f t="shared" si="14"/>
        <v/>
      </c>
      <c r="G166" s="8" t="str">
        <f>IF(AND(VLOOKUP(C166,查询!$C$8:$E$15,3,FALSE)="启用",$B$1=D166),B166,"")</f>
        <v/>
      </c>
      <c r="H166" s="6" t="str">
        <f t="array" ref="H166">INDEX(F:F,SMALL(IF($F$1:$F$500&lt;&gt;"",ROW($1:$500),1000),ROW(F166)))&amp;""</f>
        <v/>
      </c>
      <c r="I166" s="6" t="str">
        <f t="array" ref="I166">INDEX(G:G,SMALL(IF($F$1:$F$500&lt;&gt;"",ROW($1:$500),1000),ROW(G166)))&amp;""</f>
        <v/>
      </c>
      <c r="K166" s="8" t="s">
        <v>2932</v>
      </c>
      <c r="L166" s="8" t="s">
        <v>1291</v>
      </c>
      <c r="M166" s="8" t="s">
        <v>1249</v>
      </c>
      <c r="N166" s="9">
        <v>5</v>
      </c>
      <c r="P166" s="8" t="str">
        <f t="shared" si="15"/>
        <v/>
      </c>
      <c r="Q166" s="8" t="str">
        <f>IF(AND(VLOOKUP(M166,查询!$C$8:$E$15,3,FALSE)="启用",$B$1=N166),L166,"")</f>
        <v/>
      </c>
      <c r="R166" s="6" t="str">
        <f t="array" ref="R166">INDEX(P:P,SMALL(IF(P$1:P$500&lt;&gt;"",ROW($1:$500),1000),ROW(P166)))&amp;""</f>
        <v/>
      </c>
      <c r="S166" s="6" t="str">
        <f t="array" ref="S166">INDEX(Q:Q,SMALL(IF(Q$1:Q$500&lt;&gt;"",ROW($1:$500),1000),ROW(Q166)))&amp;""</f>
        <v/>
      </c>
      <c r="X166" s="6"/>
      <c r="AB166" s="6" t="str">
        <f t="array" ref="AB166">INDEX(Z:Z,SMALL(IF(Z$1:Z$500&lt;&gt;"",ROW($1:$500),1000),ROW(Z166)))&amp;""</f>
        <v/>
      </c>
      <c r="AC166" s="6" t="str">
        <f t="array" ref="AC166">INDEX(AA:AA,SMALL(IF(AA$1:AA$500&lt;&gt;"",ROW($1:$500),1000),ROW(AA166)))&amp;""</f>
        <v/>
      </c>
      <c r="AH166" s="6"/>
      <c r="AL166" s="6" t="str">
        <f t="array" ref="AL166">INDEX(AJ:AJ,SMALL(IF(AJ$1:AJ$500&lt;&gt;"",ROW($1:$500),1000),ROW(AJ166)))&amp;""</f>
        <v/>
      </c>
      <c r="AM166" s="6" t="str">
        <f t="array" ref="AM166">INDEX(AK:AK,SMALL(IF(AK$1:AK$500&lt;&gt;"",ROW($1:$500),1000),ROW(AK166)))&amp;""</f>
        <v/>
      </c>
      <c r="AV166" s="6" t="str">
        <f t="array" ref="AV166">INDEX(AT:AT,SMALL(IF(AT$1:AT$500&lt;&gt;"",ROW($1:$500),1000),ROW(AT166)))&amp;""</f>
        <v/>
      </c>
      <c r="AW166" s="6" t="str">
        <f t="array" ref="AW166">INDEX(AU:AU,SMALL(IF(AU$1:AU$500&lt;&gt;"",ROW($1:$500),1000),ROW(AU166)))&amp;""</f>
        <v/>
      </c>
      <c r="BF166" s="6" t="str">
        <f t="array" ref="BF166">INDEX(BD:BD,SMALL(IF(BD$1:BD$500&lt;&gt;"",ROW($1:$500),1000),ROW(BD166)))&amp;""</f>
        <v/>
      </c>
      <c r="BG166" s="6" t="str">
        <f t="array" ref="BG166">INDEX(BE:BE,SMALL(IF(BE$1:BE$500&lt;&gt;"",ROW($1:$500),1000),ROW(BE166)))&amp;""</f>
        <v/>
      </c>
      <c r="BI166" s="8" t="s">
        <v>3349</v>
      </c>
      <c r="BJ166" s="8" t="s">
        <v>1593</v>
      </c>
      <c r="BK166" s="8" t="s">
        <v>494</v>
      </c>
      <c r="BL166" s="9">
        <v>7</v>
      </c>
      <c r="BN166" s="8" t="str">
        <f t="shared" si="16"/>
        <v/>
      </c>
      <c r="BO166" s="8" t="str">
        <f>IF(AND(VLOOKUP(BK166,查询!$C$8:$E$15,3,FALSE)="启用",$B$1=BL166),BJ166,"")</f>
        <v/>
      </c>
      <c r="BP166" s="6" t="str">
        <f t="array" ref="BP166">INDEX(BN:BN,SMALL(IF(BN$1:BN$500&lt;&gt;"",ROW($1:$500),1000),ROW(BN166)))&amp;""</f>
        <v/>
      </c>
      <c r="BQ166" s="6" t="str">
        <f t="array" ref="BQ166">INDEX(BO:BO,SMALL(IF(BO$1:BO$500&lt;&gt;"",ROW($1:$500),1000),ROW(BO166)))&amp;""</f>
        <v/>
      </c>
      <c r="BV166" s="6"/>
      <c r="BZ166" s="6" t="str">
        <f t="array" ref="BZ166">INDEX(BX:BX,SMALL(IF(BX$1:BX$500&lt;&gt;"",ROW($1:$500),1000),ROW(BX166)))&amp;""</f>
        <v/>
      </c>
      <c r="CA166" s="6" t="str">
        <f t="array" ref="CA166">INDEX(BY:BY,SMALL(IF(BY$1:BY$500&lt;&gt;"",ROW($1:$500),1000),ROW(BY166)))&amp;""</f>
        <v/>
      </c>
    </row>
    <row r="167" spans="1:79">
      <c r="A167" s="8" t="s">
        <v>2549</v>
      </c>
      <c r="B167" s="8" t="s">
        <v>1742</v>
      </c>
      <c r="C167" s="8" t="s">
        <v>578</v>
      </c>
      <c r="D167" s="9">
        <v>3</v>
      </c>
      <c r="F167" s="8" t="str">
        <f t="shared" si="14"/>
        <v/>
      </c>
      <c r="G167" s="8" t="str">
        <f>IF(AND(VLOOKUP(C167,查询!$C$8:$E$15,3,FALSE)="启用",$B$1=D167),B167,"")</f>
        <v/>
      </c>
      <c r="H167" s="6" t="str">
        <f t="array" ref="H167">INDEX(F:F,SMALL(IF($F$1:$F$500&lt;&gt;"",ROW($1:$500),1000),ROW(F167)))&amp;""</f>
        <v/>
      </c>
      <c r="I167" s="6" t="str">
        <f t="array" ref="I167">INDEX(G:G,SMALL(IF($F$1:$F$500&lt;&gt;"",ROW($1:$500),1000),ROW(G167)))&amp;""</f>
        <v/>
      </c>
      <c r="K167" s="8" t="s">
        <v>2935</v>
      </c>
      <c r="L167" s="8" t="s">
        <v>1295</v>
      </c>
      <c r="M167" s="8" t="s">
        <v>1249</v>
      </c>
      <c r="N167" s="9">
        <v>5</v>
      </c>
      <c r="P167" s="8" t="str">
        <f t="shared" si="15"/>
        <v/>
      </c>
      <c r="Q167" s="8" t="str">
        <f>IF(AND(VLOOKUP(M167,查询!$C$8:$E$15,3,FALSE)="启用",$B$1=N167),L167,"")</f>
        <v/>
      </c>
      <c r="R167" s="6" t="str">
        <f t="array" ref="R167">INDEX(P:P,SMALL(IF(P$1:P$500&lt;&gt;"",ROW($1:$500),1000),ROW(P167)))&amp;""</f>
        <v/>
      </c>
      <c r="S167" s="6" t="str">
        <f t="array" ref="S167">INDEX(Q:Q,SMALL(IF(Q$1:Q$500&lt;&gt;"",ROW($1:$500),1000),ROW(Q167)))&amp;""</f>
        <v/>
      </c>
      <c r="X167" s="6"/>
      <c r="AB167" s="6" t="str">
        <f t="array" ref="AB167">INDEX(Z:Z,SMALL(IF(Z$1:Z$500&lt;&gt;"",ROW($1:$500),1000),ROW(Z167)))&amp;""</f>
        <v/>
      </c>
      <c r="AC167" s="6" t="str">
        <f t="array" ref="AC167">INDEX(AA:AA,SMALL(IF(AA$1:AA$500&lt;&gt;"",ROW($1:$500),1000),ROW(AA167)))&amp;""</f>
        <v/>
      </c>
      <c r="AH167" s="6"/>
      <c r="AL167" s="6" t="str">
        <f t="array" ref="AL167">INDEX(AJ:AJ,SMALL(IF(AJ$1:AJ$500&lt;&gt;"",ROW($1:$500),1000),ROW(AJ167)))&amp;""</f>
        <v/>
      </c>
      <c r="AM167" s="6" t="str">
        <f t="array" ref="AM167">INDEX(AK:AK,SMALL(IF(AK$1:AK$500&lt;&gt;"",ROW($1:$500),1000),ROW(AK167)))&amp;""</f>
        <v/>
      </c>
      <c r="AV167" s="6" t="str">
        <f t="array" ref="AV167">INDEX(AT:AT,SMALL(IF(AT$1:AT$500&lt;&gt;"",ROW($1:$500),1000),ROW(AT167)))&amp;""</f>
        <v/>
      </c>
      <c r="AW167" s="6" t="str">
        <f t="array" ref="AW167">INDEX(AU:AU,SMALL(IF(AU$1:AU$500&lt;&gt;"",ROW($1:$500),1000),ROW(AU167)))&amp;""</f>
        <v/>
      </c>
      <c r="BF167" s="6" t="str">
        <f t="array" ref="BF167">INDEX(BD:BD,SMALL(IF(BD$1:BD$500&lt;&gt;"",ROW($1:$500),1000),ROW(BD167)))&amp;""</f>
        <v/>
      </c>
      <c r="BG167" s="6" t="str">
        <f t="array" ref="BG167">INDEX(BE:BE,SMALL(IF(BE$1:BE$500&lt;&gt;"",ROW($1:$500),1000),ROW(BE167)))&amp;""</f>
        <v/>
      </c>
      <c r="BI167" s="8" t="s">
        <v>3354</v>
      </c>
      <c r="BJ167" s="8" t="s">
        <v>1595</v>
      </c>
      <c r="BK167" s="8" t="s">
        <v>494</v>
      </c>
      <c r="BL167" s="9">
        <v>7</v>
      </c>
      <c r="BN167" s="8" t="str">
        <f t="shared" si="16"/>
        <v/>
      </c>
      <c r="BO167" s="8" t="str">
        <f>IF(AND(VLOOKUP(BK167,查询!$C$8:$E$15,3,FALSE)="启用",$B$1=BL167),BJ167,"")</f>
        <v/>
      </c>
      <c r="BP167" s="6" t="str">
        <f t="array" ref="BP167">INDEX(BN:BN,SMALL(IF(BN$1:BN$500&lt;&gt;"",ROW($1:$500),1000),ROW(BN167)))&amp;""</f>
        <v/>
      </c>
      <c r="BQ167" s="6" t="str">
        <f t="array" ref="BQ167">INDEX(BO:BO,SMALL(IF(BO$1:BO$500&lt;&gt;"",ROW($1:$500),1000),ROW(BO167)))&amp;""</f>
        <v/>
      </c>
      <c r="BV167" s="6"/>
      <c r="BZ167" s="6" t="str">
        <f t="array" ref="BZ167">INDEX(BX:BX,SMALL(IF(BX$1:BX$500&lt;&gt;"",ROW($1:$500),1000),ROW(BX167)))&amp;""</f>
        <v/>
      </c>
      <c r="CA167" s="6" t="str">
        <f t="array" ref="CA167">INDEX(BY:BY,SMALL(IF(BY$1:BY$500&lt;&gt;"",ROW($1:$500),1000),ROW(BY167)))&amp;""</f>
        <v/>
      </c>
    </row>
    <row r="168" spans="1:79">
      <c r="A168" s="8" t="s">
        <v>2549</v>
      </c>
      <c r="B168" s="8" t="s">
        <v>1341</v>
      </c>
      <c r="C168" s="8" t="s">
        <v>1249</v>
      </c>
      <c r="D168" s="9">
        <v>3</v>
      </c>
      <c r="F168" s="8" t="str">
        <f t="shared" si="14"/>
        <v/>
      </c>
      <c r="G168" s="8" t="str">
        <f>IF(AND(VLOOKUP(C168,查询!$C$8:$E$15,3,FALSE)="启用",$B$1=D168),B168,"")</f>
        <v/>
      </c>
      <c r="H168" s="6" t="str">
        <f t="array" ref="H168">INDEX(F:F,SMALL(IF($F$1:$F$500&lt;&gt;"",ROW($1:$500),1000),ROW(F168)))&amp;""</f>
        <v/>
      </c>
      <c r="I168" s="6" t="str">
        <f t="array" ref="I168">INDEX(G:G,SMALL(IF($F$1:$F$500&lt;&gt;"",ROW($1:$500),1000),ROW(G168)))&amp;""</f>
        <v/>
      </c>
      <c r="K168" s="8" t="s">
        <v>2992</v>
      </c>
      <c r="L168" s="8" t="s">
        <v>1450</v>
      </c>
      <c r="M168" s="8" t="s">
        <v>494</v>
      </c>
      <c r="N168" s="9">
        <v>5</v>
      </c>
      <c r="P168" s="8" t="str">
        <f t="shared" si="15"/>
        <v/>
      </c>
      <c r="Q168" s="8" t="str">
        <f>IF(AND(VLOOKUP(M168,查询!$C$8:$E$15,3,FALSE)="启用",$B$1=N168),L168,"")</f>
        <v/>
      </c>
      <c r="R168" s="6" t="str">
        <f t="array" ref="R168">INDEX(P:P,SMALL(IF(P$1:P$500&lt;&gt;"",ROW($1:$500),1000),ROW(P168)))&amp;""</f>
        <v/>
      </c>
      <c r="S168" s="6" t="str">
        <f t="array" ref="S168">INDEX(Q:Q,SMALL(IF(Q$1:Q$500&lt;&gt;"",ROW($1:$500),1000),ROW(Q168)))&amp;""</f>
        <v/>
      </c>
      <c r="X168" s="6"/>
      <c r="AB168" s="6" t="str">
        <f t="array" ref="AB168">INDEX(Z:Z,SMALL(IF(Z$1:Z$500&lt;&gt;"",ROW($1:$500),1000),ROW(Z168)))&amp;""</f>
        <v/>
      </c>
      <c r="AC168" s="6" t="str">
        <f t="array" ref="AC168">INDEX(AA:AA,SMALL(IF(AA$1:AA$500&lt;&gt;"",ROW($1:$500),1000),ROW(AA168)))&amp;""</f>
        <v/>
      </c>
      <c r="AH168" s="6"/>
      <c r="AL168" s="6" t="str">
        <f t="array" ref="AL168">INDEX(AJ:AJ,SMALL(IF(AJ$1:AJ$500&lt;&gt;"",ROW($1:$500),1000),ROW(AJ168)))&amp;""</f>
        <v/>
      </c>
      <c r="AM168" s="6" t="str">
        <f t="array" ref="AM168">INDEX(AK:AK,SMALL(IF(AK$1:AK$500&lt;&gt;"",ROW($1:$500),1000),ROW(AK168)))&amp;""</f>
        <v/>
      </c>
      <c r="AV168" s="6" t="str">
        <f t="array" ref="AV168">INDEX(AT:AT,SMALL(IF(AT$1:AT$500&lt;&gt;"",ROW($1:$500),1000),ROW(AT168)))&amp;""</f>
        <v/>
      </c>
      <c r="AW168" s="6" t="str">
        <f t="array" ref="AW168">INDEX(AU:AU,SMALL(IF(AU$1:AU$500&lt;&gt;"",ROW($1:$500),1000),ROW(AU168)))&amp;""</f>
        <v/>
      </c>
      <c r="BF168" s="6" t="str">
        <f t="array" ref="BF168">INDEX(BD:BD,SMALL(IF(BD$1:BD$500&lt;&gt;"",ROW($1:$500),1000),ROW(BD168)))&amp;""</f>
        <v/>
      </c>
      <c r="BG168" s="6" t="str">
        <f t="array" ref="BG168">INDEX(BE:BE,SMALL(IF(BE$1:BE$500&lt;&gt;"",ROW($1:$500),1000),ROW(BE168)))&amp;""</f>
        <v/>
      </c>
      <c r="BI168" s="8" t="s">
        <v>3295</v>
      </c>
      <c r="BJ168" s="8" t="s">
        <v>1750</v>
      </c>
      <c r="BK168" s="8" t="s">
        <v>578</v>
      </c>
      <c r="BL168" s="9">
        <v>7</v>
      </c>
      <c r="BN168" s="8" t="str">
        <f t="shared" si="16"/>
        <v/>
      </c>
      <c r="BO168" s="8" t="str">
        <f>IF(AND(VLOOKUP(BK168,查询!$C$8:$E$15,3,FALSE)="启用",$B$1=BL168),BJ168,"")</f>
        <v/>
      </c>
      <c r="BP168" s="6" t="str">
        <f t="array" ref="BP168">INDEX(BN:BN,SMALL(IF(BN$1:BN$500&lt;&gt;"",ROW($1:$500),1000),ROW(BN168)))&amp;""</f>
        <v/>
      </c>
      <c r="BQ168" s="6" t="str">
        <f t="array" ref="BQ168">INDEX(BO:BO,SMALL(IF(BO$1:BO$500&lt;&gt;"",ROW($1:$500),1000),ROW(BO168)))&amp;""</f>
        <v/>
      </c>
      <c r="BV168" s="6"/>
      <c r="BZ168" s="6" t="str">
        <f t="array" ref="BZ168">INDEX(BX:BX,SMALL(IF(BX$1:BX$500&lt;&gt;"",ROW($1:$500),1000),ROW(BX168)))&amp;""</f>
        <v/>
      </c>
      <c r="CA168" s="6" t="str">
        <f t="array" ref="CA168">INDEX(BY:BY,SMALL(IF(BY$1:BY$500&lt;&gt;"",ROW($1:$500),1000),ROW(BY168)))&amp;""</f>
        <v/>
      </c>
    </row>
    <row r="169" spans="1:79">
      <c r="A169" s="8" t="s">
        <v>2553</v>
      </c>
      <c r="B169" s="8" t="s">
        <v>1747</v>
      </c>
      <c r="C169" s="8" t="s">
        <v>578</v>
      </c>
      <c r="D169" s="9">
        <v>3</v>
      </c>
      <c r="F169" s="8" t="str">
        <f t="shared" si="14"/>
        <v/>
      </c>
      <c r="G169" s="8" t="str">
        <f>IF(AND(VLOOKUP(C169,查询!$C$8:$E$15,3,FALSE)="启用",$B$1=D169),B169,"")</f>
        <v/>
      </c>
      <c r="H169" s="6" t="str">
        <f t="array" ref="H169">INDEX(F:F,SMALL(IF($F$1:$F$500&lt;&gt;"",ROW($1:$500),1000),ROW(F169)))&amp;""</f>
        <v/>
      </c>
      <c r="I169" s="6" t="str">
        <f t="array" ref="I169">INDEX(G:G,SMALL(IF($F$1:$F$500&lt;&gt;"",ROW($1:$500),1000),ROW(G169)))&amp;""</f>
        <v/>
      </c>
      <c r="K169" s="8" t="s">
        <v>2994</v>
      </c>
      <c r="L169" s="8" t="s">
        <v>1463</v>
      </c>
      <c r="M169" s="8" t="s">
        <v>494</v>
      </c>
      <c r="N169" s="9">
        <v>5</v>
      </c>
      <c r="P169" s="8" t="str">
        <f t="shared" si="15"/>
        <v/>
      </c>
      <c r="Q169" s="8" t="str">
        <f>IF(AND(VLOOKUP(M169,查询!$C$8:$E$15,3,FALSE)="启用",$B$1=N169),L169,"")</f>
        <v/>
      </c>
      <c r="R169" s="6" t="str">
        <f t="array" ref="R169">INDEX(P:P,SMALL(IF(P$1:P$500&lt;&gt;"",ROW($1:$500),1000),ROW(P169)))&amp;""</f>
        <v/>
      </c>
      <c r="S169" s="6" t="str">
        <f t="array" ref="S169">INDEX(Q:Q,SMALL(IF(Q$1:Q$500&lt;&gt;"",ROW($1:$500),1000),ROW(Q169)))&amp;""</f>
        <v/>
      </c>
      <c r="X169" s="6"/>
      <c r="AB169" s="6" t="str">
        <f t="array" ref="AB169">INDEX(Z:Z,SMALL(IF(Z$1:Z$500&lt;&gt;"",ROW($1:$500),1000),ROW(Z169)))&amp;""</f>
        <v/>
      </c>
      <c r="AC169" s="6" t="str">
        <f t="array" ref="AC169">INDEX(AA:AA,SMALL(IF(AA$1:AA$500&lt;&gt;"",ROW($1:$500),1000),ROW(AA169)))&amp;""</f>
        <v/>
      </c>
      <c r="AH169" s="6"/>
      <c r="AL169" s="6" t="str">
        <f t="array" ref="AL169">INDEX(AJ:AJ,SMALL(IF(AJ$1:AJ$500&lt;&gt;"",ROW($1:$500),1000),ROW(AJ169)))&amp;""</f>
        <v/>
      </c>
      <c r="AM169" s="6" t="str">
        <f t="array" ref="AM169">INDEX(AK:AK,SMALL(IF(AK$1:AK$500&lt;&gt;"",ROW($1:$500),1000),ROW(AK169)))&amp;""</f>
        <v/>
      </c>
      <c r="AV169" s="6" t="str">
        <f t="array" ref="AV169">INDEX(AT:AT,SMALL(IF(AT$1:AT$500&lt;&gt;"",ROW($1:$500),1000),ROW(AT169)))&amp;""</f>
        <v/>
      </c>
      <c r="AW169" s="6" t="str">
        <f t="array" ref="AW169">INDEX(AU:AU,SMALL(IF(AU$1:AU$500&lt;&gt;"",ROW($1:$500),1000),ROW(AU169)))&amp;""</f>
        <v/>
      </c>
      <c r="BF169" s="6" t="str">
        <f t="array" ref="BF169">INDEX(BD:BD,SMALL(IF(BD$1:BD$500&lt;&gt;"",ROW($1:$500),1000),ROW(BD169)))&amp;""</f>
        <v/>
      </c>
      <c r="BG169" s="6" t="str">
        <f t="array" ref="BG169">INDEX(BE:BE,SMALL(IF(BE$1:BE$500&lt;&gt;"",ROW($1:$500),1000),ROW(BE169)))&amp;""</f>
        <v/>
      </c>
      <c r="BI169" s="8" t="s">
        <v>3295</v>
      </c>
      <c r="BJ169" s="8" t="s">
        <v>1349</v>
      </c>
      <c r="BK169" s="8" t="s">
        <v>1249</v>
      </c>
      <c r="BL169" s="9">
        <v>7</v>
      </c>
      <c r="BN169" s="8" t="str">
        <f t="shared" si="16"/>
        <v/>
      </c>
      <c r="BO169" s="8" t="str">
        <f>IF(AND(VLOOKUP(BK169,查询!$C$8:$E$15,3,FALSE)="启用",$B$1=BL169),BJ169,"")</f>
        <v/>
      </c>
      <c r="BP169" s="6" t="str">
        <f t="array" ref="BP169">INDEX(BN:BN,SMALL(IF(BN$1:BN$500&lt;&gt;"",ROW($1:$500),1000),ROW(BN169)))&amp;""</f>
        <v/>
      </c>
      <c r="BQ169" s="6" t="str">
        <f t="array" ref="BQ169">INDEX(BO:BO,SMALL(IF(BO$1:BO$500&lt;&gt;"",ROW($1:$500),1000),ROW(BO169)))&amp;""</f>
        <v/>
      </c>
      <c r="BV169" s="6"/>
      <c r="BZ169" s="6" t="str">
        <f t="array" ref="BZ169">INDEX(BX:BX,SMALL(IF(BX$1:BX$500&lt;&gt;"",ROW($1:$500),1000),ROW(BX169)))&amp;""</f>
        <v/>
      </c>
      <c r="CA169" s="6" t="str">
        <f t="array" ref="CA169">INDEX(BY:BY,SMALL(IF(BY$1:BY$500&lt;&gt;"",ROW($1:$500),1000),ROW(BY169)))&amp;""</f>
        <v/>
      </c>
    </row>
    <row r="170" spans="1:79">
      <c r="A170" s="8" t="s">
        <v>2553</v>
      </c>
      <c r="B170" s="8" t="s">
        <v>1346</v>
      </c>
      <c r="C170" s="8" t="s">
        <v>1249</v>
      </c>
      <c r="D170" s="9">
        <v>3</v>
      </c>
      <c r="F170" s="8" t="str">
        <f t="shared" si="14"/>
        <v/>
      </c>
      <c r="G170" s="8" t="str">
        <f>IF(AND(VLOOKUP(C170,查询!$C$8:$E$15,3,FALSE)="启用",$B$1=D170),B170,"")</f>
        <v/>
      </c>
      <c r="H170" s="6" t="str">
        <f t="array" ref="H170">INDEX(F:F,SMALL(IF($F$1:$F$500&lt;&gt;"",ROW($1:$500),1000),ROW(F170)))&amp;""</f>
        <v/>
      </c>
      <c r="I170" s="6" t="str">
        <f t="array" ref="I170">INDEX(G:G,SMALL(IF($F$1:$F$500&lt;&gt;"",ROW($1:$500),1000),ROW(G170)))&amp;""</f>
        <v/>
      </c>
      <c r="K170" s="8" t="s">
        <v>2996</v>
      </c>
      <c r="L170" s="8" t="s">
        <v>1466</v>
      </c>
      <c r="M170" s="8" t="s">
        <v>494</v>
      </c>
      <c r="N170" s="9">
        <v>5</v>
      </c>
      <c r="P170" s="8" t="str">
        <f t="shared" si="15"/>
        <v/>
      </c>
      <c r="Q170" s="8" t="str">
        <f>IF(AND(VLOOKUP(M170,查询!$C$8:$E$15,3,FALSE)="启用",$B$1=N170),L170,"")</f>
        <v/>
      </c>
      <c r="R170" s="6" t="str">
        <f t="array" ref="R170">INDEX(P:P,SMALL(IF(P$1:P$500&lt;&gt;"",ROW($1:$500),1000),ROW(P170)))&amp;""</f>
        <v/>
      </c>
      <c r="S170" s="6" t="str">
        <f t="array" ref="S170">INDEX(Q:Q,SMALL(IF(Q$1:Q$500&lt;&gt;"",ROW($1:$500),1000),ROW(Q170)))&amp;""</f>
        <v/>
      </c>
      <c r="X170" s="6"/>
      <c r="AB170" s="6" t="str">
        <f t="array" ref="AB170">INDEX(Z:Z,SMALL(IF(Z$1:Z$500&lt;&gt;"",ROW($1:$500),1000),ROW(Z170)))&amp;""</f>
        <v/>
      </c>
      <c r="AC170" s="6" t="str">
        <f t="array" ref="AC170">INDEX(AA:AA,SMALL(IF(AA$1:AA$500&lt;&gt;"",ROW($1:$500),1000),ROW(AA170)))&amp;""</f>
        <v/>
      </c>
      <c r="AH170" s="6"/>
      <c r="AL170" s="6" t="str">
        <f t="array" ref="AL170">INDEX(AJ:AJ,SMALL(IF(AJ$1:AJ$500&lt;&gt;"",ROW($1:$500),1000),ROW(AJ170)))&amp;""</f>
        <v/>
      </c>
      <c r="AM170" s="6" t="str">
        <f t="array" ref="AM170">INDEX(AK:AK,SMALL(IF(AK$1:AK$500&lt;&gt;"",ROW($1:$500),1000),ROW(AK170)))&amp;""</f>
        <v/>
      </c>
      <c r="AV170" s="6" t="str">
        <f t="array" ref="AV170">INDEX(AT:AT,SMALL(IF(AT$1:AT$500&lt;&gt;"",ROW($1:$500),1000),ROW(AT170)))&amp;""</f>
        <v/>
      </c>
      <c r="AW170" s="6" t="str">
        <f t="array" ref="AW170">INDEX(AU:AU,SMALL(IF(AU$1:AU$500&lt;&gt;"",ROW($1:$500),1000),ROW(AU170)))&amp;""</f>
        <v/>
      </c>
      <c r="BF170" s="6" t="str">
        <f t="array" ref="BF170">INDEX(BD:BD,SMALL(IF(BD$1:BD$500&lt;&gt;"",ROW($1:$500),1000),ROW(BD170)))&amp;""</f>
        <v/>
      </c>
      <c r="BG170" s="6" t="str">
        <f t="array" ref="BG170">INDEX(BE:BE,SMALL(IF(BE$1:BE$500&lt;&gt;"",ROW($1:$500),1000),ROW(BE170)))&amp;""</f>
        <v/>
      </c>
      <c r="BI170" s="8" t="s">
        <v>3369</v>
      </c>
      <c r="BJ170" s="8" t="s">
        <v>1721</v>
      </c>
      <c r="BK170" s="8" t="s">
        <v>494</v>
      </c>
      <c r="BL170" s="9">
        <v>7</v>
      </c>
      <c r="BN170" s="8" t="str">
        <f t="shared" si="16"/>
        <v/>
      </c>
      <c r="BO170" s="8" t="str">
        <f>IF(AND(VLOOKUP(BK170,查询!$C$8:$E$15,3,FALSE)="启用",$B$1=BL170),BJ170,"")</f>
        <v/>
      </c>
      <c r="BP170" s="6" t="str">
        <f t="array" ref="BP170">INDEX(BN:BN,SMALL(IF(BN$1:BN$500&lt;&gt;"",ROW($1:$500),1000),ROW(BN170)))&amp;""</f>
        <v/>
      </c>
      <c r="BQ170" s="6" t="str">
        <f t="array" ref="BQ170">INDEX(BO:BO,SMALL(IF(BO$1:BO$500&lt;&gt;"",ROW($1:$500),1000),ROW(BO170)))&amp;""</f>
        <v/>
      </c>
      <c r="BV170" s="6"/>
      <c r="BZ170" s="6" t="str">
        <f t="array" ref="BZ170">INDEX(BX:BX,SMALL(IF(BX$1:BX$500&lt;&gt;"",ROW($1:$500),1000),ROW(BX170)))&amp;""</f>
        <v/>
      </c>
      <c r="CA170" s="6" t="str">
        <f t="array" ref="CA170">INDEX(BY:BY,SMALL(IF(BY$1:BY$500&lt;&gt;"",ROW($1:$500),1000),ROW(BY170)))&amp;""</f>
        <v/>
      </c>
    </row>
    <row r="171" spans="1:79">
      <c r="A171" s="8" t="s">
        <v>2557</v>
      </c>
      <c r="B171" s="8" t="s">
        <v>1748</v>
      </c>
      <c r="C171" s="8" t="s">
        <v>578</v>
      </c>
      <c r="D171" s="9">
        <v>3</v>
      </c>
      <c r="F171" s="8" t="str">
        <f t="shared" si="14"/>
        <v/>
      </c>
      <c r="G171" s="8" t="str">
        <f>IF(AND(VLOOKUP(C171,查询!$C$8:$E$15,3,FALSE)="启用",$B$1=D171),B171,"")</f>
        <v/>
      </c>
      <c r="H171" s="6" t="str">
        <f t="array" ref="H171">INDEX(F:F,SMALL(IF($F$1:$F$500&lt;&gt;"",ROW($1:$500),1000),ROW(F171)))&amp;""</f>
        <v/>
      </c>
      <c r="I171" s="6" t="str">
        <f t="array" ref="I171">INDEX(G:G,SMALL(IF($F$1:$F$500&lt;&gt;"",ROW($1:$500),1000),ROW(G171)))&amp;""</f>
        <v/>
      </c>
      <c r="K171" s="8" t="s">
        <v>2998</v>
      </c>
      <c r="L171" s="8" t="s">
        <v>1473</v>
      </c>
      <c r="M171" s="8" t="s">
        <v>494</v>
      </c>
      <c r="N171" s="9">
        <v>5</v>
      </c>
      <c r="P171" s="8" t="str">
        <f t="shared" si="15"/>
        <v/>
      </c>
      <c r="Q171" s="8" t="str">
        <f>IF(AND(VLOOKUP(M171,查询!$C$8:$E$15,3,FALSE)="启用",$B$1=N171),L171,"")</f>
        <v/>
      </c>
      <c r="R171" s="6" t="str">
        <f t="array" ref="R171">INDEX(P:P,SMALL(IF(P$1:P$500&lt;&gt;"",ROW($1:$500),1000),ROW(P171)))&amp;""</f>
        <v/>
      </c>
      <c r="S171" s="6" t="str">
        <f t="array" ref="S171">INDEX(Q:Q,SMALL(IF(Q$1:Q$500&lt;&gt;"",ROW($1:$500),1000),ROW(Q171)))&amp;""</f>
        <v/>
      </c>
      <c r="X171" s="6"/>
      <c r="AB171" s="6" t="str">
        <f t="array" ref="AB171">INDEX(Z:Z,SMALL(IF(Z$1:Z$500&lt;&gt;"",ROW($1:$500),1000),ROW(Z171)))&amp;""</f>
        <v/>
      </c>
      <c r="AC171" s="6" t="str">
        <f t="array" ref="AC171">INDEX(AA:AA,SMALL(IF(AA$1:AA$500&lt;&gt;"",ROW($1:$500),1000),ROW(AA171)))&amp;""</f>
        <v/>
      </c>
      <c r="AH171" s="6"/>
      <c r="AL171" s="6" t="str">
        <f t="array" ref="AL171">INDEX(AJ:AJ,SMALL(IF(AJ$1:AJ$500&lt;&gt;"",ROW($1:$500),1000),ROW(AJ171)))&amp;""</f>
        <v/>
      </c>
      <c r="AM171" s="6" t="str">
        <f t="array" ref="AM171">INDEX(AK:AK,SMALL(IF(AK$1:AK$500&lt;&gt;"",ROW($1:$500),1000),ROW(AK171)))&amp;""</f>
        <v/>
      </c>
      <c r="AV171" s="6" t="str">
        <f t="array" ref="AV171">INDEX(AT:AT,SMALL(IF(AT$1:AT$500&lt;&gt;"",ROW($1:$500),1000),ROW(AT171)))&amp;""</f>
        <v/>
      </c>
      <c r="AW171" s="6" t="str">
        <f t="array" ref="AW171">INDEX(AU:AU,SMALL(IF(AU$1:AU$500&lt;&gt;"",ROW($1:$500),1000),ROW(AU171)))&amp;""</f>
        <v/>
      </c>
      <c r="BF171" s="6" t="str">
        <f t="array" ref="BF171">INDEX(BD:BD,SMALL(IF(BD$1:BD$500&lt;&gt;"",ROW($1:$500),1000),ROW(BD171)))&amp;""</f>
        <v/>
      </c>
      <c r="BG171" s="6" t="str">
        <f t="array" ref="BG171">INDEX(BE:BE,SMALL(IF(BE$1:BE$500&lt;&gt;"",ROW($1:$500),1000),ROW(BE171)))&amp;""</f>
        <v/>
      </c>
      <c r="BI171" s="8" t="s">
        <v>3408</v>
      </c>
      <c r="BJ171" s="8" t="s">
        <v>1537</v>
      </c>
      <c r="BK171" s="8" t="s">
        <v>494</v>
      </c>
      <c r="BL171" s="9">
        <v>8</v>
      </c>
      <c r="BN171" s="8" t="str">
        <f t="shared" si="16"/>
        <v/>
      </c>
      <c r="BO171" s="8" t="str">
        <f>IF(AND(VLOOKUP(BK171,查询!$C$8:$E$15,3,FALSE)="启用",$B$1=BL171),BJ171,"")</f>
        <v/>
      </c>
      <c r="BP171" s="6" t="str">
        <f t="array" ref="BP171">INDEX(BN:BN,SMALL(IF(BN$1:BN$500&lt;&gt;"",ROW($1:$500),1000),ROW(BN171)))&amp;""</f>
        <v/>
      </c>
      <c r="BQ171" s="6" t="str">
        <f t="array" ref="BQ171">INDEX(BO:BO,SMALL(IF(BO$1:BO$500&lt;&gt;"",ROW($1:$500),1000),ROW(BO171)))&amp;""</f>
        <v/>
      </c>
      <c r="BV171" s="6"/>
      <c r="BZ171" s="6" t="str">
        <f t="array" ref="BZ171">INDEX(BX:BX,SMALL(IF(BX$1:BX$500&lt;&gt;"",ROW($1:$500),1000),ROW(BX171)))&amp;""</f>
        <v/>
      </c>
      <c r="CA171" s="6" t="str">
        <f t="array" ref="CA171">INDEX(BY:BY,SMALL(IF(BY$1:BY$500&lt;&gt;"",ROW($1:$500),1000),ROW(BY171)))&amp;""</f>
        <v/>
      </c>
    </row>
    <row r="172" spans="1:79">
      <c r="A172" s="8" t="s">
        <v>2557</v>
      </c>
      <c r="B172" s="8" t="s">
        <v>1347</v>
      </c>
      <c r="C172" s="8" t="s">
        <v>1249</v>
      </c>
      <c r="D172" s="9">
        <v>3</v>
      </c>
      <c r="F172" s="8" t="str">
        <f t="shared" si="14"/>
        <v/>
      </c>
      <c r="G172" s="8" t="str">
        <f>IF(AND(VLOOKUP(C172,查询!$C$8:$E$15,3,FALSE)="启用",$B$1=D172),B172,"")</f>
        <v/>
      </c>
      <c r="H172" s="6" t="str">
        <f t="array" ref="H172">INDEX(F:F,SMALL(IF($F$1:$F$500&lt;&gt;"",ROW($1:$500),1000),ROW(F172)))&amp;""</f>
        <v/>
      </c>
      <c r="I172" s="6" t="str">
        <f t="array" ref="I172">INDEX(G:G,SMALL(IF($F$1:$F$500&lt;&gt;"",ROW($1:$500),1000),ROW(G172)))&amp;""</f>
        <v/>
      </c>
      <c r="K172" s="8" t="s">
        <v>3000</v>
      </c>
      <c r="L172" s="8" t="s">
        <v>1478</v>
      </c>
      <c r="M172" s="8" t="s">
        <v>494</v>
      </c>
      <c r="N172" s="9">
        <v>5</v>
      </c>
      <c r="P172" s="8" t="str">
        <f t="shared" si="15"/>
        <v/>
      </c>
      <c r="Q172" s="8" t="str">
        <f>IF(AND(VLOOKUP(M172,查询!$C$8:$E$15,3,FALSE)="启用",$B$1=N172),L172,"")</f>
        <v/>
      </c>
      <c r="R172" s="6" t="str">
        <f t="array" ref="R172">INDEX(P:P,SMALL(IF(P$1:P$500&lt;&gt;"",ROW($1:$500),1000),ROW(P172)))&amp;""</f>
        <v/>
      </c>
      <c r="S172" s="6" t="str">
        <f t="array" ref="S172">INDEX(Q:Q,SMALL(IF(Q$1:Q$500&lt;&gt;"",ROW($1:$500),1000),ROW(Q172)))&amp;""</f>
        <v/>
      </c>
      <c r="X172" s="6"/>
      <c r="AB172" s="6" t="str">
        <f t="array" ref="AB172">INDEX(Z:Z,SMALL(IF(Z$1:Z$500&lt;&gt;"",ROW($1:$500),1000),ROW(Z172)))&amp;""</f>
        <v/>
      </c>
      <c r="AC172" s="6" t="str">
        <f t="array" ref="AC172">INDEX(AA:AA,SMALL(IF(AA$1:AA$500&lt;&gt;"",ROW($1:$500),1000),ROW(AA172)))&amp;""</f>
        <v/>
      </c>
      <c r="AH172" s="6"/>
      <c r="AL172" s="6" t="str">
        <f t="array" ref="AL172">INDEX(AJ:AJ,SMALL(IF(AJ$1:AJ$500&lt;&gt;"",ROW($1:$500),1000),ROW(AJ172)))&amp;""</f>
        <v/>
      </c>
      <c r="AM172" s="6" t="str">
        <f t="array" ref="AM172">INDEX(AK:AK,SMALL(IF(AK$1:AK$500&lt;&gt;"",ROW($1:$500),1000),ROW(AK172)))&amp;""</f>
        <v/>
      </c>
      <c r="AV172" s="6" t="str">
        <f t="array" ref="AV172">INDEX(AT:AT,SMALL(IF(AT$1:AT$500&lt;&gt;"",ROW($1:$500),1000),ROW(AT172)))&amp;""</f>
        <v/>
      </c>
      <c r="AW172" s="6" t="str">
        <f t="array" ref="AW172">INDEX(AU:AU,SMALL(IF(AU$1:AU$500&lt;&gt;"",ROW($1:$500),1000),ROW(AU172)))&amp;""</f>
        <v/>
      </c>
      <c r="BF172" s="6" t="str">
        <f t="array" ref="BF172">INDEX(BD:BD,SMALL(IF(BD$1:BD$500&lt;&gt;"",ROW($1:$500),1000),ROW(BD172)))&amp;""</f>
        <v/>
      </c>
      <c r="BG172" s="6" t="str">
        <f t="array" ref="BG172">INDEX(BE:BE,SMALL(IF(BE$1:BE$500&lt;&gt;"",ROW($1:$500),1000),ROW(BE172)))&amp;""</f>
        <v/>
      </c>
      <c r="BI172" s="8" t="s">
        <v>3417</v>
      </c>
      <c r="BJ172" s="8" t="s">
        <v>1594</v>
      </c>
      <c r="BK172" s="8" t="s">
        <v>494</v>
      </c>
      <c r="BL172" s="9">
        <v>8</v>
      </c>
      <c r="BN172" s="8" t="str">
        <f t="shared" si="16"/>
        <v/>
      </c>
      <c r="BO172" s="8" t="str">
        <f>IF(AND(VLOOKUP(BK172,查询!$C$8:$E$15,3,FALSE)="启用",$B$1=BL172),BJ172,"")</f>
        <v/>
      </c>
      <c r="BP172" s="6" t="str">
        <f t="array" ref="BP172">INDEX(BN:BN,SMALL(IF(BN$1:BN$500&lt;&gt;"",ROW($1:$500),1000),ROW(BN172)))&amp;""</f>
        <v/>
      </c>
      <c r="BQ172" s="6" t="str">
        <f t="array" ref="BQ172">INDEX(BO:BO,SMALL(IF(BO$1:BO$500&lt;&gt;"",ROW($1:$500),1000),ROW(BO172)))&amp;""</f>
        <v/>
      </c>
      <c r="BV172" s="6"/>
      <c r="BZ172" s="6" t="str">
        <f t="array" ref="BZ172">INDEX(BX:BX,SMALL(IF(BX$1:BX$500&lt;&gt;"",ROW($1:$500),1000),ROW(BX172)))&amp;""</f>
        <v/>
      </c>
      <c r="CA172" s="6" t="str">
        <f t="array" ref="CA172">INDEX(BY:BY,SMALL(IF(BY$1:BY$500&lt;&gt;"",ROW($1:$500),1000),ROW(BY172)))&amp;""</f>
        <v/>
      </c>
    </row>
    <row r="173" spans="1:79">
      <c r="A173" s="8" t="s">
        <v>2729</v>
      </c>
      <c r="B173" s="8" t="s">
        <v>1678</v>
      </c>
      <c r="C173" s="8" t="s">
        <v>494</v>
      </c>
      <c r="D173" s="9">
        <v>3</v>
      </c>
      <c r="F173" s="8" t="str">
        <f t="shared" si="14"/>
        <v/>
      </c>
      <c r="G173" s="8" t="str">
        <f>IF(AND(VLOOKUP(C173,查询!$C$8:$E$15,3,FALSE)="启用",$B$1=D173),B173,"")</f>
        <v/>
      </c>
      <c r="H173" s="6" t="str">
        <f t="array" ref="H173">INDEX(F:F,SMALL(IF($F$1:$F$500&lt;&gt;"",ROW($1:$500),1000),ROW(F173)))&amp;""</f>
        <v/>
      </c>
      <c r="I173" s="6" t="str">
        <f t="array" ref="I173">INDEX(G:G,SMALL(IF($F$1:$F$500&lt;&gt;"",ROW($1:$500),1000),ROW(G173)))&amp;""</f>
        <v/>
      </c>
      <c r="K173" s="8" t="s">
        <v>3052</v>
      </c>
      <c r="L173" s="8" t="s">
        <v>1596</v>
      </c>
      <c r="M173" s="8" t="s">
        <v>494</v>
      </c>
      <c r="N173" s="9">
        <v>5</v>
      </c>
      <c r="P173" s="8" t="str">
        <f t="shared" si="15"/>
        <v/>
      </c>
      <c r="Q173" s="8" t="str">
        <f>IF(AND(VLOOKUP(M173,查询!$C$8:$E$15,3,FALSE)="启用",$B$1=N173),L173,"")</f>
        <v/>
      </c>
      <c r="R173" s="6" t="str">
        <f t="array" ref="R173">INDEX(P:P,SMALL(IF(P$1:P$500&lt;&gt;"",ROW($1:$500),1000),ROW(P173)))&amp;""</f>
        <v/>
      </c>
      <c r="S173" s="6" t="str">
        <f t="array" ref="S173">INDEX(Q:Q,SMALL(IF(Q$1:Q$500&lt;&gt;"",ROW($1:$500),1000),ROW(Q173)))&amp;""</f>
        <v/>
      </c>
      <c r="X173" s="6"/>
      <c r="AB173" s="6" t="str">
        <f t="array" ref="AB173">INDEX(Z:Z,SMALL(IF(Z$1:Z$500&lt;&gt;"",ROW($1:$500),1000),ROW(Z173)))&amp;""</f>
        <v/>
      </c>
      <c r="AC173" s="6" t="str">
        <f t="array" ref="AC173">INDEX(AA:AA,SMALL(IF(AA$1:AA$500&lt;&gt;"",ROW($1:$500),1000),ROW(AA173)))&amp;""</f>
        <v/>
      </c>
      <c r="AH173" s="6"/>
      <c r="AL173" s="6" t="str">
        <f t="array" ref="AL173">INDEX(AJ:AJ,SMALL(IF(AJ$1:AJ$500&lt;&gt;"",ROW($1:$500),1000),ROW(AJ173)))&amp;""</f>
        <v/>
      </c>
      <c r="AM173" s="6" t="str">
        <f t="array" ref="AM173">INDEX(AK:AK,SMALL(IF(AK$1:AK$500&lt;&gt;"",ROW($1:$500),1000),ROW(AK173)))&amp;""</f>
        <v/>
      </c>
      <c r="AV173" s="6" t="str">
        <f t="array" ref="AV173">INDEX(AT:AT,SMALL(IF(AT$1:AT$500&lt;&gt;"",ROW($1:$500),1000),ROW(AT173)))&amp;""</f>
        <v/>
      </c>
      <c r="AW173" s="6" t="str">
        <f t="array" ref="AW173">INDEX(AU:AU,SMALL(IF(AU$1:AU$500&lt;&gt;"",ROW($1:$500),1000),ROW(AU173)))&amp;""</f>
        <v/>
      </c>
      <c r="BF173" s="6" t="str">
        <f t="array" ref="BF173">INDEX(BD:BD,SMALL(IF(BD$1:BD$500&lt;&gt;"",ROW($1:$500),1000),ROW(BD173)))&amp;""</f>
        <v/>
      </c>
      <c r="BG173" s="6" t="str">
        <f t="array" ref="BG173">INDEX(BE:BE,SMALL(IF(BE$1:BE$500&lt;&gt;"",ROW($1:$500),1000),ROW(BE173)))&amp;""</f>
        <v/>
      </c>
      <c r="BI173" s="8" t="s">
        <v>3421</v>
      </c>
      <c r="BJ173" s="8" t="s">
        <v>1602</v>
      </c>
      <c r="BK173" s="8" t="s">
        <v>494</v>
      </c>
      <c r="BL173" s="9">
        <v>8</v>
      </c>
      <c r="BN173" s="8" t="str">
        <f t="shared" si="16"/>
        <v/>
      </c>
      <c r="BO173" s="8" t="str">
        <f>IF(AND(VLOOKUP(BK173,查询!$C$8:$E$15,3,FALSE)="启用",$B$1=BL173),BJ173,"")</f>
        <v/>
      </c>
      <c r="BP173" s="6" t="str">
        <f t="array" ref="BP173">INDEX(BN:BN,SMALL(IF(BN$1:BN$500&lt;&gt;"",ROW($1:$500),1000),ROW(BN173)))&amp;""</f>
        <v/>
      </c>
      <c r="BQ173" s="6" t="str">
        <f t="array" ref="BQ173">INDEX(BO:BO,SMALL(IF(BO$1:BO$500&lt;&gt;"",ROW($1:$500),1000),ROW(BO173)))&amp;""</f>
        <v/>
      </c>
      <c r="BV173" s="6"/>
      <c r="BZ173" s="6" t="str">
        <f t="array" ref="BZ173">INDEX(BX:BX,SMALL(IF(BX$1:BX$500&lt;&gt;"",ROW($1:$500),1000),ROW(BX173)))&amp;""</f>
        <v/>
      </c>
      <c r="CA173" s="6" t="str">
        <f t="array" ref="CA173">INDEX(BY:BY,SMALL(IF(BY$1:BY$500&lt;&gt;"",ROW($1:$500),1000),ROW(BY173)))&amp;""</f>
        <v/>
      </c>
    </row>
    <row r="174" spans="1:79">
      <c r="A174" s="8" t="s">
        <v>2739</v>
      </c>
      <c r="B174" s="8" t="s">
        <v>1696</v>
      </c>
      <c r="C174" s="8" t="s">
        <v>494</v>
      </c>
      <c r="D174" s="9">
        <v>3</v>
      </c>
      <c r="F174" s="8" t="str">
        <f t="shared" si="14"/>
        <v/>
      </c>
      <c r="G174" s="8" t="str">
        <f>IF(AND(VLOOKUP(C174,查询!$C$8:$E$15,3,FALSE)="启用",$B$1=D174),B174,"")</f>
        <v/>
      </c>
      <c r="H174" s="6" t="str">
        <f t="array" ref="H174">INDEX(F:F,SMALL(IF($F$1:$F$500&lt;&gt;"",ROW($1:$500),1000),ROW(F174)))&amp;""</f>
        <v/>
      </c>
      <c r="I174" s="6" t="str">
        <f t="array" ref="I174">INDEX(G:G,SMALL(IF($F$1:$F$500&lt;&gt;"",ROW($1:$500),1000),ROW(G174)))&amp;""</f>
        <v/>
      </c>
      <c r="K174" s="8" t="s">
        <v>3137</v>
      </c>
      <c r="L174" s="8" t="s">
        <v>1736</v>
      </c>
      <c r="M174" s="8" t="s">
        <v>578</v>
      </c>
      <c r="N174" s="9">
        <v>5</v>
      </c>
      <c r="P174" s="8" t="str">
        <f t="shared" si="15"/>
        <v/>
      </c>
      <c r="Q174" s="8" t="str">
        <f>IF(AND(VLOOKUP(M174,查询!$C$8:$E$15,3,FALSE)="启用",$B$1=N174),L174,"")</f>
        <v/>
      </c>
      <c r="R174" s="6" t="str">
        <f t="array" ref="R174">INDEX(P:P,SMALL(IF(P$1:P$500&lt;&gt;"",ROW($1:$500),1000),ROW(P174)))&amp;""</f>
        <v/>
      </c>
      <c r="S174" s="6" t="str">
        <f t="array" ref="S174">INDEX(Q:Q,SMALL(IF(Q$1:Q$500&lt;&gt;"",ROW($1:$500),1000),ROW(Q174)))&amp;""</f>
        <v/>
      </c>
      <c r="X174" s="6"/>
      <c r="AB174" s="6" t="str">
        <f t="array" ref="AB174">INDEX(Z:Z,SMALL(IF(Z$1:Z$500&lt;&gt;"",ROW($1:$500),1000),ROW(Z174)))&amp;""</f>
        <v/>
      </c>
      <c r="AC174" s="6" t="str">
        <f t="array" ref="AC174">INDEX(AA:AA,SMALL(IF(AA$1:AA$500&lt;&gt;"",ROW($1:$500),1000),ROW(AA174)))&amp;""</f>
        <v/>
      </c>
      <c r="AH174" s="6"/>
      <c r="AL174" s="6" t="str">
        <f t="array" ref="AL174">INDEX(AJ:AJ,SMALL(IF(AJ$1:AJ$500&lt;&gt;"",ROW($1:$500),1000),ROW(AJ174)))&amp;""</f>
        <v/>
      </c>
      <c r="AM174" s="6" t="str">
        <f t="array" ref="AM174">INDEX(AK:AK,SMALL(IF(AK$1:AK$500&lt;&gt;"",ROW($1:$500),1000),ROW(AK174)))&amp;""</f>
        <v/>
      </c>
      <c r="AV174" s="6" t="str">
        <f t="array" ref="AV174">INDEX(AT:AT,SMALL(IF(AT$1:AT$500&lt;&gt;"",ROW($1:$500),1000),ROW(AT174)))&amp;""</f>
        <v/>
      </c>
      <c r="AW174" s="6" t="str">
        <f t="array" ref="AW174">INDEX(AU:AU,SMALL(IF(AU$1:AU$500&lt;&gt;"",ROW($1:$500),1000),ROW(AU174)))&amp;""</f>
        <v/>
      </c>
      <c r="BF174" s="6" t="str">
        <f t="array" ref="BF174">INDEX(BD:BD,SMALL(IF(BD$1:BD$500&lt;&gt;"",ROW($1:$500),1000),ROW(BD174)))&amp;""</f>
        <v/>
      </c>
      <c r="BG174" s="6" t="str">
        <f t="array" ref="BG174">INDEX(BE:BE,SMALL(IF(BE$1:BE$500&lt;&gt;"",ROW($1:$500),1000),ROW(BE174)))&amp;""</f>
        <v/>
      </c>
      <c r="BI174" s="8" t="s">
        <v>3440</v>
      </c>
      <c r="BJ174" s="8" t="s">
        <v>1698</v>
      </c>
      <c r="BK174" s="8" t="s">
        <v>494</v>
      </c>
      <c r="BL174" s="9">
        <v>8</v>
      </c>
      <c r="BN174" s="8" t="str">
        <f t="shared" si="16"/>
        <v/>
      </c>
      <c r="BO174" s="8" t="str">
        <f>IF(AND(VLOOKUP(BK174,查询!$C$8:$E$15,3,FALSE)="启用",$B$1=BL174),BJ174,"")</f>
        <v/>
      </c>
      <c r="BP174" s="6" t="str">
        <f t="array" ref="BP174">INDEX(BN:BN,SMALL(IF(BN$1:BN$500&lt;&gt;"",ROW($1:$500),1000),ROW(BN174)))&amp;""</f>
        <v/>
      </c>
      <c r="BQ174" s="6" t="str">
        <f t="array" ref="BQ174">INDEX(BO:BO,SMALL(IF(BO$1:BO$500&lt;&gt;"",ROW($1:$500),1000),ROW(BO174)))&amp;""</f>
        <v/>
      </c>
      <c r="BV174" s="6"/>
      <c r="BZ174" s="6" t="str">
        <f t="array" ref="BZ174">INDEX(BX:BX,SMALL(IF(BX$1:BX$500&lt;&gt;"",ROW($1:$500),1000),ROW(BX174)))&amp;""</f>
        <v/>
      </c>
      <c r="CA174" s="6" t="str">
        <f t="array" ref="CA174">INDEX(BY:BY,SMALL(IF(BY$1:BY$500&lt;&gt;"",ROW($1:$500),1000),ROW(BY174)))&amp;""</f>
        <v/>
      </c>
    </row>
    <row r="175" spans="1:79">
      <c r="A175" s="8" t="s">
        <v>2547</v>
      </c>
      <c r="B175" s="8" t="s">
        <v>1759</v>
      </c>
      <c r="C175" s="8" t="s">
        <v>578</v>
      </c>
      <c r="D175" s="9">
        <v>3</v>
      </c>
      <c r="F175" s="8" t="str">
        <f t="shared" si="14"/>
        <v/>
      </c>
      <c r="G175" s="8" t="str">
        <f>IF(AND(VLOOKUP(C175,查询!$C$8:$E$15,3,FALSE)="启用",$B$1=D175),B175,"")</f>
        <v/>
      </c>
      <c r="H175" s="6" t="str">
        <f t="array" ref="H175">INDEX(F:F,SMALL(IF($F$1:$F$500&lt;&gt;"",ROW($1:$500),1000),ROW(F175)))&amp;""</f>
        <v/>
      </c>
      <c r="I175" s="6" t="str">
        <f t="array" ref="I175">INDEX(G:G,SMALL(IF($F$1:$F$500&lt;&gt;"",ROW($1:$500),1000),ROW(G175)))&amp;""</f>
        <v/>
      </c>
      <c r="K175" s="8" t="s">
        <v>2956</v>
      </c>
      <c r="L175" s="8" t="s">
        <v>1740</v>
      </c>
      <c r="M175" s="8" t="s">
        <v>578</v>
      </c>
      <c r="N175" s="9">
        <v>5</v>
      </c>
      <c r="P175" s="8" t="str">
        <f t="shared" si="15"/>
        <v/>
      </c>
      <c r="Q175" s="8" t="str">
        <f>IF(AND(VLOOKUP(M175,查询!$C$8:$E$15,3,FALSE)="启用",$B$1=N175),L175,"")</f>
        <v/>
      </c>
      <c r="R175" s="6" t="str">
        <f t="array" ref="R175">INDEX(P:P,SMALL(IF(P$1:P$500&lt;&gt;"",ROW($1:$500),1000),ROW(P175)))&amp;""</f>
        <v/>
      </c>
      <c r="S175" s="6" t="str">
        <f t="array" ref="S175">INDEX(Q:Q,SMALL(IF(Q$1:Q$500&lt;&gt;"",ROW($1:$500),1000),ROW(Q175)))&amp;""</f>
        <v/>
      </c>
      <c r="X175" s="6"/>
      <c r="AB175" s="6" t="str">
        <f t="array" ref="AB175">INDEX(Z:Z,SMALL(IF(Z$1:Z$500&lt;&gt;"",ROW($1:$500),1000),ROW(Z175)))&amp;""</f>
        <v/>
      </c>
      <c r="AC175" s="6" t="str">
        <f t="array" ref="AC175">INDEX(AA:AA,SMALL(IF(AA$1:AA$500&lt;&gt;"",ROW($1:$500),1000),ROW(AA175)))&amp;""</f>
        <v/>
      </c>
      <c r="AH175" s="6"/>
      <c r="AL175" s="6" t="str">
        <f t="array" ref="AL175">INDEX(AJ:AJ,SMALL(IF(AJ$1:AJ$500&lt;&gt;"",ROW($1:$500),1000),ROW(AJ175)))&amp;""</f>
        <v/>
      </c>
      <c r="AM175" s="6" t="str">
        <f t="array" ref="AM175">INDEX(AK:AK,SMALL(IF(AK$1:AK$500&lt;&gt;"",ROW($1:$500),1000),ROW(AK175)))&amp;""</f>
        <v/>
      </c>
      <c r="AV175" s="6" t="str">
        <f t="array" ref="AV175">INDEX(AT:AT,SMALL(IF(AT$1:AT$500&lt;&gt;"",ROW($1:$500),1000),ROW(AT175)))&amp;""</f>
        <v/>
      </c>
      <c r="AW175" s="6" t="str">
        <f t="array" ref="AW175">INDEX(AU:AU,SMALL(IF(AU$1:AU$500&lt;&gt;"",ROW($1:$500),1000),ROW(AU175)))&amp;""</f>
        <v/>
      </c>
      <c r="BF175" s="6" t="str">
        <f t="array" ref="BF175">INDEX(BD:BD,SMALL(IF(BD$1:BD$500&lt;&gt;"",ROW($1:$500),1000),ROW(BD175)))&amp;""</f>
        <v/>
      </c>
      <c r="BG175" s="6" t="str">
        <f t="array" ref="BG175">INDEX(BE:BE,SMALL(IF(BE$1:BE$500&lt;&gt;"",ROW($1:$500),1000),ROW(BE175)))&amp;""</f>
        <v/>
      </c>
      <c r="BI175" s="8" t="s">
        <v>3444</v>
      </c>
      <c r="BJ175" s="8" t="s">
        <v>1702</v>
      </c>
      <c r="BK175" s="8" t="s">
        <v>494</v>
      </c>
      <c r="BL175" s="9">
        <v>8</v>
      </c>
      <c r="BN175" s="8" t="str">
        <f t="shared" si="16"/>
        <v/>
      </c>
      <c r="BO175" s="8" t="str">
        <f>IF(AND(VLOOKUP(BK175,查询!$C$8:$E$15,3,FALSE)="启用",$B$1=BL175),BJ175,"")</f>
        <v/>
      </c>
      <c r="BP175" s="6" t="str">
        <f t="array" ref="BP175">INDEX(BN:BN,SMALL(IF(BN$1:BN$500&lt;&gt;"",ROW($1:$500),1000),ROW(BN175)))&amp;""</f>
        <v/>
      </c>
      <c r="BQ175" s="6" t="str">
        <f t="array" ref="BQ175">INDEX(BO:BO,SMALL(IF(BO$1:BO$500&lt;&gt;"",ROW($1:$500),1000),ROW(BO175)))&amp;""</f>
        <v/>
      </c>
      <c r="BV175" s="6"/>
      <c r="BZ175" s="6" t="str">
        <f t="array" ref="BZ175">INDEX(BX:BX,SMALL(IF(BX$1:BX$500&lt;&gt;"",ROW($1:$500),1000),ROW(BX175)))&amp;""</f>
        <v/>
      </c>
      <c r="CA175" s="6" t="str">
        <f t="array" ref="CA175">INDEX(BY:BY,SMALL(IF(BY$1:BY$500&lt;&gt;"",ROW($1:$500),1000),ROW(BY175)))&amp;""</f>
        <v/>
      </c>
    </row>
    <row r="176" spans="1:79">
      <c r="A176" s="8" t="s">
        <v>2543</v>
      </c>
      <c r="B176" s="8" t="s">
        <v>1324</v>
      </c>
      <c r="C176" s="8" t="s">
        <v>578</v>
      </c>
      <c r="D176" s="9">
        <v>3</v>
      </c>
      <c r="F176" s="8" t="str">
        <f t="shared" si="14"/>
        <v/>
      </c>
      <c r="G176" s="8" t="str">
        <f>IF(AND(VLOOKUP(C176,查询!$C$8:$E$15,3,FALSE)="启用",$B$1=D176),B176,"")</f>
        <v/>
      </c>
      <c r="H176" s="6" t="str">
        <f t="array" ref="H176">INDEX(F:F,SMALL(IF($F$1:$F$500&lt;&gt;"",ROW($1:$500),1000),ROW(F176)))&amp;""</f>
        <v/>
      </c>
      <c r="I176" s="6" t="str">
        <f t="array" ref="I176">INDEX(G:G,SMALL(IF($F$1:$F$500&lt;&gt;"",ROW($1:$500),1000),ROW(G176)))&amp;""</f>
        <v/>
      </c>
      <c r="K176" s="8" t="s">
        <v>2956</v>
      </c>
      <c r="L176" s="8" t="s">
        <v>1339</v>
      </c>
      <c r="M176" s="8" t="s">
        <v>1249</v>
      </c>
      <c r="N176" s="9">
        <v>5</v>
      </c>
      <c r="P176" s="8" t="str">
        <f t="shared" si="15"/>
        <v/>
      </c>
      <c r="Q176" s="8" t="str">
        <f>IF(AND(VLOOKUP(M176,查询!$C$8:$E$15,3,FALSE)="启用",$B$1=N176),L176,"")</f>
        <v/>
      </c>
      <c r="R176" s="6" t="str">
        <f t="array" ref="R176">INDEX(P:P,SMALL(IF(P$1:P$500&lt;&gt;"",ROW($1:$500),1000),ROW(P176)))&amp;""</f>
        <v/>
      </c>
      <c r="S176" s="6" t="str">
        <f t="array" ref="S176">INDEX(Q:Q,SMALL(IF(Q$1:Q$500&lt;&gt;"",ROW($1:$500),1000),ROW(Q176)))&amp;""</f>
        <v/>
      </c>
      <c r="X176" s="6"/>
      <c r="AB176" s="6" t="str">
        <f t="array" ref="AB176">INDEX(Z:Z,SMALL(IF(Z$1:Z$500&lt;&gt;"",ROW($1:$500),1000),ROW(Z176)))&amp;""</f>
        <v/>
      </c>
      <c r="AC176" s="6" t="str">
        <f t="array" ref="AC176">INDEX(AA:AA,SMALL(IF(AA$1:AA$500&lt;&gt;"",ROW($1:$500),1000),ROW(AA176)))&amp;""</f>
        <v/>
      </c>
      <c r="AH176" s="6"/>
      <c r="AL176" s="6" t="str">
        <f t="array" ref="AL176">INDEX(AJ:AJ,SMALL(IF(AJ$1:AJ$500&lt;&gt;"",ROW($1:$500),1000),ROW(AJ176)))&amp;""</f>
        <v/>
      </c>
      <c r="AM176" s="6" t="str">
        <f t="array" ref="AM176">INDEX(AK:AK,SMALL(IF(AK$1:AK$500&lt;&gt;"",ROW($1:$500),1000),ROW(AK176)))&amp;""</f>
        <v/>
      </c>
      <c r="AV176" s="6" t="str">
        <f t="array" ref="AV176">INDEX(AT:AT,SMALL(IF(AT$1:AT$500&lt;&gt;"",ROW($1:$500),1000),ROW(AT176)))&amp;""</f>
        <v/>
      </c>
      <c r="AW176" s="6" t="str">
        <f t="array" ref="AW176">INDEX(AU:AU,SMALL(IF(AU$1:AU$500&lt;&gt;"",ROW($1:$500),1000),ROW(AU176)))&amp;""</f>
        <v/>
      </c>
      <c r="BF176" s="6" t="str">
        <f t="array" ref="BF176">INDEX(BD:BD,SMALL(IF(BD$1:BD$500&lt;&gt;"",ROW($1:$500),1000),ROW(BD176)))&amp;""</f>
        <v/>
      </c>
      <c r="BG176" s="6" t="str">
        <f t="array" ref="BG176">INDEX(BE:BE,SMALL(IF(BE$1:BE$500&lt;&gt;"",ROW($1:$500),1000),ROW(BE176)))&amp;""</f>
        <v/>
      </c>
      <c r="BI176" s="8" t="s">
        <v>3447</v>
      </c>
      <c r="BJ176" s="8" t="s">
        <v>1703</v>
      </c>
      <c r="BK176" s="8" t="s">
        <v>494</v>
      </c>
      <c r="BL176" s="9">
        <v>8</v>
      </c>
      <c r="BN176" s="8" t="str">
        <f t="shared" si="16"/>
        <v/>
      </c>
      <c r="BO176" s="8" t="str">
        <f>IF(AND(VLOOKUP(BK176,查询!$C$8:$E$15,3,FALSE)="启用",$B$1=BL176),BJ176,"")</f>
        <v/>
      </c>
      <c r="BP176" s="6" t="str">
        <f t="array" ref="BP176">INDEX(BN:BN,SMALL(IF(BN$1:BN$500&lt;&gt;"",ROW($1:$500),1000),ROW(BN176)))&amp;""</f>
        <v/>
      </c>
      <c r="BQ176" s="6" t="str">
        <f t="array" ref="BQ176">INDEX(BO:BO,SMALL(IF(BO$1:BO$500&lt;&gt;"",ROW($1:$500),1000),ROW(BO176)))&amp;""</f>
        <v/>
      </c>
      <c r="BV176" s="6"/>
      <c r="BZ176" s="6" t="str">
        <f t="array" ref="BZ176">INDEX(BX:BX,SMALL(IF(BX$1:BX$500&lt;&gt;"",ROW($1:$500),1000),ROW(BX176)))&amp;""</f>
        <v/>
      </c>
      <c r="CA176" s="6" t="str">
        <f t="array" ref="CA176">INDEX(BY:BY,SMALL(IF(BY$1:BY$500&lt;&gt;"",ROW($1:$500),1000),ROW(BY176)))&amp;""</f>
        <v/>
      </c>
    </row>
    <row r="177" spans="1:79">
      <c r="A177" s="8" t="s">
        <v>2758</v>
      </c>
      <c r="B177" s="8" t="s">
        <v>1276</v>
      </c>
      <c r="C177" s="8" t="s">
        <v>1249</v>
      </c>
      <c r="D177" s="9">
        <v>4</v>
      </c>
      <c r="F177" s="8" t="str">
        <f t="shared" si="14"/>
        <v/>
      </c>
      <c r="G177" s="8" t="str">
        <f>IF(AND(VLOOKUP(C177,查询!$C$8:$E$15,3,FALSE)="启用",$B$1=D177),B177,"")</f>
        <v/>
      </c>
      <c r="H177" s="6" t="str">
        <f t="array" ref="H177">INDEX(F:F,SMALL(IF($F$1:$F$500&lt;&gt;"",ROW($1:$500),1000),ROW(F177)))&amp;""</f>
        <v/>
      </c>
      <c r="I177" s="6" t="str">
        <f t="array" ref="I177">INDEX(G:G,SMALL(IF($F$1:$F$500&lt;&gt;"",ROW($1:$500),1000),ROW(G177)))&amp;""</f>
        <v/>
      </c>
      <c r="K177" s="8" t="s">
        <v>3092</v>
      </c>
      <c r="L177" s="8" t="s">
        <v>1700</v>
      </c>
      <c r="M177" s="8" t="s">
        <v>494</v>
      </c>
      <c r="N177" s="9">
        <v>5</v>
      </c>
      <c r="P177" s="8" t="str">
        <f t="shared" si="15"/>
        <v/>
      </c>
      <c r="Q177" s="8" t="str">
        <f>IF(AND(VLOOKUP(M177,查询!$C$8:$E$15,3,FALSE)="启用",$B$1=N177),L177,"")</f>
        <v/>
      </c>
      <c r="R177" s="6" t="str">
        <f t="array" ref="R177">INDEX(P:P,SMALL(IF(P$1:P$500&lt;&gt;"",ROW($1:$500),1000),ROW(P177)))&amp;""</f>
        <v/>
      </c>
      <c r="S177" s="6" t="str">
        <f t="array" ref="S177">INDEX(Q:Q,SMALL(IF(Q$1:Q$500&lt;&gt;"",ROW($1:$500),1000),ROW(Q177)))&amp;""</f>
        <v/>
      </c>
      <c r="X177" s="6"/>
      <c r="AB177" s="6" t="str">
        <f t="array" ref="AB177">INDEX(Z:Z,SMALL(IF(Z$1:Z$500&lt;&gt;"",ROW($1:$500),1000),ROW(Z177)))&amp;""</f>
        <v/>
      </c>
      <c r="AC177" s="6" t="str">
        <f t="array" ref="AC177">INDEX(AA:AA,SMALL(IF(AA$1:AA$500&lt;&gt;"",ROW($1:$500),1000),ROW(AA177)))&amp;""</f>
        <v/>
      </c>
      <c r="AH177" s="6"/>
      <c r="AL177" s="6" t="str">
        <f t="array" ref="AL177">INDEX(AJ:AJ,SMALL(IF(AJ$1:AJ$500&lt;&gt;"",ROW($1:$500),1000),ROW(AJ177)))&amp;""</f>
        <v/>
      </c>
      <c r="AM177" s="6" t="str">
        <f t="array" ref="AM177">INDEX(AK:AK,SMALL(IF(AK$1:AK$500&lt;&gt;"",ROW($1:$500),1000),ROW(AK177)))&amp;""</f>
        <v/>
      </c>
      <c r="AV177" s="6" t="str">
        <f t="array" ref="AV177">INDEX(AT:AT,SMALL(IF(AT$1:AT$500&lt;&gt;"",ROW($1:$500),1000),ROW(AT177)))&amp;""</f>
        <v/>
      </c>
      <c r="AW177" s="6" t="str">
        <f t="array" ref="AW177">INDEX(AU:AU,SMALL(IF(AU$1:AU$500&lt;&gt;"",ROW($1:$500),1000),ROW(AU177)))&amp;""</f>
        <v/>
      </c>
      <c r="BF177" s="6" t="str">
        <f t="array" ref="BF177">INDEX(BD:BD,SMALL(IF(BD$1:BD$500&lt;&gt;"",ROW($1:$500),1000),ROW(BD177)))&amp;""</f>
        <v/>
      </c>
      <c r="BG177" s="6" t="str">
        <f t="array" ref="BG177">INDEX(BE:BE,SMALL(IF(BE$1:BE$500&lt;&gt;"",ROW($1:$500),1000),ROW(BE177)))&amp;""</f>
        <v/>
      </c>
      <c r="BI177" s="8" t="s">
        <v>3452</v>
      </c>
      <c r="BJ177" s="8" t="s">
        <v>1707</v>
      </c>
      <c r="BK177" s="8" t="s">
        <v>494</v>
      </c>
      <c r="BL177" s="9">
        <v>8</v>
      </c>
      <c r="BN177" s="8" t="str">
        <f t="shared" si="16"/>
        <v/>
      </c>
      <c r="BO177" s="8" t="str">
        <f>IF(AND(VLOOKUP(BK177,查询!$C$8:$E$15,3,FALSE)="启用",$B$1=BL177),BJ177,"")</f>
        <v/>
      </c>
      <c r="BP177" s="6" t="str">
        <f t="array" ref="BP177">INDEX(BN:BN,SMALL(IF(BN$1:BN$500&lt;&gt;"",ROW($1:$500),1000),ROW(BN177)))&amp;""</f>
        <v/>
      </c>
      <c r="BQ177" s="6" t="str">
        <f t="array" ref="BQ177">INDEX(BO:BO,SMALL(IF(BO$1:BO$500&lt;&gt;"",ROW($1:$500),1000),ROW(BO177)))&amp;""</f>
        <v/>
      </c>
      <c r="BV177" s="6"/>
      <c r="BZ177" s="6" t="str">
        <f t="array" ref="BZ177">INDEX(BX:BX,SMALL(IF(BX$1:BX$500&lt;&gt;"",ROW($1:$500),1000),ROW(BX177)))&amp;""</f>
        <v/>
      </c>
      <c r="CA177" s="6" t="str">
        <f t="array" ref="CA177">INDEX(BY:BY,SMALL(IF(BY$1:BY$500&lt;&gt;"",ROW($1:$500),1000),ROW(BY177)))&amp;""</f>
        <v/>
      </c>
    </row>
    <row r="178" spans="1:79">
      <c r="A178" s="8" t="s">
        <v>2761</v>
      </c>
      <c r="B178" s="8" t="s">
        <v>1726</v>
      </c>
      <c r="C178" s="8" t="s">
        <v>578</v>
      </c>
      <c r="D178" s="9">
        <v>4</v>
      </c>
      <c r="F178" s="8" t="str">
        <f t="shared" si="14"/>
        <v/>
      </c>
      <c r="G178" s="8" t="str">
        <f>IF(AND(VLOOKUP(C178,查询!$C$8:$E$15,3,FALSE)="启用",$B$1=D178),B178,"")</f>
        <v/>
      </c>
      <c r="H178" s="6" t="str">
        <f t="array" ref="H178">INDEX(F:F,SMALL(IF($F$1:$F$500&lt;&gt;"",ROW($1:$500),1000),ROW(F178)))&amp;""</f>
        <v/>
      </c>
      <c r="I178" s="6" t="str">
        <f t="array" ref="I178">INDEX(G:G,SMALL(IF($F$1:$F$500&lt;&gt;"",ROW($1:$500),1000),ROW(G178)))&amp;""</f>
        <v/>
      </c>
      <c r="K178" s="8" t="s">
        <v>3116</v>
      </c>
      <c r="L178" s="8" t="s">
        <v>1270</v>
      </c>
      <c r="M178" s="8" t="s">
        <v>1249</v>
      </c>
      <c r="N178" s="9">
        <v>6</v>
      </c>
      <c r="P178" s="8" t="str">
        <f t="shared" si="15"/>
        <v/>
      </c>
      <c r="Q178" s="8" t="str">
        <f>IF(AND(VLOOKUP(M178,查询!$C$8:$E$15,3,FALSE)="启用",$B$1=N178),L178,"")</f>
        <v/>
      </c>
      <c r="R178" s="6" t="str">
        <f t="array" ref="R178">INDEX(P:P,SMALL(IF(P$1:P$500&lt;&gt;"",ROW($1:$500),1000),ROW(P178)))&amp;""</f>
        <v/>
      </c>
      <c r="S178" s="6" t="str">
        <f t="array" ref="S178">INDEX(Q:Q,SMALL(IF(Q$1:Q$500&lt;&gt;"",ROW($1:$500),1000),ROW(Q178)))&amp;""</f>
        <v/>
      </c>
      <c r="X178" s="6"/>
      <c r="AB178" s="6" t="str">
        <f t="array" ref="AB178">INDEX(Z:Z,SMALL(IF(Z$1:Z$500&lt;&gt;"",ROW($1:$500),1000),ROW(Z178)))&amp;""</f>
        <v/>
      </c>
      <c r="AC178" s="6" t="str">
        <f t="array" ref="AC178">INDEX(AA:AA,SMALL(IF(AA$1:AA$500&lt;&gt;"",ROW($1:$500),1000),ROW(AA178)))&amp;""</f>
        <v/>
      </c>
      <c r="AH178" s="6"/>
      <c r="AL178" s="6" t="str">
        <f t="array" ref="AL178">INDEX(AJ:AJ,SMALL(IF(AJ$1:AJ$500&lt;&gt;"",ROW($1:$500),1000),ROW(AJ178)))&amp;""</f>
        <v/>
      </c>
      <c r="AM178" s="6" t="str">
        <f t="array" ref="AM178">INDEX(AK:AK,SMALL(IF(AK$1:AK$500&lt;&gt;"",ROW($1:$500),1000),ROW(AK178)))&amp;""</f>
        <v/>
      </c>
      <c r="AV178" s="6" t="str">
        <f t="array" ref="AV178">INDEX(AT:AT,SMALL(IF(AT$1:AT$500&lt;&gt;"",ROW($1:$500),1000),ROW(AT178)))&amp;""</f>
        <v/>
      </c>
      <c r="AW178" s="6" t="str">
        <f t="array" ref="AW178">INDEX(AU:AU,SMALL(IF(AU$1:AU$500&lt;&gt;"",ROW($1:$500),1000),ROW(AU178)))&amp;""</f>
        <v/>
      </c>
      <c r="BF178" s="6" t="str">
        <f t="array" ref="BF178">INDEX(BD:BD,SMALL(IF(BD$1:BD$500&lt;&gt;"",ROW($1:$500),1000),ROW(BD178)))&amp;""</f>
        <v/>
      </c>
      <c r="BG178" s="6" t="str">
        <f t="array" ref="BG178">INDEX(BE:BE,SMALL(IF(BE$1:BE$500&lt;&gt;"",ROW($1:$500),1000),ROW(BE178)))&amp;""</f>
        <v/>
      </c>
      <c r="BI178" s="8" t="s">
        <v>3488</v>
      </c>
      <c r="BJ178" s="8" t="s">
        <v>1538</v>
      </c>
      <c r="BK178" s="8" t="s">
        <v>494</v>
      </c>
      <c r="BL178" s="9">
        <v>9</v>
      </c>
      <c r="BN178" s="8" t="str">
        <f t="shared" si="16"/>
        <v/>
      </c>
      <c r="BO178" s="8" t="str">
        <f>IF(AND(VLOOKUP(BK178,查询!$C$8:$E$15,3,FALSE)="启用",$B$1=BL178),BJ178,"")</f>
        <v/>
      </c>
      <c r="BP178" s="6" t="str">
        <f t="array" ref="BP178">INDEX(BN:BN,SMALL(IF(BN$1:BN$500&lt;&gt;"",ROW($1:$500),1000),ROW(BN178)))&amp;""</f>
        <v/>
      </c>
      <c r="BQ178" s="6" t="str">
        <f t="array" ref="BQ178">INDEX(BO:BO,SMALL(IF(BO$1:BO$500&lt;&gt;"",ROW($1:$500),1000),ROW(BO178)))&amp;""</f>
        <v/>
      </c>
      <c r="BV178" s="6"/>
      <c r="BZ178" s="6" t="str">
        <f t="array" ref="BZ178">INDEX(BX:BX,SMALL(IF(BX$1:BX$500&lt;&gt;"",ROW($1:$500),1000),ROW(BX178)))&amp;""</f>
        <v/>
      </c>
      <c r="CA178" s="6" t="str">
        <f t="array" ref="CA178">INDEX(BY:BY,SMALL(IF(BY$1:BY$500&lt;&gt;"",ROW($1:$500),1000),ROW(BY178)))&amp;""</f>
        <v/>
      </c>
    </row>
    <row r="179" spans="1:79">
      <c r="A179" s="8" t="s">
        <v>2761</v>
      </c>
      <c r="B179" s="8" t="s">
        <v>1287</v>
      </c>
      <c r="C179" s="8" t="s">
        <v>1249</v>
      </c>
      <c r="D179" s="9">
        <v>4</v>
      </c>
      <c r="F179" s="8" t="str">
        <f t="shared" si="14"/>
        <v/>
      </c>
      <c r="G179" s="8" t="str">
        <f>IF(AND(VLOOKUP(C179,查询!$C$8:$E$15,3,FALSE)="启用",$B$1=D179),B179,"")</f>
        <v/>
      </c>
      <c r="H179" s="6" t="str">
        <f t="array" ref="H179">INDEX(F:F,SMALL(IF($F$1:$F$500&lt;&gt;"",ROW($1:$500),1000),ROW(F179)))&amp;""</f>
        <v/>
      </c>
      <c r="I179" s="6" t="str">
        <f t="array" ref="I179">INDEX(G:G,SMALL(IF($F$1:$F$500&lt;&gt;"",ROW($1:$500),1000),ROW(G179)))&amp;""</f>
        <v/>
      </c>
      <c r="K179" s="8" t="s">
        <v>3119</v>
      </c>
      <c r="L179" s="8" t="s">
        <v>1274</v>
      </c>
      <c r="M179" s="8" t="s">
        <v>1249</v>
      </c>
      <c r="N179" s="9">
        <v>6</v>
      </c>
      <c r="P179" s="8" t="str">
        <f t="shared" si="15"/>
        <v/>
      </c>
      <c r="Q179" s="8" t="str">
        <f>IF(AND(VLOOKUP(M179,查询!$C$8:$E$15,3,FALSE)="启用",$B$1=N179),L179,"")</f>
        <v/>
      </c>
      <c r="R179" s="6" t="str">
        <f t="array" ref="R179">INDEX(P:P,SMALL(IF(P$1:P$500&lt;&gt;"",ROW($1:$500),1000),ROW(P179)))&amp;""</f>
        <v/>
      </c>
      <c r="S179" s="6" t="str">
        <f t="array" ref="S179">INDEX(Q:Q,SMALL(IF(Q$1:Q$500&lt;&gt;"",ROW($1:$500),1000),ROW(Q179)))&amp;""</f>
        <v/>
      </c>
      <c r="X179" s="6"/>
      <c r="AB179" s="6" t="str">
        <f t="array" ref="AB179">INDEX(Z:Z,SMALL(IF(Z$1:Z$500&lt;&gt;"",ROW($1:$500),1000),ROW(Z179)))&amp;""</f>
        <v/>
      </c>
      <c r="AC179" s="6" t="str">
        <f t="array" ref="AC179">INDEX(AA:AA,SMALL(IF(AA$1:AA$500&lt;&gt;"",ROW($1:$500),1000),ROW(AA179)))&amp;""</f>
        <v/>
      </c>
      <c r="AH179" s="6"/>
      <c r="AL179" s="6" t="str">
        <f t="array" ref="AL179">INDEX(AJ:AJ,SMALL(IF(AJ$1:AJ$500&lt;&gt;"",ROW($1:$500),1000),ROW(AJ179)))&amp;""</f>
        <v/>
      </c>
      <c r="AM179" s="6" t="str">
        <f t="array" ref="AM179">INDEX(AK:AK,SMALL(IF(AK$1:AK$500&lt;&gt;"",ROW($1:$500),1000),ROW(AK179)))&amp;""</f>
        <v/>
      </c>
      <c r="AV179" s="6" t="str">
        <f t="array" ref="AV179">INDEX(AT:AT,SMALL(IF(AT$1:AT$500&lt;&gt;"",ROW($1:$500),1000),ROW(AT179)))&amp;""</f>
        <v/>
      </c>
      <c r="AW179" s="6" t="str">
        <f t="array" ref="AW179">INDEX(AU:AU,SMALL(IF(AU$1:AU$500&lt;&gt;"",ROW($1:$500),1000),ROW(AU179)))&amp;""</f>
        <v/>
      </c>
      <c r="BF179" s="6" t="str">
        <f t="array" ref="BF179">INDEX(BD:BD,SMALL(IF(BD$1:BD$500&lt;&gt;"",ROW($1:$500),1000),ROW(BD179)))&amp;""</f>
        <v/>
      </c>
      <c r="BG179" s="6" t="str">
        <f t="array" ref="BG179">INDEX(BE:BE,SMALL(IF(BE$1:BE$500&lt;&gt;"",ROW($1:$500),1000),ROW(BE179)))&amp;""</f>
        <v/>
      </c>
      <c r="BI179" s="8" t="s">
        <v>3506</v>
      </c>
      <c r="BJ179" s="8" t="s">
        <v>1611</v>
      </c>
      <c r="BK179" s="8" t="s">
        <v>494</v>
      </c>
      <c r="BL179" s="9">
        <v>9</v>
      </c>
      <c r="BN179" s="8" t="str">
        <f t="shared" si="16"/>
        <v/>
      </c>
      <c r="BO179" s="8" t="str">
        <f>IF(AND(VLOOKUP(BK179,查询!$C$8:$E$15,3,FALSE)="启用",$B$1=BL179),BJ179,"")</f>
        <v/>
      </c>
      <c r="BP179" s="6" t="str">
        <f t="array" ref="BP179">INDEX(BN:BN,SMALL(IF(BN$1:BN$500&lt;&gt;"",ROW($1:$500),1000),ROW(BN179)))&amp;""</f>
        <v/>
      </c>
      <c r="BQ179" s="6" t="str">
        <f t="array" ref="BQ179">INDEX(BO:BO,SMALL(IF(BO$1:BO$500&lt;&gt;"",ROW($1:$500),1000),ROW(BO179)))&amp;""</f>
        <v/>
      </c>
      <c r="BV179" s="6"/>
      <c r="BZ179" s="6" t="str">
        <f t="array" ref="BZ179">INDEX(BX:BX,SMALL(IF(BX$1:BX$500&lt;&gt;"",ROW($1:$500),1000),ROW(BX179)))&amp;""</f>
        <v/>
      </c>
      <c r="CA179" s="6" t="str">
        <f t="array" ref="CA179">INDEX(BY:BY,SMALL(IF(BY$1:BY$500&lt;&gt;"",ROW($1:$500),1000),ROW(BY179)))&amp;""</f>
        <v/>
      </c>
    </row>
    <row r="180" spans="1:79">
      <c r="A180" s="8" t="s">
        <v>2763</v>
      </c>
      <c r="B180" s="8" t="s">
        <v>1727</v>
      </c>
      <c r="C180" s="8" t="s">
        <v>578</v>
      </c>
      <c r="D180" s="9">
        <v>4</v>
      </c>
      <c r="F180" s="8" t="str">
        <f t="shared" si="14"/>
        <v/>
      </c>
      <c r="G180" s="8" t="str">
        <f>IF(AND(VLOOKUP(C180,查询!$C$8:$E$15,3,FALSE)="启用",$B$1=D180),B180,"")</f>
        <v/>
      </c>
      <c r="H180" s="6" t="str">
        <f t="array" ref="H180">INDEX(F:F,SMALL(IF($F$1:$F$500&lt;&gt;"",ROW($1:$500),1000),ROW(F180)))&amp;""</f>
        <v/>
      </c>
      <c r="I180" s="6" t="str">
        <f t="array" ref="I180">INDEX(G:G,SMALL(IF($F$1:$F$500&lt;&gt;"",ROW($1:$500),1000),ROW(G180)))&amp;""</f>
        <v/>
      </c>
      <c r="K180" s="8" t="s">
        <v>3158</v>
      </c>
      <c r="L180" s="8" t="s">
        <v>1386</v>
      </c>
      <c r="M180" s="8" t="s">
        <v>494</v>
      </c>
      <c r="N180" s="9">
        <v>6</v>
      </c>
      <c r="P180" s="8" t="str">
        <f t="shared" si="15"/>
        <v/>
      </c>
      <c r="Q180" s="8" t="str">
        <f>IF(AND(VLOOKUP(M180,查询!$C$8:$E$15,3,FALSE)="启用",$B$1=N180),L180,"")</f>
        <v/>
      </c>
      <c r="R180" s="6" t="str">
        <f t="array" ref="R180">INDEX(P:P,SMALL(IF(P$1:P$500&lt;&gt;"",ROW($1:$500),1000),ROW(P180)))&amp;""</f>
        <v/>
      </c>
      <c r="S180" s="6" t="str">
        <f t="array" ref="S180">INDEX(Q:Q,SMALL(IF(Q$1:Q$500&lt;&gt;"",ROW($1:$500),1000),ROW(Q180)))&amp;""</f>
        <v/>
      </c>
      <c r="X180" s="6"/>
      <c r="AB180" s="6" t="str">
        <f t="array" ref="AB180">INDEX(Z:Z,SMALL(IF(Z$1:Z$500&lt;&gt;"",ROW($1:$500),1000),ROW(Z180)))&amp;""</f>
        <v/>
      </c>
      <c r="AC180" s="6" t="str">
        <f t="array" ref="AC180">INDEX(AA:AA,SMALL(IF(AA$1:AA$500&lt;&gt;"",ROW($1:$500),1000),ROW(AA180)))&amp;""</f>
        <v/>
      </c>
      <c r="AH180" s="6"/>
      <c r="AL180" s="6" t="str">
        <f t="array" ref="AL180">INDEX(AJ:AJ,SMALL(IF(AJ$1:AJ$500&lt;&gt;"",ROW($1:$500),1000),ROW(AJ180)))&amp;""</f>
        <v/>
      </c>
      <c r="AM180" s="6" t="str">
        <f t="array" ref="AM180">INDEX(AK:AK,SMALL(IF(AK$1:AK$500&lt;&gt;"",ROW($1:$500),1000),ROW(AK180)))&amp;""</f>
        <v/>
      </c>
      <c r="AV180" s="6" t="str">
        <f t="array" ref="AV180">INDEX(AT:AT,SMALL(IF(AT$1:AT$500&lt;&gt;"",ROW($1:$500),1000),ROW(AT180)))&amp;""</f>
        <v/>
      </c>
      <c r="AW180" s="6" t="str">
        <f t="array" ref="AW180">INDEX(AU:AU,SMALL(IF(AU$1:AU$500&lt;&gt;"",ROW($1:$500),1000),ROW(AU180)))&amp;""</f>
        <v/>
      </c>
      <c r="BF180" s="6" t="str">
        <f t="array" ref="BF180">INDEX(BD:BD,SMALL(IF(BD$1:BD$500&lt;&gt;"",ROW($1:$500),1000),ROW(BD180)))&amp;""</f>
        <v/>
      </c>
      <c r="BG180" s="6" t="str">
        <f t="array" ref="BG180">INDEX(BE:BE,SMALL(IF(BE$1:BE$500&lt;&gt;"",ROW($1:$500),1000),ROW(BE180)))&amp;""</f>
        <v/>
      </c>
      <c r="BI180" s="8" t="s">
        <v>3517</v>
      </c>
      <c r="BJ180" s="8" t="s">
        <v>1706</v>
      </c>
      <c r="BK180" s="8" t="s">
        <v>494</v>
      </c>
      <c r="BL180" s="9">
        <v>9</v>
      </c>
      <c r="BN180" s="8" t="str">
        <f t="shared" si="16"/>
        <v/>
      </c>
      <c r="BO180" s="8" t="str">
        <f>IF(AND(VLOOKUP(BK180,查询!$C$8:$E$15,3,FALSE)="启用",$B$1=BL180),BJ180,"")</f>
        <v/>
      </c>
      <c r="BP180" s="6" t="str">
        <f t="array" ref="BP180">INDEX(BN:BN,SMALL(IF(BN$1:BN$500&lt;&gt;"",ROW($1:$500),1000),ROW(BN180)))&amp;""</f>
        <v/>
      </c>
      <c r="BQ180" s="6" t="str">
        <f t="array" ref="BQ180">INDEX(BO:BO,SMALL(IF(BO$1:BO$500&lt;&gt;"",ROW($1:$500),1000),ROW(BO180)))&amp;""</f>
        <v/>
      </c>
      <c r="BV180" s="6"/>
      <c r="BZ180" s="6" t="str">
        <f t="array" ref="BZ180">INDEX(BX:BX,SMALL(IF(BX$1:BX$500&lt;&gt;"",ROW($1:$500),1000),ROW(BX180)))&amp;""</f>
        <v/>
      </c>
      <c r="CA180" s="6" t="str">
        <f t="array" ref="CA180">INDEX(BY:BY,SMALL(IF(BY$1:BY$500&lt;&gt;"",ROW($1:$500),1000),ROW(BY180)))&amp;""</f>
        <v/>
      </c>
    </row>
    <row r="181" spans="1:79">
      <c r="A181" s="8" t="s">
        <v>2763</v>
      </c>
      <c r="B181" s="8" t="s">
        <v>1288</v>
      </c>
      <c r="C181" s="8" t="s">
        <v>1249</v>
      </c>
      <c r="D181" s="9">
        <v>4</v>
      </c>
      <c r="F181" s="8" t="str">
        <f t="shared" si="14"/>
        <v/>
      </c>
      <c r="G181" s="8" t="str">
        <f>IF(AND(VLOOKUP(C181,查询!$C$8:$E$15,3,FALSE)="启用",$B$1=D181),B181,"")</f>
        <v/>
      </c>
      <c r="H181" s="6" t="str">
        <f t="array" ref="H181">INDEX(F:F,SMALL(IF($F$1:$F$500&lt;&gt;"",ROW($1:$500),1000),ROW(F181)))&amp;""</f>
        <v/>
      </c>
      <c r="I181" s="6" t="str">
        <f t="array" ref="I181">INDEX(G:G,SMALL(IF($F$1:$F$500&lt;&gt;"",ROW($1:$500),1000),ROW(G181)))&amp;""</f>
        <v/>
      </c>
      <c r="K181" s="8" t="s">
        <v>3160</v>
      </c>
      <c r="L181" s="8" t="s">
        <v>1388</v>
      </c>
      <c r="M181" s="8" t="s">
        <v>494</v>
      </c>
      <c r="N181" s="9">
        <v>6</v>
      </c>
      <c r="P181" s="8" t="str">
        <f t="shared" si="15"/>
        <v/>
      </c>
      <c r="Q181" s="8" t="str">
        <f>IF(AND(VLOOKUP(M181,查询!$C$8:$E$15,3,FALSE)="启用",$B$1=N181),L181,"")</f>
        <v/>
      </c>
      <c r="R181" s="6" t="str">
        <f t="array" ref="R181">INDEX(P:P,SMALL(IF(P$1:P$500&lt;&gt;"",ROW($1:$500),1000),ROW(P181)))&amp;""</f>
        <v/>
      </c>
      <c r="S181" s="6" t="str">
        <f t="array" ref="S181">INDEX(Q:Q,SMALL(IF(Q$1:Q$500&lt;&gt;"",ROW($1:$500),1000),ROW(Q181)))&amp;""</f>
        <v/>
      </c>
      <c r="X181" s="6"/>
      <c r="AB181" s="6" t="str">
        <f t="array" ref="AB181">INDEX(Z:Z,SMALL(IF(Z$1:Z$500&lt;&gt;"",ROW($1:$500),1000),ROW(Z181)))&amp;""</f>
        <v/>
      </c>
      <c r="AC181" s="6" t="str">
        <f t="array" ref="AC181">INDEX(AA:AA,SMALL(IF(AA$1:AA$500&lt;&gt;"",ROW($1:$500),1000),ROW(AA181)))&amp;""</f>
        <v/>
      </c>
      <c r="AH181" s="6"/>
      <c r="AL181" s="6" t="str">
        <f t="array" ref="AL181">INDEX(AJ:AJ,SMALL(IF(AJ$1:AJ$500&lt;&gt;"",ROW($1:$500),1000),ROW(AJ181)))&amp;""</f>
        <v/>
      </c>
      <c r="AM181" s="6" t="str">
        <f t="array" ref="AM181">INDEX(AK:AK,SMALL(IF(AK$1:AK$500&lt;&gt;"",ROW($1:$500),1000),ROW(AK181)))&amp;""</f>
        <v/>
      </c>
      <c r="AV181" s="6" t="str">
        <f t="array" ref="AV181">INDEX(AT:AT,SMALL(IF(AT$1:AT$500&lt;&gt;"",ROW($1:$500),1000),ROW(AT181)))&amp;""</f>
        <v/>
      </c>
      <c r="AW181" s="6" t="str">
        <f t="array" ref="AW181">INDEX(AU:AU,SMALL(IF(AU$1:AU$500&lt;&gt;"",ROW($1:$500),1000),ROW(AU181)))&amp;""</f>
        <v/>
      </c>
      <c r="BF181" s="6" t="str">
        <f t="array" ref="BF181">INDEX(BD:BD,SMALL(IF(BD$1:BD$500&lt;&gt;"",ROW($1:$500),1000),ROW(BD181)))&amp;""</f>
        <v/>
      </c>
      <c r="BG181" s="6" t="str">
        <f t="array" ref="BG181">INDEX(BE:BE,SMALL(IF(BE$1:BE$500&lt;&gt;"",ROW($1:$500),1000),ROW(BE181)))&amp;""</f>
        <v/>
      </c>
      <c r="BI181" s="8" t="s">
        <v>3521</v>
      </c>
      <c r="BJ181" s="8" t="s">
        <v>1716</v>
      </c>
      <c r="BK181" s="8" t="s">
        <v>494</v>
      </c>
      <c r="BL181" s="9">
        <v>9</v>
      </c>
      <c r="BN181" s="8" t="str">
        <f t="shared" si="16"/>
        <v/>
      </c>
      <c r="BO181" s="8" t="str">
        <f>IF(AND(VLOOKUP(BK181,查询!$C$8:$E$15,3,FALSE)="启用",$B$1=BL181),BJ181,"")</f>
        <v/>
      </c>
      <c r="BP181" s="6" t="str">
        <f t="array" ref="BP181">INDEX(BN:BN,SMALL(IF(BN$1:BN$500&lt;&gt;"",ROW($1:$500),1000),ROW(BN181)))&amp;""</f>
        <v/>
      </c>
      <c r="BQ181" s="6" t="str">
        <f t="array" ref="BQ181">INDEX(BO:BO,SMALL(IF(BO$1:BO$500&lt;&gt;"",ROW($1:$500),1000),ROW(BO181)))&amp;""</f>
        <v/>
      </c>
      <c r="BV181" s="6"/>
      <c r="BZ181" s="6" t="str">
        <f t="array" ref="BZ181">INDEX(BX:BX,SMALL(IF(BX$1:BX$500&lt;&gt;"",ROW($1:$500),1000),ROW(BX181)))&amp;""</f>
        <v/>
      </c>
      <c r="CA181" s="6" t="str">
        <f t="array" ref="CA181">INDEX(BY:BY,SMALL(IF(BY$1:BY$500&lt;&gt;"",ROW($1:$500),1000),ROW(BY181)))&amp;""</f>
        <v/>
      </c>
    </row>
    <row r="182" spans="1:79">
      <c r="A182" s="8" t="s">
        <v>2767</v>
      </c>
      <c r="B182" s="8" t="s">
        <v>1296</v>
      </c>
      <c r="C182" s="8" t="s">
        <v>1249</v>
      </c>
      <c r="D182" s="9">
        <v>4</v>
      </c>
      <c r="F182" s="8" t="str">
        <f t="shared" si="14"/>
        <v/>
      </c>
      <c r="G182" s="8" t="str">
        <f>IF(AND(VLOOKUP(C182,查询!$C$8:$E$15,3,FALSE)="启用",$B$1=D182),B182,"")</f>
        <v/>
      </c>
      <c r="H182" s="6" t="str">
        <f t="array" ref="H182">INDEX(F:F,SMALL(IF($F$1:$F$500&lt;&gt;"",ROW($1:$500),1000),ROW(F182)))&amp;""</f>
        <v/>
      </c>
      <c r="I182" s="6" t="str">
        <f t="array" ref="I182">INDEX(G:G,SMALL(IF($F$1:$F$500&lt;&gt;"",ROW($1:$500),1000),ROW(G182)))&amp;""</f>
        <v/>
      </c>
      <c r="K182" s="8" t="s">
        <v>3164</v>
      </c>
      <c r="L182" s="8" t="s">
        <v>1404</v>
      </c>
      <c r="M182" s="8" t="s">
        <v>494</v>
      </c>
      <c r="N182" s="9">
        <v>6</v>
      </c>
      <c r="P182" s="8" t="str">
        <f t="shared" si="15"/>
        <v/>
      </c>
      <c r="Q182" s="8" t="str">
        <f>IF(AND(VLOOKUP(M182,查询!$C$8:$E$15,3,FALSE)="启用",$B$1=N182),L182,"")</f>
        <v/>
      </c>
      <c r="R182" s="6" t="str">
        <f t="array" ref="R182">INDEX(P:P,SMALL(IF(P$1:P$500&lt;&gt;"",ROW($1:$500),1000),ROW(P182)))&amp;""</f>
        <v/>
      </c>
      <c r="S182" s="6" t="str">
        <f t="array" ref="S182">INDEX(Q:Q,SMALL(IF(Q$1:Q$500&lt;&gt;"",ROW($1:$500),1000),ROW(Q182)))&amp;""</f>
        <v/>
      </c>
      <c r="X182" s="6"/>
      <c r="AB182" s="6" t="str">
        <f t="array" ref="AB182">INDEX(Z:Z,SMALL(IF(Z$1:Z$500&lt;&gt;"",ROW($1:$500),1000),ROW(Z182)))&amp;""</f>
        <v/>
      </c>
      <c r="AC182" s="6" t="str">
        <f t="array" ref="AC182">INDEX(AA:AA,SMALL(IF(AA$1:AA$500&lt;&gt;"",ROW($1:$500),1000),ROW(AA182)))&amp;""</f>
        <v/>
      </c>
      <c r="AH182" s="6"/>
      <c r="AL182" s="6" t="str">
        <f t="array" ref="AL182">INDEX(AJ:AJ,SMALL(IF(AJ$1:AJ$500&lt;&gt;"",ROW($1:$500),1000),ROW(AJ182)))&amp;""</f>
        <v/>
      </c>
      <c r="AM182" s="6" t="str">
        <f t="array" ref="AM182">INDEX(AK:AK,SMALL(IF(AK$1:AK$500&lt;&gt;"",ROW($1:$500),1000),ROW(AK182)))&amp;""</f>
        <v/>
      </c>
      <c r="AV182" s="6" t="str">
        <f t="array" ref="AV182">INDEX(AT:AT,SMALL(IF(AT$1:AT$500&lt;&gt;"",ROW($1:$500),1000),ROW(AT182)))&amp;""</f>
        <v/>
      </c>
      <c r="AW182" s="6" t="str">
        <f t="array" ref="AW182">INDEX(AU:AU,SMALL(IF(AU$1:AU$500&lt;&gt;"",ROW($1:$500),1000),ROW(AU182)))&amp;""</f>
        <v/>
      </c>
      <c r="BF182" s="6" t="str">
        <f t="array" ref="BF182">INDEX(BD:BD,SMALL(IF(BD$1:BD$500&lt;&gt;"",ROW($1:$500),1000),ROW(BD182)))&amp;""</f>
        <v/>
      </c>
      <c r="BG182" s="6" t="str">
        <f t="array" ref="BG182">INDEX(BE:BE,SMALL(IF(BE$1:BE$500&lt;&gt;"",ROW($1:$500),1000),ROW(BE182)))&amp;""</f>
        <v/>
      </c>
      <c r="BL182" s="6"/>
      <c r="BP182" s="6" t="str">
        <f t="array" ref="BP182">INDEX(BN:BN,SMALL(IF(BN$1:BN$500&lt;&gt;"",ROW($1:$500),1000),ROW(BN182)))&amp;""</f>
        <v/>
      </c>
      <c r="BQ182" s="6" t="str">
        <f t="array" ref="BQ182">INDEX(BO:BO,SMALL(IF(BO$1:BO$500&lt;&gt;"",ROW($1:$500),1000),ROW(BO182)))&amp;""</f>
        <v/>
      </c>
      <c r="BV182" s="6"/>
      <c r="BZ182" s="6" t="str">
        <f t="array" ref="BZ182">INDEX(BX:BX,SMALL(IF(BX$1:BX$500&lt;&gt;"",ROW($1:$500),1000),ROW(BX182)))&amp;""</f>
        <v/>
      </c>
      <c r="CA182" s="6" t="str">
        <f t="array" ref="CA182">INDEX(BY:BY,SMALL(IF(BY$1:BY$500&lt;&gt;"",ROW($1:$500),1000),ROW(BY182)))&amp;""</f>
        <v/>
      </c>
    </row>
    <row r="183" spans="1:79">
      <c r="A183" s="8" t="s">
        <v>2784</v>
      </c>
      <c r="B183" s="8" t="s">
        <v>1445</v>
      </c>
      <c r="C183" s="8" t="s">
        <v>494</v>
      </c>
      <c r="D183" s="9">
        <v>4</v>
      </c>
      <c r="F183" s="8" t="str">
        <f t="shared" si="14"/>
        <v/>
      </c>
      <c r="G183" s="8" t="str">
        <f>IF(AND(VLOOKUP(C183,查询!$C$8:$E$15,3,FALSE)="启用",$B$1=D183),B183,"")</f>
        <v/>
      </c>
      <c r="H183" s="6" t="str">
        <f t="array" ref="H183">INDEX(F:F,SMALL(IF($F$1:$F$500&lt;&gt;"",ROW($1:$500),1000),ROW(F183)))&amp;""</f>
        <v/>
      </c>
      <c r="I183" s="6" t="str">
        <f t="array" ref="I183">INDEX(G:G,SMALL(IF($F$1:$F$500&lt;&gt;"",ROW($1:$500),1000),ROW(G183)))&amp;""</f>
        <v/>
      </c>
      <c r="K183" s="8" t="s">
        <v>3169</v>
      </c>
      <c r="L183" s="8" t="s">
        <v>1410</v>
      </c>
      <c r="M183" s="8" t="s">
        <v>494</v>
      </c>
      <c r="N183" s="9">
        <v>6</v>
      </c>
      <c r="P183" s="8" t="str">
        <f t="shared" si="15"/>
        <v/>
      </c>
      <c r="Q183" s="8" t="str">
        <f>IF(AND(VLOOKUP(M183,查询!$C$8:$E$15,3,FALSE)="启用",$B$1=N183),L183,"")</f>
        <v/>
      </c>
      <c r="R183" s="6" t="str">
        <f t="array" ref="R183">INDEX(P:P,SMALL(IF(P$1:P$500&lt;&gt;"",ROW($1:$500),1000),ROW(P183)))&amp;""</f>
        <v/>
      </c>
      <c r="S183" s="6" t="str">
        <f t="array" ref="S183">INDEX(Q:Q,SMALL(IF(Q$1:Q$500&lt;&gt;"",ROW($1:$500),1000),ROW(Q183)))&amp;""</f>
        <v/>
      </c>
      <c r="X183" s="6"/>
      <c r="AB183" s="6" t="str">
        <f t="array" ref="AB183">INDEX(Z:Z,SMALL(IF(Z$1:Z$500&lt;&gt;"",ROW($1:$500),1000),ROW(Z183)))&amp;""</f>
        <v/>
      </c>
      <c r="AC183" s="6" t="str">
        <f t="array" ref="AC183">INDEX(AA:AA,SMALL(IF(AA$1:AA$500&lt;&gt;"",ROW($1:$500),1000),ROW(AA183)))&amp;""</f>
        <v/>
      </c>
      <c r="AH183" s="6"/>
      <c r="AL183" s="6" t="str">
        <f t="array" ref="AL183">INDEX(AJ:AJ,SMALL(IF(AJ$1:AJ$500&lt;&gt;"",ROW($1:$500),1000),ROW(AJ183)))&amp;""</f>
        <v/>
      </c>
      <c r="AM183" s="6" t="str">
        <f t="array" ref="AM183">INDEX(AK:AK,SMALL(IF(AK$1:AK$500&lt;&gt;"",ROW($1:$500),1000),ROW(AK183)))&amp;""</f>
        <v/>
      </c>
      <c r="AV183" s="6" t="str">
        <f t="array" ref="AV183">INDEX(AT:AT,SMALL(IF(AT$1:AT$500&lt;&gt;"",ROW($1:$500),1000),ROW(AT183)))&amp;""</f>
        <v/>
      </c>
      <c r="AW183" s="6" t="str">
        <f t="array" ref="AW183">INDEX(AU:AU,SMALL(IF(AU$1:AU$500&lt;&gt;"",ROW($1:$500),1000),ROW(AU183)))&amp;""</f>
        <v/>
      </c>
      <c r="BF183" s="6" t="str">
        <f t="array" ref="BF183">INDEX(BD:BD,SMALL(IF(BD$1:BD$500&lt;&gt;"",ROW($1:$500),1000),ROW(BD183)))&amp;""</f>
        <v/>
      </c>
      <c r="BG183" s="6" t="str">
        <f t="array" ref="BG183">INDEX(BE:BE,SMALL(IF(BE$1:BE$500&lt;&gt;"",ROW($1:$500),1000),ROW(BE183)))&amp;""</f>
        <v/>
      </c>
      <c r="BL183" s="6"/>
      <c r="BP183" s="6" t="str">
        <f t="array" ref="BP183">INDEX(BN:BN,SMALL(IF(BN$1:BN$500&lt;&gt;"",ROW($1:$500),1000),ROW(BN183)))&amp;""</f>
        <v/>
      </c>
      <c r="BQ183" s="6" t="str">
        <f t="array" ref="BQ183">INDEX(BO:BO,SMALL(IF(BO$1:BO$500&lt;&gt;"",ROW($1:$500),1000),ROW(BO183)))&amp;""</f>
        <v/>
      </c>
      <c r="BV183" s="6"/>
      <c r="BZ183" s="6" t="str">
        <f t="array" ref="BZ183">INDEX(BX:BX,SMALL(IF(BX$1:BX$500&lt;&gt;"",ROW($1:$500),1000),ROW(BX183)))&amp;""</f>
        <v/>
      </c>
      <c r="CA183" s="6" t="str">
        <f t="array" ref="CA183">INDEX(BY:BY,SMALL(IF(BY$1:BY$500&lt;&gt;"",ROW($1:$500),1000),ROW(BY183)))&amp;""</f>
        <v/>
      </c>
    </row>
    <row r="184" spans="1:79">
      <c r="A184" s="8" t="s">
        <v>2787</v>
      </c>
      <c r="B184" s="8" t="s">
        <v>1468</v>
      </c>
      <c r="C184" s="8" t="s">
        <v>494</v>
      </c>
      <c r="D184" s="9">
        <v>4</v>
      </c>
      <c r="F184" s="8" t="str">
        <f t="shared" si="14"/>
        <v/>
      </c>
      <c r="G184" s="8" t="str">
        <f>IF(AND(VLOOKUP(C184,查询!$C$8:$E$15,3,FALSE)="启用",$B$1=D184),B184,"")</f>
        <v/>
      </c>
      <c r="H184" s="6" t="str">
        <f t="array" ref="H184">INDEX(F:F,SMALL(IF($F$1:$F$500&lt;&gt;"",ROW($1:$500),1000),ROW(F184)))&amp;""</f>
        <v/>
      </c>
      <c r="I184" s="6" t="str">
        <f t="array" ref="I184">INDEX(G:G,SMALL(IF($F$1:$F$500&lt;&gt;"",ROW($1:$500),1000),ROW(G184)))&amp;""</f>
        <v/>
      </c>
      <c r="K184" s="8" t="s">
        <v>3173</v>
      </c>
      <c r="L184" s="8" t="s">
        <v>1415</v>
      </c>
      <c r="M184" s="8" t="s">
        <v>494</v>
      </c>
      <c r="N184" s="9">
        <v>6</v>
      </c>
      <c r="P184" s="8" t="str">
        <f t="shared" si="15"/>
        <v/>
      </c>
      <c r="Q184" s="8" t="str">
        <f>IF(AND(VLOOKUP(M184,查询!$C$8:$E$15,3,FALSE)="启用",$B$1=N184),L184,"")</f>
        <v/>
      </c>
      <c r="R184" s="6" t="str">
        <f t="array" ref="R184">INDEX(P:P,SMALL(IF(P$1:P$500&lt;&gt;"",ROW($1:$500),1000),ROW(P184)))&amp;""</f>
        <v/>
      </c>
      <c r="S184" s="6" t="str">
        <f t="array" ref="S184">INDEX(Q:Q,SMALL(IF(Q$1:Q$500&lt;&gt;"",ROW($1:$500),1000),ROW(Q184)))&amp;""</f>
        <v/>
      </c>
      <c r="X184" s="6"/>
      <c r="AB184" s="6" t="str">
        <f t="array" ref="AB184">INDEX(Z:Z,SMALL(IF(Z$1:Z$500&lt;&gt;"",ROW($1:$500),1000),ROW(Z184)))&amp;""</f>
        <v/>
      </c>
      <c r="AC184" s="6" t="str">
        <f t="array" ref="AC184">INDEX(AA:AA,SMALL(IF(AA$1:AA$500&lt;&gt;"",ROW($1:$500),1000),ROW(AA184)))&amp;""</f>
        <v/>
      </c>
      <c r="AH184" s="6"/>
      <c r="AL184" s="6" t="str">
        <f t="array" ref="AL184">INDEX(AJ:AJ,SMALL(IF(AJ$1:AJ$500&lt;&gt;"",ROW($1:$500),1000),ROW(AJ184)))&amp;""</f>
        <v/>
      </c>
      <c r="AM184" s="6" t="str">
        <f t="array" ref="AM184">INDEX(AK:AK,SMALL(IF(AK$1:AK$500&lt;&gt;"",ROW($1:$500),1000),ROW(AK184)))&amp;""</f>
        <v/>
      </c>
      <c r="AV184" s="6" t="str">
        <f t="array" ref="AV184">INDEX(AT:AT,SMALL(IF(AT$1:AT$500&lt;&gt;"",ROW($1:$500),1000),ROW(AT184)))&amp;""</f>
        <v/>
      </c>
      <c r="AW184" s="6" t="str">
        <f t="array" ref="AW184">INDEX(AU:AU,SMALL(IF(AU$1:AU$500&lt;&gt;"",ROW($1:$500),1000),ROW(AU184)))&amp;""</f>
        <v/>
      </c>
      <c r="BF184" s="6" t="str">
        <f t="array" ref="BF184">INDEX(BD:BD,SMALL(IF(BD$1:BD$500&lt;&gt;"",ROW($1:$500),1000),ROW(BD184)))&amp;""</f>
        <v/>
      </c>
      <c r="BG184" s="6" t="str">
        <f t="array" ref="BG184">INDEX(BE:BE,SMALL(IF(BE$1:BE$500&lt;&gt;"",ROW($1:$500),1000),ROW(BE184)))&amp;""</f>
        <v/>
      </c>
      <c r="BL184" s="6"/>
      <c r="BP184" s="6" t="str">
        <f t="array" ref="BP184">INDEX(BN:BN,SMALL(IF(BN$1:BN$500&lt;&gt;"",ROW($1:$500),1000),ROW(BN184)))&amp;""</f>
        <v/>
      </c>
      <c r="BQ184" s="6" t="str">
        <f t="array" ref="BQ184">INDEX(BO:BO,SMALL(IF(BO$1:BO$500&lt;&gt;"",ROW($1:$500),1000),ROW(BO184)))&amp;""</f>
        <v/>
      </c>
      <c r="BV184" s="6"/>
      <c r="BZ184" s="6" t="str">
        <f t="array" ref="BZ184">INDEX(BX:BX,SMALL(IF(BX$1:BX$500&lt;&gt;"",ROW($1:$500),1000),ROW(BX184)))&amp;""</f>
        <v/>
      </c>
      <c r="CA184" s="6" t="str">
        <f t="array" ref="CA184">INDEX(BY:BY,SMALL(IF(BY$1:BY$500&lt;&gt;"",ROW($1:$500),1000),ROW(BY184)))&amp;""</f>
        <v/>
      </c>
    </row>
    <row r="185" spans="1:79">
      <c r="A185" s="8" t="s">
        <v>2796</v>
      </c>
      <c r="B185" s="8" t="s">
        <v>1500</v>
      </c>
      <c r="C185" s="8" t="s">
        <v>494</v>
      </c>
      <c r="D185" s="9">
        <v>4</v>
      </c>
      <c r="F185" s="8" t="str">
        <f t="shared" si="14"/>
        <v/>
      </c>
      <c r="G185" s="8" t="str">
        <f>IF(AND(VLOOKUP(C185,查询!$C$8:$E$15,3,FALSE)="启用",$B$1=D185),B185,"")</f>
        <v/>
      </c>
      <c r="H185" s="6" t="str">
        <f t="array" ref="H185">INDEX(F:F,SMALL(IF($F$1:$F$500&lt;&gt;"",ROW($1:$500),1000),ROW(F185)))&amp;""</f>
        <v/>
      </c>
      <c r="I185" s="6" t="str">
        <f t="array" ref="I185">INDEX(G:G,SMALL(IF($F$1:$F$500&lt;&gt;"",ROW($1:$500),1000),ROW(G185)))&amp;""</f>
        <v/>
      </c>
      <c r="K185" s="8" t="s">
        <v>3177</v>
      </c>
      <c r="L185" s="8" t="s">
        <v>1447</v>
      </c>
      <c r="M185" s="8" t="s">
        <v>494</v>
      </c>
      <c r="N185" s="9">
        <v>6</v>
      </c>
      <c r="P185" s="8" t="str">
        <f t="shared" si="15"/>
        <v/>
      </c>
      <c r="Q185" s="8" t="str">
        <f>IF(AND(VLOOKUP(M185,查询!$C$8:$E$15,3,FALSE)="启用",$B$1=N185),L185,"")</f>
        <v/>
      </c>
      <c r="R185" s="6" t="str">
        <f t="array" ref="R185">INDEX(P:P,SMALL(IF(P$1:P$500&lt;&gt;"",ROW($1:$500),1000),ROW(P185)))&amp;""</f>
        <v/>
      </c>
      <c r="S185" s="6" t="str">
        <f t="array" ref="S185">INDEX(Q:Q,SMALL(IF(Q$1:Q$500&lt;&gt;"",ROW($1:$500),1000),ROW(Q185)))&amp;""</f>
        <v/>
      </c>
      <c r="X185" s="6"/>
      <c r="AB185" s="6" t="str">
        <f t="array" ref="AB185">INDEX(Z:Z,SMALL(IF(Z$1:Z$500&lt;&gt;"",ROW($1:$500),1000),ROW(Z185)))&amp;""</f>
        <v/>
      </c>
      <c r="AC185" s="6" t="str">
        <f t="array" ref="AC185">INDEX(AA:AA,SMALL(IF(AA$1:AA$500&lt;&gt;"",ROW($1:$500),1000),ROW(AA185)))&amp;""</f>
        <v/>
      </c>
      <c r="AH185" s="6"/>
      <c r="AL185" s="6" t="str">
        <f t="array" ref="AL185">INDEX(AJ:AJ,SMALL(IF(AJ$1:AJ$500&lt;&gt;"",ROW($1:$500),1000),ROW(AJ185)))&amp;""</f>
        <v/>
      </c>
      <c r="AM185" s="6" t="str">
        <f t="array" ref="AM185">INDEX(AK:AK,SMALL(IF(AK$1:AK$500&lt;&gt;"",ROW($1:$500),1000),ROW(AK185)))&amp;""</f>
        <v/>
      </c>
      <c r="AV185" s="6" t="str">
        <f t="array" ref="AV185">INDEX(AT:AT,SMALL(IF(AT$1:AT$500&lt;&gt;"",ROW($1:$500),1000),ROW(AT185)))&amp;""</f>
        <v/>
      </c>
      <c r="AW185" s="6" t="str">
        <f t="array" ref="AW185">INDEX(AU:AU,SMALL(IF(AU$1:AU$500&lt;&gt;"",ROW($1:$500),1000),ROW(AU185)))&amp;""</f>
        <v/>
      </c>
      <c r="BF185" s="6" t="str">
        <f t="array" ref="BF185">INDEX(BD:BD,SMALL(IF(BD$1:BD$500&lt;&gt;"",ROW($1:$500),1000),ROW(BD185)))&amp;""</f>
        <v/>
      </c>
      <c r="BG185" s="6" t="str">
        <f t="array" ref="BG185">INDEX(BE:BE,SMALL(IF(BE$1:BE$500&lt;&gt;"",ROW($1:$500),1000),ROW(BE185)))&amp;""</f>
        <v/>
      </c>
      <c r="BL185" s="6"/>
      <c r="BP185" s="6" t="str">
        <f t="array" ref="BP185">INDEX(BN:BN,SMALL(IF(BN$1:BN$500&lt;&gt;"",ROW($1:$500),1000),ROW(BN185)))&amp;""</f>
        <v/>
      </c>
      <c r="BQ185" s="6" t="str">
        <f t="array" ref="BQ185">INDEX(BO:BO,SMALL(IF(BO$1:BO$500&lt;&gt;"",ROW($1:$500),1000),ROW(BO185)))&amp;""</f>
        <v/>
      </c>
      <c r="BV185" s="6"/>
      <c r="BZ185" s="6" t="str">
        <f t="array" ref="BZ185">INDEX(BX:BX,SMALL(IF(BX$1:BX$500&lt;&gt;"",ROW($1:$500),1000),ROW(BX185)))&amp;""</f>
        <v/>
      </c>
      <c r="CA185" s="6" t="str">
        <f t="array" ref="CA185">INDEX(BY:BY,SMALL(IF(BY$1:BY$500&lt;&gt;"",ROW($1:$500),1000),ROW(BY185)))&amp;""</f>
        <v/>
      </c>
    </row>
    <row r="186" spans="1:79">
      <c r="A186" s="8" t="s">
        <v>2799</v>
      </c>
      <c r="B186" s="8" t="s">
        <v>1539</v>
      </c>
      <c r="C186" s="8" t="s">
        <v>494</v>
      </c>
      <c r="D186" s="9">
        <v>4</v>
      </c>
      <c r="F186" s="8" t="str">
        <f t="shared" si="14"/>
        <v/>
      </c>
      <c r="G186" s="8" t="str">
        <f>IF(AND(VLOOKUP(C186,查询!$C$8:$E$15,3,FALSE)="启用",$B$1=D186),B186,"")</f>
        <v/>
      </c>
      <c r="H186" s="6" t="str">
        <f t="array" ref="H186">INDEX(F:F,SMALL(IF($F$1:$F$500&lt;&gt;"",ROW($1:$500),1000),ROW(F186)))&amp;""</f>
        <v/>
      </c>
      <c r="I186" s="6" t="str">
        <f t="array" ref="I186">INDEX(G:G,SMALL(IF($F$1:$F$500&lt;&gt;"",ROW($1:$500),1000),ROW(G186)))&amp;""</f>
        <v/>
      </c>
      <c r="K186" s="8" t="s">
        <v>3179</v>
      </c>
      <c r="L186" s="8" t="s">
        <v>1455</v>
      </c>
      <c r="M186" s="8" t="s">
        <v>494</v>
      </c>
      <c r="N186" s="9">
        <v>6</v>
      </c>
      <c r="P186" s="8" t="str">
        <f t="shared" si="15"/>
        <v/>
      </c>
      <c r="Q186" s="8" t="str">
        <f>IF(AND(VLOOKUP(M186,查询!$C$8:$E$15,3,FALSE)="启用",$B$1=N186),L186,"")</f>
        <v/>
      </c>
      <c r="R186" s="6" t="str">
        <f t="array" ref="R186">INDEX(P:P,SMALL(IF(P$1:P$500&lt;&gt;"",ROW($1:$500),1000),ROW(P186)))&amp;""</f>
        <v/>
      </c>
      <c r="S186" s="6" t="str">
        <f t="array" ref="S186">INDEX(Q:Q,SMALL(IF(Q$1:Q$500&lt;&gt;"",ROW($1:$500),1000),ROW(Q186)))&amp;""</f>
        <v/>
      </c>
      <c r="X186" s="6"/>
      <c r="AB186" s="6" t="str">
        <f t="array" ref="AB186">INDEX(Z:Z,SMALL(IF(Z$1:Z$500&lt;&gt;"",ROW($1:$500),1000),ROW(Z186)))&amp;""</f>
        <v/>
      </c>
      <c r="AC186" s="6" t="str">
        <f t="array" ref="AC186">INDEX(AA:AA,SMALL(IF(AA$1:AA$500&lt;&gt;"",ROW($1:$500),1000),ROW(AA186)))&amp;""</f>
        <v/>
      </c>
      <c r="AH186" s="6"/>
      <c r="AL186" s="6" t="str">
        <f t="array" ref="AL186">INDEX(AJ:AJ,SMALL(IF(AJ$1:AJ$500&lt;&gt;"",ROW($1:$500),1000),ROW(AJ186)))&amp;""</f>
        <v/>
      </c>
      <c r="AM186" s="6" t="str">
        <f t="array" ref="AM186">INDEX(AK:AK,SMALL(IF(AK$1:AK$500&lt;&gt;"",ROW($1:$500),1000),ROW(AK186)))&amp;""</f>
        <v/>
      </c>
      <c r="AV186" s="6" t="str">
        <f t="array" ref="AV186">INDEX(AT:AT,SMALL(IF(AT$1:AT$500&lt;&gt;"",ROW($1:$500),1000),ROW(AT186)))&amp;""</f>
        <v/>
      </c>
      <c r="AW186" s="6" t="str">
        <f t="array" ref="AW186">INDEX(AU:AU,SMALL(IF(AU$1:AU$500&lt;&gt;"",ROW($1:$500),1000),ROW(AU186)))&amp;""</f>
        <v/>
      </c>
      <c r="BF186" s="6" t="str">
        <f t="array" ref="BF186">INDEX(BD:BD,SMALL(IF(BD$1:BD$500&lt;&gt;"",ROW($1:$500),1000),ROW(BD186)))&amp;""</f>
        <v/>
      </c>
      <c r="BG186" s="6" t="str">
        <f t="array" ref="BG186">INDEX(BE:BE,SMALL(IF(BE$1:BE$500&lt;&gt;"",ROW($1:$500),1000),ROW(BE186)))&amp;""</f>
        <v/>
      </c>
      <c r="BL186" s="6"/>
      <c r="BP186" s="6" t="str">
        <f t="array" ref="BP186">INDEX(BN:BN,SMALL(IF(BN$1:BN$500&lt;&gt;"",ROW($1:$500),1000),ROW(BN186)))&amp;""</f>
        <v/>
      </c>
      <c r="BQ186" s="6" t="str">
        <f t="array" ref="BQ186">INDEX(BO:BO,SMALL(IF(BO$1:BO$500&lt;&gt;"",ROW($1:$500),1000),ROW(BO186)))&amp;""</f>
        <v/>
      </c>
      <c r="BV186" s="6"/>
      <c r="BZ186" s="6" t="str">
        <f t="array" ref="BZ186">INDEX(BX:BX,SMALL(IF(BX$1:BX$500&lt;&gt;"",ROW($1:$500),1000),ROW(BX186)))&amp;""</f>
        <v/>
      </c>
      <c r="CA186" s="6" t="str">
        <f t="array" ref="CA186">INDEX(BY:BY,SMALL(IF(BY$1:BY$500&lt;&gt;"",ROW($1:$500),1000),ROW(BY186)))&amp;""</f>
        <v/>
      </c>
    </row>
    <row r="187" spans="1:79">
      <c r="A187" s="8" t="s">
        <v>2804</v>
      </c>
      <c r="B187" s="8" t="s">
        <v>1541</v>
      </c>
      <c r="C187" s="8" t="s">
        <v>494</v>
      </c>
      <c r="D187" s="9">
        <v>4</v>
      </c>
      <c r="F187" s="8" t="str">
        <f t="shared" si="14"/>
        <v/>
      </c>
      <c r="G187" s="8" t="str">
        <f>IF(AND(VLOOKUP(C187,查询!$C$8:$E$15,3,FALSE)="启用",$B$1=D187),B187,"")</f>
        <v/>
      </c>
      <c r="H187" s="6" t="str">
        <f t="array" ref="H187">INDEX(F:F,SMALL(IF($F$1:$F$500&lt;&gt;"",ROW($1:$500),1000),ROW(F187)))&amp;""</f>
        <v/>
      </c>
      <c r="I187" s="6" t="str">
        <f t="array" ref="I187">INDEX(G:G,SMALL(IF($F$1:$F$500&lt;&gt;"",ROW($1:$500),1000),ROW(G187)))&amp;""</f>
        <v/>
      </c>
      <c r="K187" s="8" t="s">
        <v>3184</v>
      </c>
      <c r="L187" s="8" t="s">
        <v>1483</v>
      </c>
      <c r="M187" s="8" t="s">
        <v>494</v>
      </c>
      <c r="N187" s="9">
        <v>6</v>
      </c>
      <c r="P187" s="8" t="str">
        <f t="shared" si="15"/>
        <v/>
      </c>
      <c r="Q187" s="8" t="str">
        <f>IF(AND(VLOOKUP(M187,查询!$C$8:$E$15,3,FALSE)="启用",$B$1=N187),L187,"")</f>
        <v/>
      </c>
      <c r="R187" s="6" t="str">
        <f t="array" ref="R187">INDEX(P:P,SMALL(IF(P$1:P$500&lt;&gt;"",ROW($1:$500),1000),ROW(P187)))&amp;""</f>
        <v/>
      </c>
      <c r="S187" s="6" t="str">
        <f t="array" ref="S187">INDEX(Q:Q,SMALL(IF(Q$1:Q$500&lt;&gt;"",ROW($1:$500),1000),ROW(Q187)))&amp;""</f>
        <v/>
      </c>
      <c r="X187" s="6"/>
      <c r="AB187" s="6" t="str">
        <f t="array" ref="AB187">INDEX(Z:Z,SMALL(IF(Z$1:Z$500&lt;&gt;"",ROW($1:$500),1000),ROW(Z187)))&amp;""</f>
        <v/>
      </c>
      <c r="AC187" s="6" t="str">
        <f t="array" ref="AC187">INDEX(AA:AA,SMALL(IF(AA$1:AA$500&lt;&gt;"",ROW($1:$500),1000),ROW(AA187)))&amp;""</f>
        <v/>
      </c>
      <c r="AH187" s="6"/>
      <c r="AL187" s="6" t="str">
        <f t="array" ref="AL187">INDEX(AJ:AJ,SMALL(IF(AJ$1:AJ$500&lt;&gt;"",ROW($1:$500),1000),ROW(AJ187)))&amp;""</f>
        <v/>
      </c>
      <c r="AM187" s="6" t="str">
        <f t="array" ref="AM187">INDEX(AK:AK,SMALL(IF(AK$1:AK$500&lt;&gt;"",ROW($1:$500),1000),ROW(AK187)))&amp;""</f>
        <v/>
      </c>
      <c r="AV187" s="6" t="str">
        <f t="array" ref="AV187">INDEX(AT:AT,SMALL(IF(AT$1:AT$500&lt;&gt;"",ROW($1:$500),1000),ROW(AT187)))&amp;""</f>
        <v/>
      </c>
      <c r="AW187" s="6" t="str">
        <f t="array" ref="AW187">INDEX(AU:AU,SMALL(IF(AU$1:AU$500&lt;&gt;"",ROW($1:$500),1000),ROW(AU187)))&amp;""</f>
        <v/>
      </c>
      <c r="BF187" s="6" t="str">
        <f t="array" ref="BF187">INDEX(BD:BD,SMALL(IF(BD$1:BD$500&lt;&gt;"",ROW($1:$500),1000),ROW(BD187)))&amp;""</f>
        <v/>
      </c>
      <c r="BG187" s="6" t="str">
        <f t="array" ref="BG187">INDEX(BE:BE,SMALL(IF(BE$1:BE$500&lt;&gt;"",ROW($1:$500),1000),ROW(BE187)))&amp;""</f>
        <v/>
      </c>
      <c r="BL187" s="6"/>
      <c r="BP187" s="6" t="str">
        <f t="array" ref="BP187">INDEX(BN:BN,SMALL(IF(BN$1:BN$500&lt;&gt;"",ROW($1:$500),1000),ROW(BN187)))&amp;""</f>
        <v/>
      </c>
      <c r="BQ187" s="6" t="str">
        <f t="array" ref="BQ187">INDEX(BO:BO,SMALL(IF(BO$1:BO$500&lt;&gt;"",ROW($1:$500),1000),ROW(BO187)))&amp;""</f>
        <v/>
      </c>
      <c r="BV187" s="6"/>
      <c r="BZ187" s="6" t="str">
        <f t="array" ref="BZ187">INDEX(BX:BX,SMALL(IF(BX$1:BX$500&lt;&gt;"",ROW($1:$500),1000),ROW(BX187)))&amp;""</f>
        <v/>
      </c>
      <c r="CA187" s="6" t="str">
        <f t="array" ref="CA187">INDEX(BY:BY,SMALL(IF(BY$1:BY$500&lt;&gt;"",ROW($1:$500),1000),ROW(BY187)))&amp;""</f>
        <v/>
      </c>
    </row>
    <row r="188" spans="1:79">
      <c r="A188" s="8" t="s">
        <v>2808</v>
      </c>
      <c r="B188" s="8" t="s">
        <v>1542</v>
      </c>
      <c r="C188" s="8" t="s">
        <v>494</v>
      </c>
      <c r="D188" s="9">
        <v>4</v>
      </c>
      <c r="F188" s="8" t="str">
        <f t="shared" si="14"/>
        <v/>
      </c>
      <c r="G188" s="8" t="str">
        <f>IF(AND(VLOOKUP(C188,查询!$C$8:$E$15,3,FALSE)="启用",$B$1=D188),B188,"")</f>
        <v/>
      </c>
      <c r="H188" s="6" t="str">
        <f t="array" ref="H188">INDEX(F:F,SMALL(IF($F$1:$F$500&lt;&gt;"",ROW($1:$500),1000),ROW(F188)))&amp;""</f>
        <v/>
      </c>
      <c r="I188" s="6" t="str">
        <f t="array" ref="I188">INDEX(G:G,SMALL(IF($F$1:$F$500&lt;&gt;"",ROW($1:$500),1000),ROW(G188)))&amp;""</f>
        <v/>
      </c>
      <c r="K188" s="8" t="s">
        <v>3137</v>
      </c>
      <c r="L188" s="8" t="s">
        <v>1335</v>
      </c>
      <c r="M188" s="8" t="s">
        <v>1249</v>
      </c>
      <c r="N188" s="9">
        <v>6</v>
      </c>
      <c r="P188" s="8" t="str">
        <f t="shared" si="15"/>
        <v/>
      </c>
      <c r="Q188" s="8" t="str">
        <f>IF(AND(VLOOKUP(M188,查询!$C$8:$E$15,3,FALSE)="启用",$B$1=N188),L188,"")</f>
        <v/>
      </c>
      <c r="R188" s="6" t="str">
        <f t="array" ref="R188">INDEX(P:P,SMALL(IF(P$1:P$500&lt;&gt;"",ROW($1:$500),1000),ROW(P188)))&amp;""</f>
        <v/>
      </c>
      <c r="S188" s="6" t="str">
        <f t="array" ref="S188">INDEX(Q:Q,SMALL(IF(Q$1:Q$500&lt;&gt;"",ROW($1:$500),1000),ROW(Q188)))&amp;""</f>
        <v/>
      </c>
      <c r="X188" s="6"/>
      <c r="AB188" s="6" t="str">
        <f t="array" ref="AB188">INDEX(Z:Z,SMALL(IF(Z$1:Z$500&lt;&gt;"",ROW($1:$500),1000),ROW(Z188)))&amp;""</f>
        <v/>
      </c>
      <c r="AC188" s="6" t="str">
        <f t="array" ref="AC188">INDEX(AA:AA,SMALL(IF(AA$1:AA$500&lt;&gt;"",ROW($1:$500),1000),ROW(AA188)))&amp;""</f>
        <v/>
      </c>
      <c r="AH188" s="6"/>
      <c r="AL188" s="6" t="str">
        <f t="array" ref="AL188">INDEX(AJ:AJ,SMALL(IF(AJ$1:AJ$500&lt;&gt;"",ROW($1:$500),1000),ROW(AJ188)))&amp;""</f>
        <v/>
      </c>
      <c r="AM188" s="6" t="str">
        <f t="array" ref="AM188">INDEX(AK:AK,SMALL(IF(AK$1:AK$500&lt;&gt;"",ROW($1:$500),1000),ROW(AK188)))&amp;""</f>
        <v/>
      </c>
      <c r="AV188" s="6" t="str">
        <f t="array" ref="AV188">INDEX(AT:AT,SMALL(IF(AT$1:AT$500&lt;&gt;"",ROW($1:$500),1000),ROW(AT188)))&amp;""</f>
        <v/>
      </c>
      <c r="AW188" s="6" t="str">
        <f t="array" ref="AW188">INDEX(AU:AU,SMALL(IF(AU$1:AU$500&lt;&gt;"",ROW($1:$500),1000),ROW(AU188)))&amp;""</f>
        <v/>
      </c>
      <c r="BF188" s="6" t="str">
        <f t="array" ref="BF188">INDEX(BD:BD,SMALL(IF(BD$1:BD$500&lt;&gt;"",ROW($1:$500),1000),ROW(BD188)))&amp;""</f>
        <v/>
      </c>
      <c r="BG188" s="6" t="str">
        <f t="array" ref="BG188">INDEX(BE:BE,SMALL(IF(BE$1:BE$500&lt;&gt;"",ROW($1:$500),1000),ROW(BE188)))&amp;""</f>
        <v/>
      </c>
      <c r="BL188" s="6"/>
      <c r="BP188" s="6" t="str">
        <f t="array" ref="BP188">INDEX(BN:BN,SMALL(IF(BN$1:BN$500&lt;&gt;"",ROW($1:$500),1000),ROW(BN188)))&amp;""</f>
        <v/>
      </c>
      <c r="BQ188" s="6" t="str">
        <f t="array" ref="BQ188">INDEX(BO:BO,SMALL(IF(BO$1:BO$500&lt;&gt;"",ROW($1:$500),1000),ROW(BO188)))&amp;""</f>
        <v/>
      </c>
      <c r="BV188" s="6"/>
      <c r="BZ188" s="6" t="str">
        <f t="array" ref="BZ188">INDEX(BX:BX,SMALL(IF(BX$1:BX$500&lt;&gt;"",ROW($1:$500),1000),ROW(BX188)))&amp;""</f>
        <v/>
      </c>
      <c r="CA188" s="6" t="str">
        <f t="array" ref="CA188">INDEX(BY:BY,SMALL(IF(BY$1:BY$500&lt;&gt;"",ROW($1:$500),1000),ROW(BY188)))&amp;""</f>
        <v/>
      </c>
    </row>
    <row r="189" spans="1:79">
      <c r="A189" s="8" t="s">
        <v>2820</v>
      </c>
      <c r="B189" s="8" t="s">
        <v>1576</v>
      </c>
      <c r="C189" s="8" t="s">
        <v>494</v>
      </c>
      <c r="D189" s="9">
        <v>4</v>
      </c>
      <c r="F189" s="8" t="str">
        <f t="shared" si="14"/>
        <v/>
      </c>
      <c r="G189" s="8" t="str">
        <f>IF(AND(VLOOKUP(C189,查询!$C$8:$E$15,3,FALSE)="启用",$B$1=D189),B189,"")</f>
        <v/>
      </c>
      <c r="H189" s="6" t="str">
        <f t="array" ref="H189">INDEX(F:F,SMALL(IF($F$1:$F$500&lt;&gt;"",ROW($1:$500),1000),ROW(F189)))&amp;""</f>
        <v/>
      </c>
      <c r="I189" s="6" t="str">
        <f t="array" ref="I189">INDEX(G:G,SMALL(IF($F$1:$F$500&lt;&gt;"",ROW($1:$500),1000),ROW(G189)))&amp;""</f>
        <v/>
      </c>
      <c r="K189" s="8" t="s">
        <v>3139</v>
      </c>
      <c r="L189" s="8" t="s">
        <v>1737</v>
      </c>
      <c r="M189" s="8" t="s">
        <v>578</v>
      </c>
      <c r="N189" s="9">
        <v>6</v>
      </c>
      <c r="P189" s="8" t="str">
        <f t="shared" si="15"/>
        <v/>
      </c>
      <c r="Q189" s="8" t="str">
        <f>IF(AND(VLOOKUP(M189,查询!$C$8:$E$15,3,FALSE)="启用",$B$1=N189),L189,"")</f>
        <v/>
      </c>
      <c r="R189" s="6" t="str">
        <f t="array" ref="R189">INDEX(P:P,SMALL(IF(P$1:P$500&lt;&gt;"",ROW($1:$500),1000),ROW(P189)))&amp;""</f>
        <v/>
      </c>
      <c r="S189" s="6" t="str">
        <f t="array" ref="S189">INDEX(Q:Q,SMALL(IF(Q$1:Q$500&lt;&gt;"",ROW($1:$500),1000),ROW(Q189)))&amp;""</f>
        <v/>
      </c>
      <c r="X189" s="6"/>
      <c r="AB189" s="6" t="str">
        <f t="array" ref="AB189">INDEX(Z:Z,SMALL(IF(Z$1:Z$500&lt;&gt;"",ROW($1:$500),1000),ROW(Z189)))&amp;""</f>
        <v/>
      </c>
      <c r="AC189" s="6" t="str">
        <f t="array" ref="AC189">INDEX(AA:AA,SMALL(IF(AA$1:AA$500&lt;&gt;"",ROW($1:$500),1000),ROW(AA189)))&amp;""</f>
        <v/>
      </c>
      <c r="AH189" s="6"/>
      <c r="AL189" s="6" t="str">
        <f t="array" ref="AL189">INDEX(AJ:AJ,SMALL(IF(AJ$1:AJ$500&lt;&gt;"",ROW($1:$500),1000),ROW(AJ189)))&amp;""</f>
        <v/>
      </c>
      <c r="AM189" s="6" t="str">
        <f t="array" ref="AM189">INDEX(AK:AK,SMALL(IF(AK$1:AK$500&lt;&gt;"",ROW($1:$500),1000),ROW(AK189)))&amp;""</f>
        <v/>
      </c>
      <c r="AV189" s="6" t="str">
        <f t="array" ref="AV189">INDEX(AT:AT,SMALL(IF(AT$1:AT$500&lt;&gt;"",ROW($1:$500),1000),ROW(AT189)))&amp;""</f>
        <v/>
      </c>
      <c r="AW189" s="6" t="str">
        <f t="array" ref="AW189">INDEX(AU:AU,SMALL(IF(AU$1:AU$500&lt;&gt;"",ROW($1:$500),1000),ROW(AU189)))&amp;""</f>
        <v/>
      </c>
      <c r="BF189" s="6" t="str">
        <f t="array" ref="BF189">INDEX(BD:BD,SMALL(IF(BD$1:BD$500&lt;&gt;"",ROW($1:$500),1000),ROW(BD189)))&amp;""</f>
        <v/>
      </c>
      <c r="BG189" s="6" t="str">
        <f t="array" ref="BG189">INDEX(BE:BE,SMALL(IF(BE$1:BE$500&lt;&gt;"",ROW($1:$500),1000),ROW(BE189)))&amp;""</f>
        <v/>
      </c>
      <c r="BL189" s="6"/>
      <c r="BP189" s="6" t="str">
        <f t="array" ref="BP189">INDEX(BN:BN,SMALL(IF(BN$1:BN$500&lt;&gt;"",ROW($1:$500),1000),ROW(BN189)))&amp;""</f>
        <v/>
      </c>
      <c r="BQ189" s="6" t="str">
        <f t="array" ref="BQ189">INDEX(BO:BO,SMALL(IF(BO$1:BO$500&lt;&gt;"",ROW($1:$500),1000),ROW(BO189)))&amp;""</f>
        <v/>
      </c>
      <c r="BV189" s="6"/>
      <c r="BZ189" s="6" t="str">
        <f t="array" ref="BZ189">INDEX(BX:BX,SMALL(IF(BX$1:BX$500&lt;&gt;"",ROW($1:$500),1000),ROW(BX189)))&amp;""</f>
        <v/>
      </c>
      <c r="CA189" s="6" t="str">
        <f t="array" ref="CA189">INDEX(BY:BY,SMALL(IF(BY$1:BY$500&lt;&gt;"",ROW($1:$500),1000),ROW(BY189)))&amp;""</f>
        <v/>
      </c>
    </row>
    <row r="190" spans="1:79">
      <c r="A190" s="8" t="s">
        <v>2827</v>
      </c>
      <c r="B190" s="8" t="s">
        <v>1601</v>
      </c>
      <c r="C190" s="8" t="s">
        <v>494</v>
      </c>
      <c r="D190" s="9">
        <v>4</v>
      </c>
      <c r="F190" s="8" t="str">
        <f t="shared" si="14"/>
        <v/>
      </c>
      <c r="G190" s="8" t="str">
        <f>IF(AND(VLOOKUP(C190,查询!$C$8:$E$15,3,FALSE)="启用",$B$1=D190),B190,"")</f>
        <v/>
      </c>
      <c r="H190" s="6" t="str">
        <f t="array" ref="H190">INDEX(F:F,SMALL(IF($F$1:$F$500&lt;&gt;"",ROW($1:$500),1000),ROW(F190)))&amp;""</f>
        <v/>
      </c>
      <c r="I190" s="6" t="str">
        <f t="array" ref="I190">INDEX(G:G,SMALL(IF($F$1:$F$500&lt;&gt;"",ROW($1:$500),1000),ROW(G190)))&amp;""</f>
        <v/>
      </c>
      <c r="K190" s="8" t="s">
        <v>3139</v>
      </c>
      <c r="L190" s="8" t="s">
        <v>1336</v>
      </c>
      <c r="M190" s="8" t="s">
        <v>1249</v>
      </c>
      <c r="N190" s="9">
        <v>6</v>
      </c>
      <c r="P190" s="8" t="str">
        <f t="shared" si="15"/>
        <v/>
      </c>
      <c r="Q190" s="8" t="str">
        <f>IF(AND(VLOOKUP(M190,查询!$C$8:$E$15,3,FALSE)="启用",$B$1=N190),L190,"")</f>
        <v/>
      </c>
      <c r="R190" s="6" t="str">
        <f t="array" ref="R190">INDEX(P:P,SMALL(IF(P$1:P$500&lt;&gt;"",ROW($1:$500),1000),ROW(P190)))&amp;""</f>
        <v/>
      </c>
      <c r="S190" s="6" t="str">
        <f t="array" ref="S190">INDEX(Q:Q,SMALL(IF(Q$1:Q$500&lt;&gt;"",ROW($1:$500),1000),ROW(Q190)))&amp;""</f>
        <v/>
      </c>
      <c r="X190" s="6"/>
      <c r="AB190" s="6" t="str">
        <f t="array" ref="AB190">INDEX(Z:Z,SMALL(IF(Z$1:Z$500&lt;&gt;"",ROW($1:$500),1000),ROW(Z190)))&amp;""</f>
        <v/>
      </c>
      <c r="AC190" s="6" t="str">
        <f t="array" ref="AC190">INDEX(AA:AA,SMALL(IF(AA$1:AA$500&lt;&gt;"",ROW($1:$500),1000),ROW(AA190)))&amp;""</f>
        <v/>
      </c>
      <c r="AH190" s="6"/>
      <c r="AL190" s="6" t="str">
        <f t="array" ref="AL190">INDEX(AJ:AJ,SMALL(IF(AJ$1:AJ$500&lt;&gt;"",ROW($1:$500),1000),ROW(AJ190)))&amp;""</f>
        <v/>
      </c>
      <c r="AM190" s="6" t="str">
        <f t="array" ref="AM190">INDEX(AK:AK,SMALL(IF(AK$1:AK$500&lt;&gt;"",ROW($1:$500),1000),ROW(AK190)))&amp;""</f>
        <v/>
      </c>
      <c r="AV190" s="6" t="str">
        <f t="array" ref="AV190">INDEX(AT:AT,SMALL(IF(AT$1:AT$500&lt;&gt;"",ROW($1:$500),1000),ROW(AT190)))&amp;""</f>
        <v/>
      </c>
      <c r="AW190" s="6" t="str">
        <f t="array" ref="AW190">INDEX(AU:AU,SMALL(IF(AU$1:AU$500&lt;&gt;"",ROW($1:$500),1000),ROW(AU190)))&amp;""</f>
        <v/>
      </c>
      <c r="BF190" s="6" t="str">
        <f t="array" ref="BF190">INDEX(BD:BD,SMALL(IF(BD$1:BD$500&lt;&gt;"",ROW($1:$500),1000),ROW(BD190)))&amp;""</f>
        <v/>
      </c>
      <c r="BG190" s="6" t="str">
        <f t="array" ref="BG190">INDEX(BE:BE,SMALL(IF(BE$1:BE$500&lt;&gt;"",ROW($1:$500),1000),ROW(BE190)))&amp;""</f>
        <v/>
      </c>
      <c r="BL190" s="6"/>
      <c r="BP190" s="6" t="str">
        <f t="array" ref="BP190">INDEX(BN:BN,SMALL(IF(BN$1:BN$500&lt;&gt;"",ROW($1:$500),1000),ROW(BN190)))&amp;""</f>
        <v/>
      </c>
      <c r="BQ190" s="6" t="str">
        <f t="array" ref="BQ190">INDEX(BO:BO,SMALL(IF(BO$1:BO$500&lt;&gt;"",ROW($1:$500),1000),ROW(BO190)))&amp;""</f>
        <v/>
      </c>
      <c r="BV190" s="6"/>
      <c r="BZ190" s="6" t="str">
        <f t="array" ref="BZ190">INDEX(BX:BX,SMALL(IF(BX$1:BX$500&lt;&gt;"",ROW($1:$500),1000),ROW(BX190)))&amp;""</f>
        <v/>
      </c>
      <c r="CA190" s="6" t="str">
        <f t="array" ref="CA190">INDEX(BY:BY,SMALL(IF(BY$1:BY$500&lt;&gt;"",ROW($1:$500),1000),ROW(BY190)))&amp;""</f>
        <v/>
      </c>
    </row>
    <row r="191" spans="1:79">
      <c r="A191" s="8" t="s">
        <v>2832</v>
      </c>
      <c r="B191" s="8" t="s">
        <v>1603</v>
      </c>
      <c r="C191" s="8" t="s">
        <v>494</v>
      </c>
      <c r="D191" s="9">
        <v>4</v>
      </c>
      <c r="F191" s="8" t="str">
        <f t="shared" si="14"/>
        <v/>
      </c>
      <c r="G191" s="8" t="str">
        <f>IF(AND(VLOOKUP(C191,查询!$C$8:$E$15,3,FALSE)="启用",$B$1=D191),B191,"")</f>
        <v/>
      </c>
      <c r="H191" s="6" t="str">
        <f t="array" ref="H191">INDEX(F:F,SMALL(IF($F$1:$F$500&lt;&gt;"",ROW($1:$500),1000),ROW(F191)))&amp;""</f>
        <v/>
      </c>
      <c r="I191" s="6" t="str">
        <f t="array" ref="I191">INDEX(G:G,SMALL(IF($F$1:$F$500&lt;&gt;"",ROW($1:$500),1000),ROW(G191)))&amp;""</f>
        <v/>
      </c>
      <c r="K191" s="8" t="s">
        <v>3141</v>
      </c>
      <c r="L191" s="8" t="s">
        <v>1738</v>
      </c>
      <c r="M191" s="8" t="s">
        <v>578</v>
      </c>
      <c r="N191" s="9">
        <v>6</v>
      </c>
      <c r="P191" s="8" t="str">
        <f t="shared" si="15"/>
        <v/>
      </c>
      <c r="Q191" s="8" t="str">
        <f>IF(AND(VLOOKUP(M191,查询!$C$8:$E$15,3,FALSE)="启用",$B$1=N191),L191,"")</f>
        <v/>
      </c>
      <c r="R191" s="6" t="str">
        <f t="array" ref="R191">INDEX(P:P,SMALL(IF(P$1:P$500&lt;&gt;"",ROW($1:$500),1000),ROW(P191)))&amp;""</f>
        <v/>
      </c>
      <c r="S191" s="6" t="str">
        <f t="array" ref="S191">INDEX(Q:Q,SMALL(IF(Q$1:Q$500&lt;&gt;"",ROW($1:$500),1000),ROW(Q191)))&amp;""</f>
        <v/>
      </c>
      <c r="X191" s="6"/>
      <c r="AB191" s="6" t="str">
        <f t="array" ref="AB191">INDEX(Z:Z,SMALL(IF(Z$1:Z$500&lt;&gt;"",ROW($1:$500),1000),ROW(Z191)))&amp;""</f>
        <v/>
      </c>
      <c r="AC191" s="6" t="str">
        <f t="array" ref="AC191">INDEX(AA:AA,SMALL(IF(AA$1:AA$500&lt;&gt;"",ROW($1:$500),1000),ROW(AA191)))&amp;""</f>
        <v/>
      </c>
      <c r="AH191" s="6"/>
      <c r="AL191" s="6" t="str">
        <f t="array" ref="AL191">INDEX(AJ:AJ,SMALL(IF(AJ$1:AJ$500&lt;&gt;"",ROW($1:$500),1000),ROW(AJ191)))&amp;""</f>
        <v/>
      </c>
      <c r="AM191" s="6" t="str">
        <f t="array" ref="AM191">INDEX(AK:AK,SMALL(IF(AK$1:AK$500&lt;&gt;"",ROW($1:$500),1000),ROW(AK191)))&amp;""</f>
        <v/>
      </c>
      <c r="AV191" s="6" t="str">
        <f t="array" ref="AV191">INDEX(AT:AT,SMALL(IF(AT$1:AT$500&lt;&gt;"",ROW($1:$500),1000),ROW(AT191)))&amp;""</f>
        <v/>
      </c>
      <c r="AW191" s="6" t="str">
        <f t="array" ref="AW191">INDEX(AU:AU,SMALL(IF(AU$1:AU$500&lt;&gt;"",ROW($1:$500),1000),ROW(AU191)))&amp;""</f>
        <v/>
      </c>
      <c r="BF191" s="6" t="str">
        <f t="array" ref="BF191">INDEX(BD:BD,SMALL(IF(BD$1:BD$500&lt;&gt;"",ROW($1:$500),1000),ROW(BD191)))&amp;""</f>
        <v/>
      </c>
      <c r="BG191" s="6" t="str">
        <f t="array" ref="BG191">INDEX(BE:BE,SMALL(IF(BE$1:BE$500&lt;&gt;"",ROW($1:$500),1000),ROW(BE191)))&amp;""</f>
        <v/>
      </c>
      <c r="BL191" s="6"/>
      <c r="BP191" s="6" t="str">
        <f t="array" ref="BP191">INDEX(BN:BN,SMALL(IF(BN$1:BN$500&lt;&gt;"",ROW($1:$500),1000),ROW(BN191)))&amp;""</f>
        <v/>
      </c>
      <c r="BQ191" s="6" t="str">
        <f t="array" ref="BQ191">INDEX(BO:BO,SMALL(IF(BO$1:BO$500&lt;&gt;"",ROW($1:$500),1000),ROW(BO191)))&amp;""</f>
        <v/>
      </c>
      <c r="BV191" s="6"/>
      <c r="BZ191" s="6" t="str">
        <f t="array" ref="BZ191">INDEX(BX:BX,SMALL(IF(BX$1:BX$500&lt;&gt;"",ROW($1:$500),1000),ROW(BX191)))&amp;""</f>
        <v/>
      </c>
      <c r="CA191" s="6" t="str">
        <f t="array" ref="CA191">INDEX(BY:BY,SMALL(IF(BY$1:BY$500&lt;&gt;"",ROW($1:$500),1000),ROW(BY191)))&amp;""</f>
        <v/>
      </c>
    </row>
    <row r="192" spans="1:79">
      <c r="A192" s="8" t="s">
        <v>2774</v>
      </c>
      <c r="B192" s="8" t="s">
        <v>1316</v>
      </c>
      <c r="C192" s="8" t="s">
        <v>1249</v>
      </c>
      <c r="D192" s="9">
        <v>4</v>
      </c>
      <c r="F192" s="8" t="str">
        <f t="shared" si="14"/>
        <v/>
      </c>
      <c r="G192" s="8" t="str">
        <f>IF(AND(VLOOKUP(C192,查询!$C$8:$E$15,3,FALSE)="启用",$B$1=D192),B192,"")</f>
        <v/>
      </c>
      <c r="H192" s="6" t="str">
        <f t="array" ref="H192">INDEX(F:F,SMALL(IF($F$1:$F$500&lt;&gt;"",ROW($1:$500),1000),ROW(F192)))&amp;""</f>
        <v/>
      </c>
      <c r="I192" s="6" t="str">
        <f t="array" ref="I192">INDEX(G:G,SMALL(IF($F$1:$F$500&lt;&gt;"",ROW($1:$500),1000),ROW(G192)))&amp;""</f>
        <v/>
      </c>
      <c r="K192" s="8" t="s">
        <v>3141</v>
      </c>
      <c r="L192" s="8" t="s">
        <v>1337</v>
      </c>
      <c r="M192" s="8" t="s">
        <v>1249</v>
      </c>
      <c r="N192" s="9">
        <v>6</v>
      </c>
      <c r="P192" s="8" t="str">
        <f t="shared" si="15"/>
        <v/>
      </c>
      <c r="Q192" s="8" t="str">
        <f>IF(AND(VLOOKUP(M192,查询!$C$8:$E$15,3,FALSE)="启用",$B$1=N192),L192,"")</f>
        <v/>
      </c>
      <c r="R192" s="6" t="str">
        <f t="array" ref="R192">INDEX(P:P,SMALL(IF(P$1:P$500&lt;&gt;"",ROW($1:$500),1000),ROW(P192)))&amp;""</f>
        <v/>
      </c>
      <c r="S192" s="6" t="str">
        <f t="array" ref="S192">INDEX(Q:Q,SMALL(IF(Q$1:Q$500&lt;&gt;"",ROW($1:$500),1000),ROW(Q192)))&amp;""</f>
        <v/>
      </c>
      <c r="X192" s="6"/>
      <c r="AB192" s="6" t="str">
        <f t="array" ref="AB192">INDEX(Z:Z,SMALL(IF(Z$1:Z$500&lt;&gt;"",ROW($1:$500),1000),ROW(Z192)))&amp;""</f>
        <v/>
      </c>
      <c r="AC192" s="6" t="str">
        <f t="array" ref="AC192">INDEX(AA:AA,SMALL(IF(AA$1:AA$500&lt;&gt;"",ROW($1:$500),1000),ROW(AA192)))&amp;""</f>
        <v/>
      </c>
      <c r="AH192" s="6"/>
      <c r="AL192" s="6" t="str">
        <f t="array" ref="AL192">INDEX(AJ:AJ,SMALL(IF(AJ$1:AJ$500&lt;&gt;"",ROW($1:$500),1000),ROW(AJ192)))&amp;""</f>
        <v/>
      </c>
      <c r="AM192" s="6" t="str">
        <f t="array" ref="AM192">INDEX(AK:AK,SMALL(IF(AK$1:AK$500&lt;&gt;"",ROW($1:$500),1000),ROW(AK192)))&amp;""</f>
        <v/>
      </c>
      <c r="AV192" s="6" t="str">
        <f t="array" ref="AV192">INDEX(AT:AT,SMALL(IF(AT$1:AT$500&lt;&gt;"",ROW($1:$500),1000),ROW(AT192)))&amp;""</f>
        <v/>
      </c>
      <c r="AW192" s="6" t="str">
        <f t="array" ref="AW192">INDEX(AU:AU,SMALL(IF(AU$1:AU$500&lt;&gt;"",ROW($1:$500),1000),ROW(AU192)))&amp;""</f>
        <v/>
      </c>
      <c r="BF192" s="6" t="str">
        <f t="array" ref="BF192">INDEX(BD:BD,SMALL(IF(BD$1:BD$500&lt;&gt;"",ROW($1:$500),1000),ROW(BD192)))&amp;""</f>
        <v/>
      </c>
      <c r="BG192" s="6" t="str">
        <f t="array" ref="BG192">INDEX(BE:BE,SMALL(IF(BE$1:BE$500&lt;&gt;"",ROW($1:$500),1000),ROW(BE192)))&amp;""</f>
        <v/>
      </c>
      <c r="BL192" s="6"/>
      <c r="BP192" s="6" t="str">
        <f t="array" ref="BP192">INDEX(BN:BN,SMALL(IF(BN$1:BN$500&lt;&gt;"",ROW($1:$500),1000),ROW(BN192)))&amp;""</f>
        <v/>
      </c>
      <c r="BQ192" s="6" t="str">
        <f t="array" ref="BQ192">INDEX(BO:BO,SMALL(IF(BO$1:BO$500&lt;&gt;"",ROW($1:$500),1000),ROW(BO192)))&amp;""</f>
        <v/>
      </c>
      <c r="BV192" s="6"/>
      <c r="BZ192" s="6" t="str">
        <f t="array" ref="BZ192">INDEX(BX:BX,SMALL(IF(BX$1:BX$500&lt;&gt;"",ROW($1:$500),1000),ROW(BX192)))&amp;""</f>
        <v/>
      </c>
      <c r="CA192" s="6" t="str">
        <f t="array" ref="CA192">INDEX(BY:BY,SMALL(IF(BY$1:BY$500&lt;&gt;"",ROW($1:$500),1000),ROW(BY192)))&amp;""</f>
        <v/>
      </c>
    </row>
    <row r="193" spans="1:79">
      <c r="A193" s="8" t="s">
        <v>2843</v>
      </c>
      <c r="B193" s="8" t="s">
        <v>1639</v>
      </c>
      <c r="C193" s="8" t="s">
        <v>494</v>
      </c>
      <c r="D193" s="9">
        <v>4</v>
      </c>
      <c r="F193" s="8" t="str">
        <f t="shared" si="14"/>
        <v/>
      </c>
      <c r="G193" s="8" t="str">
        <f>IF(AND(VLOOKUP(C193,查询!$C$8:$E$15,3,FALSE)="启用",$B$1=D193),B193,"")</f>
        <v/>
      </c>
      <c r="H193" s="6" t="str">
        <f t="array" ref="H193">INDEX(F:F,SMALL(IF($F$1:$F$500&lt;&gt;"",ROW($1:$500),1000),ROW(F193)))&amp;""</f>
        <v/>
      </c>
      <c r="I193" s="6" t="str">
        <f t="array" ref="I193">INDEX(G:G,SMALL(IF($F$1:$F$500&lt;&gt;"",ROW($1:$500),1000),ROW(G193)))&amp;""</f>
        <v/>
      </c>
      <c r="K193" s="8" t="s">
        <v>3143</v>
      </c>
      <c r="L193" s="8" t="s">
        <v>1739</v>
      </c>
      <c r="M193" s="8" t="s">
        <v>578</v>
      </c>
      <c r="N193" s="9">
        <v>6</v>
      </c>
      <c r="P193" s="8" t="str">
        <f t="shared" si="15"/>
        <v/>
      </c>
      <c r="Q193" s="8" t="str">
        <f>IF(AND(VLOOKUP(M193,查询!$C$8:$E$15,3,FALSE)="启用",$B$1=N193),L193,"")</f>
        <v/>
      </c>
      <c r="R193" s="6" t="str">
        <f t="array" ref="R193">INDEX(P:P,SMALL(IF(P$1:P$500&lt;&gt;"",ROW($1:$500),1000),ROW(P193)))&amp;""</f>
        <v/>
      </c>
      <c r="S193" s="6" t="str">
        <f t="array" ref="S193">INDEX(Q:Q,SMALL(IF(Q$1:Q$500&lt;&gt;"",ROW($1:$500),1000),ROW(Q193)))&amp;""</f>
        <v/>
      </c>
      <c r="X193" s="6"/>
      <c r="AB193" s="6" t="str">
        <f t="array" ref="AB193">INDEX(Z:Z,SMALL(IF(Z$1:Z$500&lt;&gt;"",ROW($1:$500),1000),ROW(Z193)))&amp;""</f>
        <v/>
      </c>
      <c r="AC193" s="6" t="str">
        <f t="array" ref="AC193">INDEX(AA:AA,SMALL(IF(AA$1:AA$500&lt;&gt;"",ROW($1:$500),1000),ROW(AA193)))&amp;""</f>
        <v/>
      </c>
      <c r="AH193" s="6"/>
      <c r="AL193" s="6" t="str">
        <f t="array" ref="AL193">INDEX(AJ:AJ,SMALL(IF(AJ$1:AJ$500&lt;&gt;"",ROW($1:$500),1000),ROW(AJ193)))&amp;""</f>
        <v/>
      </c>
      <c r="AM193" s="6" t="str">
        <f t="array" ref="AM193">INDEX(AK:AK,SMALL(IF(AK$1:AK$500&lt;&gt;"",ROW($1:$500),1000),ROW(AK193)))&amp;""</f>
        <v/>
      </c>
      <c r="AV193" s="6" t="str">
        <f t="array" ref="AV193">INDEX(AT:AT,SMALL(IF(AT$1:AT$500&lt;&gt;"",ROW($1:$500),1000),ROW(AT193)))&amp;""</f>
        <v/>
      </c>
      <c r="AW193" s="6" t="str">
        <f t="array" ref="AW193">INDEX(AU:AU,SMALL(IF(AU$1:AU$500&lt;&gt;"",ROW($1:$500),1000),ROW(AU193)))&amp;""</f>
        <v/>
      </c>
      <c r="BF193" s="6" t="str">
        <f t="array" ref="BF193">INDEX(BD:BD,SMALL(IF(BD$1:BD$500&lt;&gt;"",ROW($1:$500),1000),ROW(BD193)))&amp;""</f>
        <v/>
      </c>
      <c r="BG193" s="6" t="str">
        <f t="array" ref="BG193">INDEX(BE:BE,SMALL(IF(BE$1:BE$500&lt;&gt;"",ROW($1:$500),1000),ROW(BE193)))&amp;""</f>
        <v/>
      </c>
      <c r="BL193" s="6"/>
      <c r="BP193" s="6" t="str">
        <f t="array" ref="BP193">INDEX(BN:BN,SMALL(IF(BN$1:BN$500&lt;&gt;"",ROW($1:$500),1000),ROW(BN193)))&amp;""</f>
        <v/>
      </c>
      <c r="BQ193" s="6" t="str">
        <f t="array" ref="BQ193">INDEX(BO:BO,SMALL(IF(BO$1:BO$500&lt;&gt;"",ROW($1:$500),1000),ROW(BO193)))&amp;""</f>
        <v/>
      </c>
      <c r="BV193" s="6"/>
      <c r="BZ193" s="6" t="str">
        <f t="array" ref="BZ193">INDEX(BX:BX,SMALL(IF(BX$1:BX$500&lt;&gt;"",ROW($1:$500),1000),ROW(BX193)))&amp;""</f>
        <v/>
      </c>
      <c r="CA193" s="6" t="str">
        <f t="array" ref="CA193">INDEX(BY:BY,SMALL(IF(BY$1:BY$500&lt;&gt;"",ROW($1:$500),1000),ROW(BY193)))&amp;""</f>
        <v/>
      </c>
    </row>
    <row r="194" spans="1:79">
      <c r="A194" s="8" t="s">
        <v>2847</v>
      </c>
      <c r="B194" s="8" t="s">
        <v>1645</v>
      </c>
      <c r="C194" s="8" t="s">
        <v>494</v>
      </c>
      <c r="D194" s="9">
        <v>4</v>
      </c>
      <c r="F194" s="8" t="str">
        <f t="shared" ref="F194:F257" si="18">IF(G194="","",A194)</f>
        <v/>
      </c>
      <c r="G194" s="8" t="str">
        <f>IF(AND(VLOOKUP(C194,查询!$C$8:$E$15,3,FALSE)="启用",$B$1=D194),B194,"")</f>
        <v/>
      </c>
      <c r="H194" s="6" t="str">
        <f t="array" ref="H194">INDEX(F:F,SMALL(IF($F$1:$F$500&lt;&gt;"",ROW($1:$500),1000),ROW(F194)))&amp;""</f>
        <v/>
      </c>
      <c r="I194" s="6" t="str">
        <f t="array" ref="I194">INDEX(G:G,SMALL(IF($F$1:$F$500&lt;&gt;"",ROW($1:$500),1000),ROW(G194)))&amp;""</f>
        <v/>
      </c>
      <c r="K194" s="8" t="s">
        <v>3143</v>
      </c>
      <c r="L194" s="8" t="s">
        <v>1338</v>
      </c>
      <c r="M194" s="8" t="s">
        <v>1249</v>
      </c>
      <c r="N194" s="9">
        <v>6</v>
      </c>
      <c r="P194" s="8" t="str">
        <f t="shared" ref="P194:P223" si="19">IF(Q194="","",K194)</f>
        <v/>
      </c>
      <c r="Q194" s="8" t="str">
        <f>IF(AND(VLOOKUP(M194,查询!$C$8:$E$15,3,FALSE)="启用",$B$1=N194),L194,"")</f>
        <v/>
      </c>
      <c r="R194" s="6" t="str">
        <f t="array" ref="R194">INDEX(P:P,SMALL(IF(P$1:P$500&lt;&gt;"",ROW($1:$500),1000),ROW(P194)))&amp;""</f>
        <v/>
      </c>
      <c r="S194" s="6" t="str">
        <f t="array" ref="S194">INDEX(Q:Q,SMALL(IF(Q$1:Q$500&lt;&gt;"",ROW($1:$500),1000),ROW(Q194)))&amp;""</f>
        <v/>
      </c>
      <c r="X194" s="6"/>
      <c r="AB194" s="6" t="str">
        <f t="array" ref="AB194">INDEX(Z:Z,SMALL(IF(Z$1:Z$500&lt;&gt;"",ROW($1:$500),1000),ROW(Z194)))&amp;""</f>
        <v/>
      </c>
      <c r="AC194" s="6" t="str">
        <f t="array" ref="AC194">INDEX(AA:AA,SMALL(IF(AA$1:AA$500&lt;&gt;"",ROW($1:$500),1000),ROW(AA194)))&amp;""</f>
        <v/>
      </c>
      <c r="AH194" s="6"/>
      <c r="AL194" s="6" t="str">
        <f t="array" ref="AL194">INDEX(AJ:AJ,SMALL(IF(AJ$1:AJ$500&lt;&gt;"",ROW($1:$500),1000),ROW(AJ194)))&amp;""</f>
        <v/>
      </c>
      <c r="AM194" s="6" t="str">
        <f t="array" ref="AM194">INDEX(AK:AK,SMALL(IF(AK$1:AK$500&lt;&gt;"",ROW($1:$500),1000),ROW(AK194)))&amp;""</f>
        <v/>
      </c>
      <c r="AV194" s="6" t="str">
        <f t="array" ref="AV194">INDEX(AT:AT,SMALL(IF(AT$1:AT$500&lt;&gt;"",ROW($1:$500),1000),ROW(AT194)))&amp;""</f>
        <v/>
      </c>
      <c r="AW194" s="6" t="str">
        <f t="array" ref="AW194">INDEX(AU:AU,SMALL(IF(AU$1:AU$500&lt;&gt;"",ROW($1:$500),1000),ROW(AU194)))&amp;""</f>
        <v/>
      </c>
      <c r="BF194" s="6" t="str">
        <f t="array" ref="BF194">INDEX(BD:BD,SMALL(IF(BD$1:BD$500&lt;&gt;"",ROW($1:$500),1000),ROW(BD194)))&amp;""</f>
        <v/>
      </c>
      <c r="BG194" s="6" t="str">
        <f t="array" ref="BG194">INDEX(BE:BE,SMALL(IF(BE$1:BE$500&lt;&gt;"",ROW($1:$500),1000),ROW(BE194)))&amp;""</f>
        <v/>
      </c>
      <c r="BL194" s="6"/>
      <c r="BP194" s="6" t="str">
        <f t="array" ref="BP194">INDEX(BN:BN,SMALL(IF(BN$1:BN$500&lt;&gt;"",ROW($1:$500),1000),ROW(BN194)))&amp;""</f>
        <v/>
      </c>
      <c r="BQ194" s="6" t="str">
        <f t="array" ref="BQ194">INDEX(BO:BO,SMALL(IF(BO$1:BO$500&lt;&gt;"",ROW($1:$500),1000),ROW(BO194)))&amp;""</f>
        <v/>
      </c>
      <c r="BV194" s="6"/>
      <c r="BZ194" s="6" t="str">
        <f t="array" ref="BZ194">INDEX(BX:BX,SMALL(IF(BX$1:BX$500&lt;&gt;"",ROW($1:$500),1000),ROW(BX194)))&amp;""</f>
        <v/>
      </c>
      <c r="CA194" s="6" t="str">
        <f t="array" ref="CA194">INDEX(BY:BY,SMALL(IF(BY$1:BY$500&lt;&gt;"",ROW($1:$500),1000),ROW(BY194)))&amp;""</f>
        <v/>
      </c>
    </row>
    <row r="195" spans="1:79">
      <c r="A195" s="8" t="s">
        <v>2852</v>
      </c>
      <c r="B195" s="8" t="s">
        <v>1646</v>
      </c>
      <c r="C195" s="8" t="s">
        <v>494</v>
      </c>
      <c r="D195" s="9">
        <v>4</v>
      </c>
      <c r="F195" s="8" t="str">
        <f t="shared" si="18"/>
        <v/>
      </c>
      <c r="G195" s="8" t="str">
        <f>IF(AND(VLOOKUP(C195,查询!$C$8:$E$15,3,FALSE)="启用",$B$1=D195),B195,"")</f>
        <v/>
      </c>
      <c r="H195" s="6" t="str">
        <f t="array" ref="H195">INDEX(F:F,SMALL(IF($F$1:$F$500&lt;&gt;"",ROW($1:$500),1000),ROW(F195)))&amp;""</f>
        <v/>
      </c>
      <c r="I195" s="6" t="str">
        <f t="array" ref="I195">INDEX(G:G,SMALL(IF($F$1:$F$500&lt;&gt;"",ROW($1:$500),1000),ROW(G195)))&amp;""</f>
        <v/>
      </c>
      <c r="K195" s="8" t="s">
        <v>3254</v>
      </c>
      <c r="L195" s="8" t="s">
        <v>1695</v>
      </c>
      <c r="M195" s="8" t="s">
        <v>494</v>
      </c>
      <c r="N195" s="9">
        <v>6</v>
      </c>
      <c r="P195" s="8" t="str">
        <f t="shared" si="19"/>
        <v/>
      </c>
      <c r="Q195" s="8" t="str">
        <f>IF(AND(VLOOKUP(M195,查询!$C$8:$E$15,3,FALSE)="启用",$B$1=N195),L195,"")</f>
        <v/>
      </c>
      <c r="R195" s="6" t="str">
        <f t="array" ref="R195">INDEX(P:P,SMALL(IF(P$1:P$500&lt;&gt;"",ROW($1:$500),1000),ROW(P195)))&amp;""</f>
        <v/>
      </c>
      <c r="S195" s="6" t="str">
        <f t="array" ref="S195">INDEX(Q:Q,SMALL(IF(Q$1:Q$500&lt;&gt;"",ROW($1:$500),1000),ROW(Q195)))&amp;""</f>
        <v/>
      </c>
      <c r="X195" s="6"/>
      <c r="AB195" s="6" t="str">
        <f t="array" ref="AB195">INDEX(Z:Z,SMALL(IF(Z$1:Z$500&lt;&gt;"",ROW($1:$500),1000),ROW(Z195)))&amp;""</f>
        <v/>
      </c>
      <c r="AC195" s="6" t="str">
        <f t="array" ref="AC195">INDEX(AA:AA,SMALL(IF(AA$1:AA$500&lt;&gt;"",ROW($1:$500),1000),ROW(AA195)))&amp;""</f>
        <v/>
      </c>
      <c r="AH195" s="6"/>
      <c r="AL195" s="6" t="str">
        <f t="array" ref="AL195">INDEX(AJ:AJ,SMALL(IF(AJ$1:AJ$500&lt;&gt;"",ROW($1:$500),1000),ROW(AJ195)))&amp;""</f>
        <v/>
      </c>
      <c r="AM195" s="6" t="str">
        <f t="array" ref="AM195">INDEX(AK:AK,SMALL(IF(AK$1:AK$500&lt;&gt;"",ROW($1:$500),1000),ROW(AK195)))&amp;""</f>
        <v/>
      </c>
      <c r="AV195" s="6" t="str">
        <f t="array" ref="AV195">INDEX(AT:AT,SMALL(IF(AT$1:AT$500&lt;&gt;"",ROW($1:$500),1000),ROW(AT195)))&amp;""</f>
        <v/>
      </c>
      <c r="AW195" s="6" t="str">
        <f t="array" ref="AW195">INDEX(AU:AU,SMALL(IF(AU$1:AU$500&lt;&gt;"",ROW($1:$500),1000),ROW(AU195)))&amp;""</f>
        <v/>
      </c>
      <c r="BF195" s="6" t="str">
        <f t="array" ref="BF195">INDEX(BD:BD,SMALL(IF(BD$1:BD$500&lt;&gt;"",ROW($1:$500),1000),ROW(BD195)))&amp;""</f>
        <v/>
      </c>
      <c r="BG195" s="6" t="str">
        <f t="array" ref="BG195">INDEX(BE:BE,SMALL(IF(BE$1:BE$500&lt;&gt;"",ROW($1:$500),1000),ROW(BE195)))&amp;""</f>
        <v/>
      </c>
      <c r="BL195" s="6"/>
      <c r="BP195" s="6" t="str">
        <f t="array" ref="BP195">INDEX(BN:BN,SMALL(IF(BN$1:BN$500&lt;&gt;"",ROW($1:$500),1000),ROW(BN195)))&amp;""</f>
        <v/>
      </c>
      <c r="BQ195" s="6" t="str">
        <f t="array" ref="BQ195">INDEX(BO:BO,SMALL(IF(BO$1:BO$500&lt;&gt;"",ROW($1:$500),1000),ROW(BO195)))&amp;""</f>
        <v/>
      </c>
      <c r="BV195" s="6"/>
      <c r="BZ195" s="6" t="str">
        <f t="array" ref="BZ195">INDEX(BX:BX,SMALL(IF(BX$1:BX$500&lt;&gt;"",ROW($1:$500),1000),ROW(BX195)))&amp;""</f>
        <v/>
      </c>
      <c r="CA195" s="6" t="str">
        <f t="array" ref="CA195">INDEX(BY:BY,SMALL(IF(BY$1:BY$500&lt;&gt;"",ROW($1:$500),1000),ROW(BY195)))&amp;""</f>
        <v/>
      </c>
    </row>
    <row r="196" spans="1:79">
      <c r="A196" s="8" t="s">
        <v>2854</v>
      </c>
      <c r="B196" s="8" t="s">
        <v>1648</v>
      </c>
      <c r="C196" s="8" t="s">
        <v>494</v>
      </c>
      <c r="D196" s="9">
        <v>4</v>
      </c>
      <c r="F196" s="8" t="str">
        <f t="shared" si="18"/>
        <v/>
      </c>
      <c r="G196" s="8" t="str">
        <f>IF(AND(VLOOKUP(C196,查询!$C$8:$E$15,3,FALSE)="启用",$B$1=D196),B196,"")</f>
        <v/>
      </c>
      <c r="H196" s="6" t="str">
        <f t="array" ref="H196">INDEX(F:F,SMALL(IF($F$1:$F$500&lt;&gt;"",ROW($1:$500),1000),ROW(F196)))&amp;""</f>
        <v/>
      </c>
      <c r="I196" s="6" t="str">
        <f t="array" ref="I196">INDEX(G:G,SMALL(IF($F$1:$F$500&lt;&gt;"",ROW($1:$500),1000),ROW(G196)))&amp;""</f>
        <v/>
      </c>
      <c r="K196" s="8" t="s">
        <v>3259</v>
      </c>
      <c r="L196" s="8" t="s">
        <v>1697</v>
      </c>
      <c r="M196" s="8" t="s">
        <v>494</v>
      </c>
      <c r="N196" s="9">
        <v>6</v>
      </c>
      <c r="P196" s="8" t="str">
        <f t="shared" si="19"/>
        <v/>
      </c>
      <c r="Q196" s="8" t="str">
        <f>IF(AND(VLOOKUP(M196,查询!$C$8:$E$15,3,FALSE)="启用",$B$1=N196),L196,"")</f>
        <v/>
      </c>
      <c r="R196" s="6" t="str">
        <f t="array" ref="R196">INDEX(P:P,SMALL(IF(P$1:P$500&lt;&gt;"",ROW($1:$500),1000),ROW(P196)))&amp;""</f>
        <v/>
      </c>
      <c r="S196" s="6" t="str">
        <f t="array" ref="S196">INDEX(Q:Q,SMALL(IF(Q$1:Q$500&lt;&gt;"",ROW($1:$500),1000),ROW(Q196)))&amp;""</f>
        <v/>
      </c>
      <c r="X196" s="6"/>
      <c r="AB196" s="6" t="str">
        <f t="array" ref="AB196">INDEX(Z:Z,SMALL(IF(Z$1:Z$500&lt;&gt;"",ROW($1:$500),1000),ROW(Z196)))&amp;""</f>
        <v/>
      </c>
      <c r="AC196" s="6" t="str">
        <f t="array" ref="AC196">INDEX(AA:AA,SMALL(IF(AA$1:AA$500&lt;&gt;"",ROW($1:$500),1000),ROW(AA196)))&amp;""</f>
        <v/>
      </c>
      <c r="AH196" s="6"/>
      <c r="AL196" s="6" t="str">
        <f t="array" ref="AL196">INDEX(AJ:AJ,SMALL(IF(AJ$1:AJ$500&lt;&gt;"",ROW($1:$500),1000),ROW(AJ196)))&amp;""</f>
        <v/>
      </c>
      <c r="AM196" s="6" t="str">
        <f t="array" ref="AM196">INDEX(AK:AK,SMALL(IF(AK$1:AK$500&lt;&gt;"",ROW($1:$500),1000),ROW(AK196)))&amp;""</f>
        <v/>
      </c>
      <c r="AV196" s="6" t="str">
        <f t="array" ref="AV196">INDEX(AT:AT,SMALL(IF(AT$1:AT$500&lt;&gt;"",ROW($1:$500),1000),ROW(AT196)))&amp;""</f>
        <v/>
      </c>
      <c r="AW196" s="6" t="str">
        <f t="array" ref="AW196">INDEX(AU:AU,SMALL(IF(AU$1:AU$500&lt;&gt;"",ROW($1:$500),1000),ROW(AU196)))&amp;""</f>
        <v/>
      </c>
      <c r="BF196" s="6" t="str">
        <f t="array" ref="BF196">INDEX(BD:BD,SMALL(IF(BD$1:BD$500&lt;&gt;"",ROW($1:$500),1000),ROW(BD196)))&amp;""</f>
        <v/>
      </c>
      <c r="BG196" s="6" t="str">
        <f t="array" ref="BG196">INDEX(BE:BE,SMALL(IF(BE$1:BE$500&lt;&gt;"",ROW($1:$500),1000),ROW(BE196)))&amp;""</f>
        <v/>
      </c>
      <c r="BL196" s="6"/>
      <c r="BP196" s="6" t="str">
        <f t="array" ref="BP196">INDEX(BN:BN,SMALL(IF(BN$1:BN$500&lt;&gt;"",ROW($1:$500),1000),ROW(BN196)))&amp;""</f>
        <v/>
      </c>
      <c r="BQ196" s="6" t="str">
        <f t="array" ref="BQ196">INDEX(BO:BO,SMALL(IF(BO$1:BO$500&lt;&gt;"",ROW($1:$500),1000),ROW(BO196)))&amp;""</f>
        <v/>
      </c>
      <c r="BV196" s="6"/>
      <c r="BZ196" s="6" t="str">
        <f t="array" ref="BZ196">INDEX(BX:BX,SMALL(IF(BX$1:BX$500&lt;&gt;"",ROW($1:$500),1000),ROW(BX196)))&amp;""</f>
        <v/>
      </c>
      <c r="CA196" s="6" t="str">
        <f t="array" ref="CA196">INDEX(BY:BY,SMALL(IF(BY$1:BY$500&lt;&gt;"",ROW($1:$500),1000),ROW(BY196)))&amp;""</f>
        <v/>
      </c>
    </row>
    <row r="197" spans="1:79">
      <c r="A197" s="8" t="s">
        <v>2858</v>
      </c>
      <c r="B197" s="8" t="s">
        <v>1651</v>
      </c>
      <c r="C197" s="8" t="s">
        <v>494</v>
      </c>
      <c r="D197" s="9">
        <v>4</v>
      </c>
      <c r="F197" s="8" t="str">
        <f t="shared" si="18"/>
        <v/>
      </c>
      <c r="G197" s="8" t="str">
        <f>IF(AND(VLOOKUP(C197,查询!$C$8:$E$15,3,FALSE)="启用",$B$1=D197),B197,"")</f>
        <v/>
      </c>
      <c r="H197" s="6" t="str">
        <f t="array" ref="H197">INDEX(F:F,SMALL(IF($F$1:$F$500&lt;&gt;"",ROW($1:$500),1000),ROW(F197)))&amp;""</f>
        <v/>
      </c>
      <c r="I197" s="6" t="str">
        <f t="array" ref="I197">INDEX(G:G,SMALL(IF($F$1:$F$500&lt;&gt;"",ROW($1:$500),1000),ROW(G197)))&amp;""</f>
        <v/>
      </c>
      <c r="K197" s="8" t="s">
        <v>3284</v>
      </c>
      <c r="L197" s="8" t="s">
        <v>1267</v>
      </c>
      <c r="M197" s="8" t="s">
        <v>1249</v>
      </c>
      <c r="N197" s="9">
        <v>7</v>
      </c>
      <c r="P197" s="8" t="str">
        <f t="shared" si="19"/>
        <v/>
      </c>
      <c r="Q197" s="8" t="str">
        <f>IF(AND(VLOOKUP(M197,查询!$C$8:$E$15,3,FALSE)="启用",$B$1=N197),L197,"")</f>
        <v/>
      </c>
      <c r="R197" s="6" t="str">
        <f t="array" ref="R197">INDEX(P:P,SMALL(IF(P$1:P$500&lt;&gt;"",ROW($1:$500),1000),ROW(P197)))&amp;""</f>
        <v/>
      </c>
      <c r="S197" s="6" t="str">
        <f t="array" ref="S197">INDEX(Q:Q,SMALL(IF(Q$1:Q$500&lt;&gt;"",ROW($1:$500),1000),ROW(Q197)))&amp;""</f>
        <v/>
      </c>
      <c r="X197" s="6"/>
      <c r="AB197" s="6" t="str">
        <f t="array" ref="AB197">INDEX(Z:Z,SMALL(IF(Z$1:Z$500&lt;&gt;"",ROW($1:$500),1000),ROW(Z197)))&amp;""</f>
        <v/>
      </c>
      <c r="AC197" s="6" t="str">
        <f t="array" ref="AC197">INDEX(AA:AA,SMALL(IF(AA$1:AA$500&lt;&gt;"",ROW($1:$500),1000),ROW(AA197)))&amp;""</f>
        <v/>
      </c>
      <c r="AH197" s="6"/>
      <c r="AL197" s="6" t="str">
        <f t="array" ref="AL197">INDEX(AJ:AJ,SMALL(IF(AJ$1:AJ$500&lt;&gt;"",ROW($1:$500),1000),ROW(AJ197)))&amp;""</f>
        <v/>
      </c>
      <c r="AM197" s="6" t="str">
        <f t="array" ref="AM197">INDEX(AK:AK,SMALL(IF(AK$1:AK$500&lt;&gt;"",ROW($1:$500),1000),ROW(AK197)))&amp;""</f>
        <v/>
      </c>
      <c r="AV197" s="6" t="str">
        <f t="array" ref="AV197">INDEX(AT:AT,SMALL(IF(AT$1:AT$500&lt;&gt;"",ROW($1:$500),1000),ROW(AT197)))&amp;""</f>
        <v/>
      </c>
      <c r="AW197" s="6" t="str">
        <f t="array" ref="AW197">INDEX(AU:AU,SMALL(IF(AU$1:AU$500&lt;&gt;"",ROW($1:$500),1000),ROW(AU197)))&amp;""</f>
        <v/>
      </c>
      <c r="BF197" s="6" t="str">
        <f t="array" ref="BF197">INDEX(BD:BD,SMALL(IF(BD$1:BD$500&lt;&gt;"",ROW($1:$500),1000),ROW(BD197)))&amp;""</f>
        <v/>
      </c>
      <c r="BG197" s="6" t="str">
        <f t="array" ref="BG197">INDEX(BE:BE,SMALL(IF(BE$1:BE$500&lt;&gt;"",ROW($1:$500),1000),ROW(BE197)))&amp;""</f>
        <v/>
      </c>
      <c r="BL197" s="6"/>
      <c r="BP197" s="6" t="str">
        <f t="array" ref="BP197">INDEX(BN:BN,SMALL(IF(BN$1:BN$500&lt;&gt;"",ROW($1:$500),1000),ROW(BN197)))&amp;""</f>
        <v/>
      </c>
      <c r="BQ197" s="6" t="str">
        <f t="array" ref="BQ197">INDEX(BO:BO,SMALL(IF(BO$1:BO$500&lt;&gt;"",ROW($1:$500),1000),ROW(BO197)))&amp;""</f>
        <v/>
      </c>
      <c r="BV197" s="6"/>
      <c r="BZ197" s="6" t="str">
        <f t="array" ref="BZ197">INDEX(BX:BX,SMALL(IF(BX$1:BX$500&lt;&gt;"",ROW($1:$500),1000),ROW(BX197)))&amp;""</f>
        <v/>
      </c>
      <c r="CA197" s="6" t="str">
        <f t="array" ref="CA197">INDEX(BY:BY,SMALL(IF(BY$1:BY$500&lt;&gt;"",ROW($1:$500),1000),ROW(BY197)))&amp;""</f>
        <v/>
      </c>
    </row>
    <row r="198" spans="1:79">
      <c r="A198" s="8" t="s">
        <v>2862</v>
      </c>
      <c r="B198" s="8" t="s">
        <v>1655</v>
      </c>
      <c r="C198" s="8" t="s">
        <v>494</v>
      </c>
      <c r="D198" s="9">
        <v>4</v>
      </c>
      <c r="F198" s="8" t="str">
        <f t="shared" si="18"/>
        <v/>
      </c>
      <c r="G198" s="8" t="str">
        <f>IF(AND(VLOOKUP(C198,查询!$C$8:$E$15,3,FALSE)="启用",$B$1=D198),B198,"")</f>
        <v/>
      </c>
      <c r="H198" s="6" t="str">
        <f t="array" ref="H198">INDEX(F:F,SMALL(IF($F$1:$F$500&lt;&gt;"",ROW($1:$500),1000),ROW(F198)))&amp;""</f>
        <v/>
      </c>
      <c r="I198" s="6" t="str">
        <f t="array" ref="I198">INDEX(G:G,SMALL(IF($F$1:$F$500&lt;&gt;"",ROW($1:$500),1000),ROW(G198)))&amp;""</f>
        <v/>
      </c>
      <c r="K198" s="8" t="s">
        <v>3287</v>
      </c>
      <c r="L198" s="8" t="s">
        <v>1272</v>
      </c>
      <c r="M198" s="8" t="s">
        <v>1249</v>
      </c>
      <c r="N198" s="9">
        <v>7</v>
      </c>
      <c r="P198" s="8" t="str">
        <f t="shared" si="19"/>
        <v/>
      </c>
      <c r="Q198" s="8" t="str">
        <f>IF(AND(VLOOKUP(M198,查询!$C$8:$E$15,3,FALSE)="启用",$B$1=N198),L198,"")</f>
        <v/>
      </c>
      <c r="R198" s="6" t="str">
        <f t="array" ref="R198">INDEX(P:P,SMALL(IF(P$1:P$500&lt;&gt;"",ROW($1:$500),1000),ROW(P198)))&amp;""</f>
        <v/>
      </c>
      <c r="S198" s="6" t="str">
        <f t="array" ref="S198">INDEX(Q:Q,SMALL(IF(Q$1:Q$500&lt;&gt;"",ROW($1:$500),1000),ROW(Q198)))&amp;""</f>
        <v/>
      </c>
      <c r="X198" s="6"/>
      <c r="AB198" s="6" t="str">
        <f t="array" ref="AB198">INDEX(Z:Z,SMALL(IF(Z$1:Z$500&lt;&gt;"",ROW($1:$500),1000),ROW(Z198)))&amp;""</f>
        <v/>
      </c>
      <c r="AC198" s="6" t="str">
        <f t="array" ref="AC198">INDEX(AA:AA,SMALL(IF(AA$1:AA$500&lt;&gt;"",ROW($1:$500),1000),ROW(AA198)))&amp;""</f>
        <v/>
      </c>
      <c r="AH198" s="6"/>
      <c r="AL198" s="6" t="str">
        <f t="array" ref="AL198">INDEX(AJ:AJ,SMALL(IF(AJ$1:AJ$500&lt;&gt;"",ROW($1:$500),1000),ROW(AJ198)))&amp;""</f>
        <v/>
      </c>
      <c r="AM198" s="6" t="str">
        <f t="array" ref="AM198">INDEX(AK:AK,SMALL(IF(AK$1:AK$500&lt;&gt;"",ROW($1:$500),1000),ROW(AK198)))&amp;""</f>
        <v/>
      </c>
      <c r="AV198" s="6" t="str">
        <f t="array" ref="AV198">INDEX(AT:AT,SMALL(IF(AT$1:AT$500&lt;&gt;"",ROW($1:$500),1000),ROW(AT198)))&amp;""</f>
        <v/>
      </c>
      <c r="AW198" s="6" t="str">
        <f t="array" ref="AW198">INDEX(AU:AU,SMALL(IF(AU$1:AU$500&lt;&gt;"",ROW($1:$500),1000),ROW(AU198)))&amp;""</f>
        <v/>
      </c>
      <c r="BF198" s="6" t="str">
        <f t="array" ref="BF198">INDEX(BD:BD,SMALL(IF(BD$1:BD$500&lt;&gt;"",ROW($1:$500),1000),ROW(BD198)))&amp;""</f>
        <v/>
      </c>
      <c r="BG198" s="6" t="str">
        <f t="array" ref="BG198">INDEX(BE:BE,SMALL(IF(BE$1:BE$500&lt;&gt;"",ROW($1:$500),1000),ROW(BE198)))&amp;""</f>
        <v/>
      </c>
      <c r="BL198" s="6"/>
      <c r="BP198" s="6" t="str">
        <f t="array" ref="BP198">INDEX(BN:BN,SMALL(IF(BN$1:BN$500&lt;&gt;"",ROW($1:$500),1000),ROW(BN198)))&amp;""</f>
        <v/>
      </c>
      <c r="BQ198" s="6" t="str">
        <f t="array" ref="BQ198">INDEX(BO:BO,SMALL(IF(BO$1:BO$500&lt;&gt;"",ROW($1:$500),1000),ROW(BO198)))&amp;""</f>
        <v/>
      </c>
      <c r="BV198" s="6"/>
      <c r="BZ198" s="6" t="str">
        <f t="array" ref="BZ198">INDEX(BX:BX,SMALL(IF(BX$1:BX$500&lt;&gt;"",ROW($1:$500),1000),ROW(BX198)))&amp;""</f>
        <v/>
      </c>
      <c r="CA198" s="6" t="str">
        <f t="array" ref="CA198">INDEX(BY:BY,SMALL(IF(BY$1:BY$500&lt;&gt;"",ROW($1:$500),1000),ROW(BY198)))&amp;""</f>
        <v/>
      </c>
    </row>
    <row r="199" spans="1:79">
      <c r="A199" s="8" t="s">
        <v>2866</v>
      </c>
      <c r="B199" s="8" t="s">
        <v>1656</v>
      </c>
      <c r="C199" s="8" t="s">
        <v>494</v>
      </c>
      <c r="D199" s="9">
        <v>4</v>
      </c>
      <c r="F199" s="8" t="str">
        <f t="shared" si="18"/>
        <v/>
      </c>
      <c r="G199" s="8" t="str">
        <f>IF(AND(VLOOKUP(C199,查询!$C$8:$E$15,3,FALSE)="启用",$B$1=D199),B199,"")</f>
        <v/>
      </c>
      <c r="H199" s="6" t="str">
        <f t="array" ref="H199">INDEX(F:F,SMALL(IF($F$1:$F$500&lt;&gt;"",ROW($1:$500),1000),ROW(F199)))&amp;""</f>
        <v/>
      </c>
      <c r="I199" s="6" t="str">
        <f t="array" ref="I199">INDEX(G:G,SMALL(IF($F$1:$F$500&lt;&gt;"",ROW($1:$500),1000),ROW(G199)))&amp;""</f>
        <v/>
      </c>
      <c r="K199" s="8" t="s">
        <v>3299</v>
      </c>
      <c r="L199" s="8" t="s">
        <v>1392</v>
      </c>
      <c r="M199" s="8" t="s">
        <v>494</v>
      </c>
      <c r="N199" s="9">
        <v>7</v>
      </c>
      <c r="P199" s="8" t="str">
        <f t="shared" si="19"/>
        <v/>
      </c>
      <c r="Q199" s="8" t="str">
        <f>IF(AND(VLOOKUP(M199,查询!$C$8:$E$15,3,FALSE)="启用",$B$1=N199),L199,"")</f>
        <v/>
      </c>
      <c r="R199" s="6" t="str">
        <f t="array" ref="R199">INDEX(P:P,SMALL(IF(P$1:P$500&lt;&gt;"",ROW($1:$500),1000),ROW(P199)))&amp;""</f>
        <v/>
      </c>
      <c r="S199" s="6" t="str">
        <f t="array" ref="S199">INDEX(Q:Q,SMALL(IF(Q$1:Q$500&lt;&gt;"",ROW($1:$500),1000),ROW(Q199)))&amp;""</f>
        <v/>
      </c>
      <c r="X199" s="6"/>
      <c r="AB199" s="6" t="str">
        <f t="array" ref="AB199">INDEX(Z:Z,SMALL(IF(Z$1:Z$500&lt;&gt;"",ROW($1:$500),1000),ROW(Z199)))&amp;""</f>
        <v/>
      </c>
      <c r="AC199" s="6" t="str">
        <f t="array" ref="AC199">INDEX(AA:AA,SMALL(IF(AA$1:AA$500&lt;&gt;"",ROW($1:$500),1000),ROW(AA199)))&amp;""</f>
        <v/>
      </c>
      <c r="AH199" s="6"/>
      <c r="AL199" s="6" t="str">
        <f t="array" ref="AL199">INDEX(AJ:AJ,SMALL(IF(AJ$1:AJ$500&lt;&gt;"",ROW($1:$500),1000),ROW(AJ199)))&amp;""</f>
        <v/>
      </c>
      <c r="AM199" s="6" t="str">
        <f t="array" ref="AM199">INDEX(AK:AK,SMALL(IF(AK$1:AK$500&lt;&gt;"",ROW($1:$500),1000),ROW(AK199)))&amp;""</f>
        <v/>
      </c>
      <c r="AV199" s="6" t="str">
        <f t="array" ref="AV199">INDEX(AT:AT,SMALL(IF(AT$1:AT$500&lt;&gt;"",ROW($1:$500),1000),ROW(AT199)))&amp;""</f>
        <v/>
      </c>
      <c r="AW199" s="6" t="str">
        <f t="array" ref="AW199">INDEX(AU:AU,SMALL(IF(AU$1:AU$500&lt;&gt;"",ROW($1:$500),1000),ROW(AU199)))&amp;""</f>
        <v/>
      </c>
      <c r="BF199" s="6" t="str">
        <f t="array" ref="BF199">INDEX(BD:BD,SMALL(IF(BD$1:BD$500&lt;&gt;"",ROW($1:$500),1000),ROW(BD199)))&amp;""</f>
        <v/>
      </c>
      <c r="BG199" s="6" t="str">
        <f t="array" ref="BG199">INDEX(BE:BE,SMALL(IF(BE$1:BE$500&lt;&gt;"",ROW($1:$500),1000),ROW(BE199)))&amp;""</f>
        <v/>
      </c>
      <c r="BL199" s="6"/>
      <c r="BP199" s="6" t="str">
        <f t="array" ref="BP199">INDEX(BN:BN,SMALL(IF(BN$1:BN$500&lt;&gt;"",ROW($1:$500),1000),ROW(BN199)))&amp;""</f>
        <v/>
      </c>
      <c r="BQ199" s="6" t="str">
        <f t="array" ref="BQ199">INDEX(BO:BO,SMALL(IF(BO$1:BO$500&lt;&gt;"",ROW($1:$500),1000),ROW(BO199)))&amp;""</f>
        <v/>
      </c>
      <c r="BV199" s="6"/>
      <c r="BZ199" s="6" t="str">
        <f t="array" ref="BZ199">INDEX(BX:BX,SMALL(IF(BX$1:BX$500&lt;&gt;"",ROW($1:$500),1000),ROW(BX199)))&amp;""</f>
        <v/>
      </c>
      <c r="CA199" s="6" t="str">
        <f t="array" ref="CA199">INDEX(BY:BY,SMALL(IF(BY$1:BY$500&lt;&gt;"",ROW($1:$500),1000),ROW(BY199)))&amp;""</f>
        <v/>
      </c>
    </row>
    <row r="200" spans="1:79">
      <c r="A200" s="8" t="s">
        <v>2870</v>
      </c>
      <c r="B200" s="8" t="s">
        <v>1659</v>
      </c>
      <c r="C200" s="8" t="s">
        <v>494</v>
      </c>
      <c r="D200" s="9">
        <v>4</v>
      </c>
      <c r="F200" s="8" t="str">
        <f t="shared" si="18"/>
        <v/>
      </c>
      <c r="G200" s="8" t="str">
        <f>IF(AND(VLOOKUP(C200,查询!$C$8:$E$15,3,FALSE)="启用",$B$1=D200),B200,"")</f>
        <v/>
      </c>
      <c r="H200" s="6" t="str">
        <f t="array" ref="H200">INDEX(F:F,SMALL(IF($F$1:$F$500&lt;&gt;"",ROW($1:$500),1000),ROW(F200)))&amp;""</f>
        <v/>
      </c>
      <c r="I200" s="6" t="str">
        <f t="array" ref="I200">INDEX(G:G,SMALL(IF($F$1:$F$500&lt;&gt;"",ROW($1:$500),1000),ROW(G200)))&amp;""</f>
        <v/>
      </c>
      <c r="K200" s="8" t="s">
        <v>3302</v>
      </c>
      <c r="L200" s="8" t="s">
        <v>1409</v>
      </c>
      <c r="M200" s="8" t="s">
        <v>494</v>
      </c>
      <c r="N200" s="9">
        <v>7</v>
      </c>
      <c r="P200" s="8" t="str">
        <f t="shared" si="19"/>
        <v/>
      </c>
      <c r="Q200" s="8" t="str">
        <f>IF(AND(VLOOKUP(M200,查询!$C$8:$E$15,3,FALSE)="启用",$B$1=N200),L200,"")</f>
        <v/>
      </c>
      <c r="R200" s="6" t="str">
        <f t="array" ref="R200">INDEX(P:P,SMALL(IF(P$1:P$500&lt;&gt;"",ROW($1:$500),1000),ROW(P200)))&amp;""</f>
        <v/>
      </c>
      <c r="S200" s="6" t="str">
        <f t="array" ref="S200">INDEX(Q:Q,SMALL(IF(Q$1:Q$500&lt;&gt;"",ROW($1:$500),1000),ROW(Q200)))&amp;""</f>
        <v/>
      </c>
      <c r="X200" s="6"/>
      <c r="AB200" s="6" t="str">
        <f t="array" ref="AB200">INDEX(Z:Z,SMALL(IF(Z$1:Z$500&lt;&gt;"",ROW($1:$500),1000),ROW(Z200)))&amp;""</f>
        <v/>
      </c>
      <c r="AC200" s="6" t="str">
        <f t="array" ref="AC200">INDEX(AA:AA,SMALL(IF(AA$1:AA$500&lt;&gt;"",ROW($1:$500),1000),ROW(AA200)))&amp;""</f>
        <v/>
      </c>
      <c r="AH200" s="6"/>
      <c r="AL200" s="6" t="str">
        <f t="array" ref="AL200">INDEX(AJ:AJ,SMALL(IF(AJ$1:AJ$500&lt;&gt;"",ROW($1:$500),1000),ROW(AJ200)))&amp;""</f>
        <v/>
      </c>
      <c r="AM200" s="6" t="str">
        <f t="array" ref="AM200">INDEX(AK:AK,SMALL(IF(AK$1:AK$500&lt;&gt;"",ROW($1:$500),1000),ROW(AK200)))&amp;""</f>
        <v/>
      </c>
      <c r="AV200" s="6" t="str">
        <f t="array" ref="AV200">INDEX(AT:AT,SMALL(IF(AT$1:AT$500&lt;&gt;"",ROW($1:$500),1000),ROW(AT200)))&amp;""</f>
        <v/>
      </c>
      <c r="AW200" s="6" t="str">
        <f t="array" ref="AW200">INDEX(AU:AU,SMALL(IF(AU$1:AU$500&lt;&gt;"",ROW($1:$500),1000),ROW(AU200)))&amp;""</f>
        <v/>
      </c>
      <c r="BF200" s="6" t="str">
        <f t="array" ref="BF200">INDEX(BD:BD,SMALL(IF(BD$1:BD$500&lt;&gt;"",ROW($1:$500),1000),ROW(BD200)))&amp;""</f>
        <v/>
      </c>
      <c r="BG200" s="6" t="str">
        <f t="array" ref="BG200">INDEX(BE:BE,SMALL(IF(BE$1:BE$500&lt;&gt;"",ROW($1:$500),1000),ROW(BE200)))&amp;""</f>
        <v/>
      </c>
      <c r="BL200" s="6"/>
      <c r="BP200" s="6" t="str">
        <f t="array" ref="BP200">INDEX(BN:BN,SMALL(IF(BN$1:BN$500&lt;&gt;"",ROW($1:$500),1000),ROW(BN200)))&amp;""</f>
        <v/>
      </c>
      <c r="BQ200" s="6" t="str">
        <f t="array" ref="BQ200">INDEX(BO:BO,SMALL(IF(BO$1:BO$500&lt;&gt;"",ROW($1:$500),1000),ROW(BO200)))&amp;""</f>
        <v/>
      </c>
      <c r="BV200" s="6"/>
      <c r="BZ200" s="6" t="str">
        <f t="array" ref="BZ200">INDEX(BX:BX,SMALL(IF(BX$1:BX$500&lt;&gt;"",ROW($1:$500),1000),ROW(BX200)))&amp;""</f>
        <v/>
      </c>
      <c r="CA200" s="6" t="str">
        <f t="array" ref="CA200">INDEX(BY:BY,SMALL(IF(BY$1:BY$500&lt;&gt;"",ROW($1:$500),1000),ROW(BY200)))&amp;""</f>
        <v/>
      </c>
    </row>
    <row r="201" spans="1:79">
      <c r="A201" s="8" t="s">
        <v>2874</v>
      </c>
      <c r="B201" s="8" t="s">
        <v>1661</v>
      </c>
      <c r="C201" s="8" t="s">
        <v>494</v>
      </c>
      <c r="D201" s="9">
        <v>4</v>
      </c>
      <c r="F201" s="8" t="str">
        <f t="shared" si="18"/>
        <v/>
      </c>
      <c r="G201" s="8" t="str">
        <f>IF(AND(VLOOKUP(C201,查询!$C$8:$E$15,3,FALSE)="启用",$B$1=D201),B201,"")</f>
        <v/>
      </c>
      <c r="H201" s="6" t="str">
        <f t="array" ref="H201">INDEX(F:F,SMALL(IF($F$1:$F$500&lt;&gt;"",ROW($1:$500),1000),ROW(F201)))&amp;""</f>
        <v/>
      </c>
      <c r="I201" s="6" t="str">
        <f t="array" ref="I201">INDEX(G:G,SMALL(IF($F$1:$F$500&lt;&gt;"",ROW($1:$500),1000),ROW(G201)))&amp;""</f>
        <v/>
      </c>
      <c r="K201" s="8" t="s">
        <v>3306</v>
      </c>
      <c r="L201" s="8" t="s">
        <v>1423</v>
      </c>
      <c r="M201" s="8" t="s">
        <v>494</v>
      </c>
      <c r="N201" s="9">
        <v>7</v>
      </c>
      <c r="P201" s="8" t="str">
        <f t="shared" si="19"/>
        <v/>
      </c>
      <c r="Q201" s="8" t="str">
        <f>IF(AND(VLOOKUP(M201,查询!$C$8:$E$15,3,FALSE)="启用",$B$1=N201),L201,"")</f>
        <v/>
      </c>
      <c r="R201" s="6" t="str">
        <f t="array" ref="R201">INDEX(P:P,SMALL(IF(P$1:P$500&lt;&gt;"",ROW($1:$500),1000),ROW(P201)))&amp;""</f>
        <v/>
      </c>
      <c r="S201" s="6" t="str">
        <f t="array" ref="S201">INDEX(Q:Q,SMALL(IF(Q$1:Q$500&lt;&gt;"",ROW($1:$500),1000),ROW(Q201)))&amp;""</f>
        <v/>
      </c>
      <c r="X201" s="6"/>
      <c r="AB201" s="6" t="str">
        <f t="array" ref="AB201">INDEX(Z:Z,SMALL(IF(Z$1:Z$500&lt;&gt;"",ROW($1:$500),1000),ROW(Z201)))&amp;""</f>
        <v/>
      </c>
      <c r="AC201" s="6" t="str">
        <f t="array" ref="AC201">INDEX(AA:AA,SMALL(IF(AA$1:AA$500&lt;&gt;"",ROW($1:$500),1000),ROW(AA201)))&amp;""</f>
        <v/>
      </c>
      <c r="AH201" s="6"/>
      <c r="AL201" s="6" t="str">
        <f t="array" ref="AL201">INDEX(AJ:AJ,SMALL(IF(AJ$1:AJ$500&lt;&gt;"",ROW($1:$500),1000),ROW(AJ201)))&amp;""</f>
        <v/>
      </c>
      <c r="AM201" s="6" t="str">
        <f t="array" ref="AM201">INDEX(AK:AK,SMALL(IF(AK$1:AK$500&lt;&gt;"",ROW($1:$500),1000),ROW(AK201)))&amp;""</f>
        <v/>
      </c>
      <c r="AV201" s="6" t="str">
        <f t="array" ref="AV201">INDEX(AT:AT,SMALL(IF(AT$1:AT$500&lt;&gt;"",ROW($1:$500),1000),ROW(AT201)))&amp;""</f>
        <v/>
      </c>
      <c r="AW201" s="6" t="str">
        <f t="array" ref="AW201">INDEX(AU:AU,SMALL(IF(AU$1:AU$500&lt;&gt;"",ROW($1:$500),1000),ROW(AU201)))&amp;""</f>
        <v/>
      </c>
      <c r="BF201" s="6" t="str">
        <f t="array" ref="BF201">INDEX(BD:BD,SMALL(IF(BD$1:BD$500&lt;&gt;"",ROW($1:$500),1000),ROW(BD201)))&amp;""</f>
        <v/>
      </c>
      <c r="BG201" s="6" t="str">
        <f t="array" ref="BG201">INDEX(BE:BE,SMALL(IF(BE$1:BE$500&lt;&gt;"",ROW($1:$500),1000),ROW(BE201)))&amp;""</f>
        <v/>
      </c>
      <c r="BL201" s="6"/>
      <c r="BP201" s="6" t="str">
        <f t="array" ref="BP201">INDEX(BN:BN,SMALL(IF(BN$1:BN$500&lt;&gt;"",ROW($1:$500),1000),ROW(BN201)))&amp;""</f>
        <v/>
      </c>
      <c r="BQ201" s="6" t="str">
        <f t="array" ref="BQ201">INDEX(BO:BO,SMALL(IF(BO$1:BO$500&lt;&gt;"",ROW($1:$500),1000),ROW(BO201)))&amp;""</f>
        <v/>
      </c>
      <c r="BV201" s="6"/>
      <c r="BZ201" s="6" t="str">
        <f t="array" ref="BZ201">INDEX(BX:BX,SMALL(IF(BX$1:BX$500&lt;&gt;"",ROW($1:$500),1000),ROW(BX201)))&amp;""</f>
        <v/>
      </c>
      <c r="CA201" s="6" t="str">
        <f t="array" ref="CA201">INDEX(BY:BY,SMALL(IF(BY$1:BY$500&lt;&gt;"",ROW($1:$500),1000),ROW(BY201)))&amp;""</f>
        <v/>
      </c>
    </row>
    <row r="202" spans="1:79">
      <c r="A202" s="8" t="s">
        <v>2779</v>
      </c>
      <c r="B202" s="8" t="s">
        <v>1749</v>
      </c>
      <c r="C202" s="8" t="s">
        <v>578</v>
      </c>
      <c r="D202" s="9">
        <v>4</v>
      </c>
      <c r="F202" s="8" t="str">
        <f t="shared" si="18"/>
        <v/>
      </c>
      <c r="G202" s="8" t="str">
        <f>IF(AND(VLOOKUP(C202,查询!$C$8:$E$15,3,FALSE)="启用",$B$1=D202),B202,"")</f>
        <v/>
      </c>
      <c r="H202" s="6" t="str">
        <f t="array" ref="H202">INDEX(F:F,SMALL(IF($F$1:$F$500&lt;&gt;"",ROW($1:$500),1000),ROW(F202)))&amp;""</f>
        <v/>
      </c>
      <c r="I202" s="6" t="str">
        <f t="array" ref="I202">INDEX(G:G,SMALL(IF($F$1:$F$500&lt;&gt;"",ROW($1:$500),1000),ROW(G202)))&amp;""</f>
        <v/>
      </c>
      <c r="K202" s="8" t="s">
        <v>3313</v>
      </c>
      <c r="L202" s="8" t="s">
        <v>1477</v>
      </c>
      <c r="M202" s="8" t="s">
        <v>494</v>
      </c>
      <c r="N202" s="9">
        <v>7</v>
      </c>
      <c r="P202" s="8" t="str">
        <f t="shared" si="19"/>
        <v/>
      </c>
      <c r="Q202" s="8" t="str">
        <f>IF(AND(VLOOKUP(M202,查询!$C$8:$E$15,3,FALSE)="启用",$B$1=N202),L202,"")</f>
        <v/>
      </c>
      <c r="R202" s="6" t="str">
        <f t="array" ref="R202">INDEX(P:P,SMALL(IF(P$1:P$500&lt;&gt;"",ROW($1:$500),1000),ROW(P202)))&amp;""</f>
        <v/>
      </c>
      <c r="S202" s="6" t="str">
        <f t="array" ref="S202">INDEX(Q:Q,SMALL(IF(Q$1:Q$500&lt;&gt;"",ROW($1:$500),1000),ROW(Q202)))&amp;""</f>
        <v/>
      </c>
      <c r="X202" s="6"/>
      <c r="AB202" s="6" t="str">
        <f t="array" ref="AB202">INDEX(Z:Z,SMALL(IF(Z$1:Z$500&lt;&gt;"",ROW($1:$500),1000),ROW(Z202)))&amp;""</f>
        <v/>
      </c>
      <c r="AC202" s="6" t="str">
        <f t="array" ref="AC202">INDEX(AA:AA,SMALL(IF(AA$1:AA$500&lt;&gt;"",ROW($1:$500),1000),ROW(AA202)))&amp;""</f>
        <v/>
      </c>
      <c r="AH202" s="6"/>
      <c r="AL202" s="6" t="str">
        <f t="array" ref="AL202">INDEX(AJ:AJ,SMALL(IF(AJ$1:AJ$500&lt;&gt;"",ROW($1:$500),1000),ROW(AJ202)))&amp;""</f>
        <v/>
      </c>
      <c r="AM202" s="6" t="str">
        <f t="array" ref="AM202">INDEX(AK:AK,SMALL(IF(AK$1:AK$500&lt;&gt;"",ROW($1:$500),1000),ROW(AK202)))&amp;""</f>
        <v/>
      </c>
      <c r="AV202" s="6" t="str">
        <f t="array" ref="AV202">INDEX(AT:AT,SMALL(IF(AT$1:AT$500&lt;&gt;"",ROW($1:$500),1000),ROW(AT202)))&amp;""</f>
        <v/>
      </c>
      <c r="AW202" s="6" t="str">
        <f t="array" ref="AW202">INDEX(AU:AU,SMALL(IF(AU$1:AU$500&lt;&gt;"",ROW($1:$500),1000),ROW(AU202)))&amp;""</f>
        <v/>
      </c>
      <c r="BF202" s="6" t="str">
        <f t="array" ref="BF202">INDEX(BD:BD,SMALL(IF(BD$1:BD$500&lt;&gt;"",ROW($1:$500),1000),ROW(BD202)))&amp;""</f>
        <v/>
      </c>
      <c r="BG202" s="6" t="str">
        <f t="array" ref="BG202">INDEX(BE:BE,SMALL(IF(BE$1:BE$500&lt;&gt;"",ROW($1:$500),1000),ROW(BE202)))&amp;""</f>
        <v/>
      </c>
      <c r="BL202" s="6"/>
      <c r="BP202" s="6" t="str">
        <f t="array" ref="BP202">INDEX(BN:BN,SMALL(IF(BN$1:BN$500&lt;&gt;"",ROW($1:$500),1000),ROW(BN202)))&amp;""</f>
        <v/>
      </c>
      <c r="BQ202" s="6" t="str">
        <f t="array" ref="BQ202">INDEX(BO:BO,SMALL(IF(BO$1:BO$500&lt;&gt;"",ROW($1:$500),1000),ROW(BO202)))&amp;""</f>
        <v/>
      </c>
      <c r="BV202" s="6"/>
      <c r="BZ202" s="6" t="str">
        <f t="array" ref="BZ202">INDEX(BX:BX,SMALL(IF(BX$1:BX$500&lt;&gt;"",ROW($1:$500),1000),ROW(BX202)))&amp;""</f>
        <v/>
      </c>
      <c r="CA202" s="6" t="str">
        <f t="array" ref="CA202">INDEX(BY:BY,SMALL(IF(BY$1:BY$500&lt;&gt;"",ROW($1:$500),1000),ROW(BY202)))&amp;""</f>
        <v/>
      </c>
    </row>
    <row r="203" spans="1:79">
      <c r="A203" s="8" t="s">
        <v>2779</v>
      </c>
      <c r="B203" s="8" t="s">
        <v>1348</v>
      </c>
      <c r="C203" s="8" t="s">
        <v>1249</v>
      </c>
      <c r="D203" s="9">
        <v>4</v>
      </c>
      <c r="F203" s="8" t="str">
        <f t="shared" si="18"/>
        <v/>
      </c>
      <c r="G203" s="8" t="str">
        <f>IF(AND(VLOOKUP(C203,查询!$C$8:$E$15,3,FALSE)="启用",$B$1=D203),B203,"")</f>
        <v/>
      </c>
      <c r="H203" s="6" t="str">
        <f t="array" ref="H203">INDEX(F:F,SMALL(IF($F$1:$F$500&lt;&gt;"",ROW($1:$500),1000),ROW(F203)))&amp;""</f>
        <v/>
      </c>
      <c r="I203" s="6" t="str">
        <f t="array" ref="I203">INDEX(G:G,SMALL(IF($F$1:$F$500&lt;&gt;"",ROW($1:$500),1000),ROW(G203)))&amp;""</f>
        <v/>
      </c>
      <c r="K203" s="8" t="s">
        <v>3315</v>
      </c>
      <c r="L203" s="8" t="s">
        <v>1481</v>
      </c>
      <c r="M203" s="8" t="s">
        <v>494</v>
      </c>
      <c r="N203" s="9">
        <v>7</v>
      </c>
      <c r="P203" s="8" t="str">
        <f t="shared" si="19"/>
        <v/>
      </c>
      <c r="Q203" s="8" t="str">
        <f>IF(AND(VLOOKUP(M203,查询!$C$8:$E$15,3,FALSE)="启用",$B$1=N203),L203,"")</f>
        <v/>
      </c>
      <c r="R203" s="6" t="str">
        <f t="array" ref="R203">INDEX(P:P,SMALL(IF(P$1:P$500&lt;&gt;"",ROW($1:$500),1000),ROW(P203)))&amp;""</f>
        <v/>
      </c>
      <c r="S203" s="6" t="str">
        <f t="array" ref="S203">INDEX(Q:Q,SMALL(IF(Q$1:Q$500&lt;&gt;"",ROW($1:$500),1000),ROW(Q203)))&amp;""</f>
        <v/>
      </c>
      <c r="X203" s="6"/>
      <c r="AB203" s="6" t="str">
        <f t="array" ref="AB203">INDEX(Z:Z,SMALL(IF(Z$1:Z$500&lt;&gt;"",ROW($1:$500),1000),ROW(Z203)))&amp;""</f>
        <v/>
      </c>
      <c r="AC203" s="6" t="str">
        <f t="array" ref="AC203">INDEX(AA:AA,SMALL(IF(AA$1:AA$500&lt;&gt;"",ROW($1:$500),1000),ROW(AA203)))&amp;""</f>
        <v/>
      </c>
      <c r="AH203" s="6"/>
      <c r="AL203" s="6" t="str">
        <f t="array" ref="AL203">INDEX(AJ:AJ,SMALL(IF(AJ$1:AJ$500&lt;&gt;"",ROW($1:$500),1000),ROW(AJ203)))&amp;""</f>
        <v/>
      </c>
      <c r="AM203" s="6" t="str">
        <f t="array" ref="AM203">INDEX(AK:AK,SMALL(IF(AK$1:AK$500&lt;&gt;"",ROW($1:$500),1000),ROW(AK203)))&amp;""</f>
        <v/>
      </c>
      <c r="AV203" s="6" t="str">
        <f t="array" ref="AV203">INDEX(AT:AT,SMALL(IF(AT$1:AT$500&lt;&gt;"",ROW($1:$500),1000),ROW(AT203)))&amp;""</f>
        <v/>
      </c>
      <c r="AW203" s="6" t="str">
        <f t="array" ref="AW203">INDEX(AU:AU,SMALL(IF(AU$1:AU$500&lt;&gt;"",ROW($1:$500),1000),ROW(AU203)))&amp;""</f>
        <v/>
      </c>
      <c r="BF203" s="6" t="str">
        <f t="array" ref="BF203">INDEX(BD:BD,SMALL(IF(BD$1:BD$500&lt;&gt;"",ROW($1:$500),1000),ROW(BD203)))&amp;""</f>
        <v/>
      </c>
      <c r="BG203" s="6" t="str">
        <f t="array" ref="BG203">INDEX(BE:BE,SMALL(IF(BE$1:BE$500&lt;&gt;"",ROW($1:$500),1000),ROW(BE203)))&amp;""</f>
        <v/>
      </c>
      <c r="BL203" s="6"/>
      <c r="BP203" s="6" t="str">
        <f t="array" ref="BP203">INDEX(BN:BN,SMALL(IF(BN$1:BN$500&lt;&gt;"",ROW($1:$500),1000),ROW(BN203)))&amp;""</f>
        <v/>
      </c>
      <c r="BQ203" s="6" t="str">
        <f t="array" ref="BQ203">INDEX(BO:BO,SMALL(IF(BO$1:BO$500&lt;&gt;"",ROW($1:$500),1000),ROW(BO203)))&amp;""</f>
        <v/>
      </c>
      <c r="BV203" s="6"/>
      <c r="BZ203" s="6" t="str">
        <f t="array" ref="BZ203">INDEX(BX:BX,SMALL(IF(BX$1:BX$500&lt;&gt;"",ROW($1:$500),1000),ROW(BX203)))&amp;""</f>
        <v/>
      </c>
      <c r="CA203" s="6" t="str">
        <f t="array" ref="CA203">INDEX(BY:BY,SMALL(IF(BY$1:BY$500&lt;&gt;"",ROW($1:$500),1000),ROW(BY203)))&amp;""</f>
        <v/>
      </c>
    </row>
    <row r="204" spans="1:79">
      <c r="A204" s="8" t="s">
        <v>2781</v>
      </c>
      <c r="B204" s="8" t="s">
        <v>1751</v>
      </c>
      <c r="C204" s="8" t="s">
        <v>578</v>
      </c>
      <c r="D204" s="9">
        <v>4</v>
      </c>
      <c r="F204" s="8" t="str">
        <f t="shared" si="18"/>
        <v/>
      </c>
      <c r="G204" s="8" t="str">
        <f>IF(AND(VLOOKUP(C204,查询!$C$8:$E$15,3,FALSE)="启用",$B$1=D204),B204,"")</f>
        <v/>
      </c>
      <c r="H204" s="6" t="str">
        <f t="array" ref="H204">INDEX(F:F,SMALL(IF($F$1:$F$500&lt;&gt;"",ROW($1:$500),1000),ROW(F204)))&amp;""</f>
        <v/>
      </c>
      <c r="I204" s="6" t="str">
        <f t="array" ref="I204">INDEX(G:G,SMALL(IF($F$1:$F$500&lt;&gt;"",ROW($1:$500),1000),ROW(G204)))&amp;""</f>
        <v/>
      </c>
      <c r="K204" s="8" t="s">
        <v>3349</v>
      </c>
      <c r="L204" s="8" t="s">
        <v>1593</v>
      </c>
      <c r="M204" s="8" t="s">
        <v>494</v>
      </c>
      <c r="N204" s="9">
        <v>7</v>
      </c>
      <c r="P204" s="8" t="str">
        <f t="shared" si="19"/>
        <v/>
      </c>
      <c r="Q204" s="8" t="str">
        <f>IF(AND(VLOOKUP(M204,查询!$C$8:$E$15,3,FALSE)="启用",$B$1=N204),L204,"")</f>
        <v/>
      </c>
      <c r="R204" s="6" t="str">
        <f t="array" ref="R204">INDEX(P:P,SMALL(IF(P$1:P$500&lt;&gt;"",ROW($1:$500),1000),ROW(P204)))&amp;""</f>
        <v/>
      </c>
      <c r="S204" s="6" t="str">
        <f t="array" ref="S204">INDEX(Q:Q,SMALL(IF(Q$1:Q$500&lt;&gt;"",ROW($1:$500),1000),ROW(Q204)))&amp;""</f>
        <v/>
      </c>
      <c r="X204" s="6"/>
      <c r="AB204" s="6" t="str">
        <f t="array" ref="AB204">INDEX(Z:Z,SMALL(IF(Z$1:Z$500&lt;&gt;"",ROW($1:$500),1000),ROW(Z204)))&amp;""</f>
        <v/>
      </c>
      <c r="AC204" s="6" t="str">
        <f t="array" ref="AC204">INDEX(AA:AA,SMALL(IF(AA$1:AA$500&lt;&gt;"",ROW($1:$500),1000),ROW(AA204)))&amp;""</f>
        <v/>
      </c>
      <c r="AH204" s="6"/>
      <c r="AL204" s="6" t="str">
        <f t="array" ref="AL204">INDEX(AJ:AJ,SMALL(IF(AJ$1:AJ$500&lt;&gt;"",ROW($1:$500),1000),ROW(AJ204)))&amp;""</f>
        <v/>
      </c>
      <c r="AM204" s="6" t="str">
        <f t="array" ref="AM204">INDEX(AK:AK,SMALL(IF(AK$1:AK$500&lt;&gt;"",ROW($1:$500),1000),ROW(AK204)))&amp;""</f>
        <v/>
      </c>
      <c r="AV204" s="6" t="str">
        <f t="array" ref="AV204">INDEX(AT:AT,SMALL(IF(AT$1:AT$500&lt;&gt;"",ROW($1:$500),1000),ROW(AT204)))&amp;""</f>
        <v/>
      </c>
      <c r="AW204" s="6" t="str">
        <f t="array" ref="AW204">INDEX(AU:AU,SMALL(IF(AU$1:AU$500&lt;&gt;"",ROW($1:$500),1000),ROW(AU204)))&amp;""</f>
        <v/>
      </c>
      <c r="BF204" s="6" t="str">
        <f t="array" ref="BF204">INDEX(BD:BD,SMALL(IF(BD$1:BD$500&lt;&gt;"",ROW($1:$500),1000),ROW(BD204)))&amp;""</f>
        <v/>
      </c>
      <c r="BG204" s="6" t="str">
        <f t="array" ref="BG204">INDEX(BE:BE,SMALL(IF(BE$1:BE$500&lt;&gt;"",ROW($1:$500),1000),ROW(BE204)))&amp;""</f>
        <v/>
      </c>
      <c r="BL204" s="6"/>
      <c r="BP204" s="6" t="str">
        <f t="array" ref="BP204">INDEX(BN:BN,SMALL(IF(BN$1:BN$500&lt;&gt;"",ROW($1:$500),1000),ROW(BN204)))&amp;""</f>
        <v/>
      </c>
      <c r="BQ204" s="6" t="str">
        <f t="array" ref="BQ204">INDEX(BO:BO,SMALL(IF(BO$1:BO$500&lt;&gt;"",ROW($1:$500),1000),ROW(BO204)))&amp;""</f>
        <v/>
      </c>
      <c r="BV204" s="6"/>
      <c r="BZ204" s="6" t="str">
        <f t="array" ref="BZ204">INDEX(BX:BX,SMALL(IF(BX$1:BX$500&lt;&gt;"",ROW($1:$500),1000),ROW(BX204)))&amp;""</f>
        <v/>
      </c>
      <c r="CA204" s="6" t="str">
        <f t="array" ref="CA204">INDEX(BY:BY,SMALL(IF(BY$1:BY$500&lt;&gt;"",ROW($1:$500),1000),ROW(BY204)))&amp;""</f>
        <v/>
      </c>
    </row>
    <row r="205" spans="1:79">
      <c r="A205" s="8" t="s">
        <v>2781</v>
      </c>
      <c r="B205" s="8" t="s">
        <v>1350</v>
      </c>
      <c r="C205" s="8" t="s">
        <v>1249</v>
      </c>
      <c r="D205" s="9">
        <v>4</v>
      </c>
      <c r="F205" s="8" t="str">
        <f t="shared" si="18"/>
        <v/>
      </c>
      <c r="G205" s="8" t="str">
        <f>IF(AND(VLOOKUP(C205,查询!$C$8:$E$15,3,FALSE)="启用",$B$1=D205),B205,"")</f>
        <v/>
      </c>
      <c r="H205" s="6" t="str">
        <f t="array" ref="H205">INDEX(F:F,SMALL(IF($F$1:$F$500&lt;&gt;"",ROW($1:$500),1000),ROW(F205)))&amp;""</f>
        <v/>
      </c>
      <c r="I205" s="6" t="str">
        <f t="array" ref="I205">INDEX(G:G,SMALL(IF($F$1:$F$500&lt;&gt;"",ROW($1:$500),1000),ROW(G205)))&amp;""</f>
        <v/>
      </c>
      <c r="K205" s="8" t="s">
        <v>3354</v>
      </c>
      <c r="L205" s="8" t="s">
        <v>1595</v>
      </c>
      <c r="M205" s="8" t="s">
        <v>494</v>
      </c>
      <c r="N205" s="9">
        <v>7</v>
      </c>
      <c r="P205" s="8" t="str">
        <f t="shared" si="19"/>
        <v/>
      </c>
      <c r="Q205" s="8" t="str">
        <f>IF(AND(VLOOKUP(M205,查询!$C$8:$E$15,3,FALSE)="启用",$B$1=N205),L205,"")</f>
        <v/>
      </c>
      <c r="R205" s="6" t="str">
        <f t="array" ref="R205">INDEX(P:P,SMALL(IF(P$1:P$500&lt;&gt;"",ROW($1:$500),1000),ROW(P205)))&amp;""</f>
        <v/>
      </c>
      <c r="S205" s="6" t="str">
        <f t="array" ref="S205">INDEX(Q:Q,SMALL(IF(Q$1:Q$500&lt;&gt;"",ROW($1:$500),1000),ROW(Q205)))&amp;""</f>
        <v/>
      </c>
      <c r="X205" s="6"/>
      <c r="AB205" s="6" t="str">
        <f t="array" ref="AB205">INDEX(Z:Z,SMALL(IF(Z$1:Z$500&lt;&gt;"",ROW($1:$500),1000),ROW(Z205)))&amp;""</f>
        <v/>
      </c>
      <c r="AC205" s="6" t="str">
        <f t="array" ref="AC205">INDEX(AA:AA,SMALL(IF(AA$1:AA$500&lt;&gt;"",ROW($1:$500),1000),ROW(AA205)))&amp;""</f>
        <v/>
      </c>
      <c r="AH205" s="6"/>
      <c r="AL205" s="6" t="str">
        <f t="array" ref="AL205">INDEX(AJ:AJ,SMALL(IF(AJ$1:AJ$500&lt;&gt;"",ROW($1:$500),1000),ROW(AJ205)))&amp;""</f>
        <v/>
      </c>
      <c r="AM205" s="6" t="str">
        <f t="array" ref="AM205">INDEX(AK:AK,SMALL(IF(AK$1:AK$500&lt;&gt;"",ROW($1:$500),1000),ROW(AK205)))&amp;""</f>
        <v/>
      </c>
      <c r="AV205" s="6" t="str">
        <f t="array" ref="AV205">INDEX(AT:AT,SMALL(IF(AT$1:AT$500&lt;&gt;"",ROW($1:$500),1000),ROW(AT205)))&amp;""</f>
        <v/>
      </c>
      <c r="AW205" s="6" t="str">
        <f t="array" ref="AW205">INDEX(AU:AU,SMALL(IF(AU$1:AU$500&lt;&gt;"",ROW($1:$500),1000),ROW(AU205)))&amp;""</f>
        <v/>
      </c>
      <c r="BF205" s="6" t="str">
        <f t="array" ref="BF205">INDEX(BD:BD,SMALL(IF(BD$1:BD$500&lt;&gt;"",ROW($1:$500),1000),ROW(BD205)))&amp;""</f>
        <v/>
      </c>
      <c r="BG205" s="6" t="str">
        <f t="array" ref="BG205">INDEX(BE:BE,SMALL(IF(BE$1:BE$500&lt;&gt;"",ROW($1:$500),1000),ROW(BE205)))&amp;""</f>
        <v/>
      </c>
      <c r="BL205" s="6"/>
      <c r="BP205" s="6" t="str">
        <f t="array" ref="BP205">INDEX(BN:BN,SMALL(IF(BN$1:BN$500&lt;&gt;"",ROW($1:$500),1000),ROW(BN205)))&amp;""</f>
        <v/>
      </c>
      <c r="BQ205" s="6" t="str">
        <f t="array" ref="BQ205">INDEX(BO:BO,SMALL(IF(BO$1:BO$500&lt;&gt;"",ROW($1:$500),1000),ROW(BO205)))&amp;""</f>
        <v/>
      </c>
      <c r="BV205" s="6"/>
      <c r="BZ205" s="6" t="str">
        <f t="array" ref="BZ205">INDEX(BX:BX,SMALL(IF(BX$1:BX$500&lt;&gt;"",ROW($1:$500),1000),ROW(BX205)))&amp;""</f>
        <v/>
      </c>
      <c r="CA205" s="6" t="str">
        <f t="array" ref="CA205">INDEX(BY:BY,SMALL(IF(BY$1:BY$500&lt;&gt;"",ROW($1:$500),1000),ROW(BY205)))&amp;""</f>
        <v/>
      </c>
    </row>
    <row r="206" spans="1:79">
      <c r="A206" s="8" t="s">
        <v>2876</v>
      </c>
      <c r="B206" s="8" t="s">
        <v>1677</v>
      </c>
      <c r="C206" s="8" t="s">
        <v>494</v>
      </c>
      <c r="D206" s="9">
        <v>4</v>
      </c>
      <c r="F206" s="8" t="str">
        <f t="shared" si="18"/>
        <v/>
      </c>
      <c r="G206" s="8" t="str">
        <f>IF(AND(VLOOKUP(C206,查询!$C$8:$E$15,3,FALSE)="启用",$B$1=D206),B206,"")</f>
        <v/>
      </c>
      <c r="H206" s="6" t="str">
        <f t="array" ref="H206">INDEX(F:F,SMALL(IF($F$1:$F$500&lt;&gt;"",ROW($1:$500),1000),ROW(F206)))&amp;""</f>
        <v/>
      </c>
      <c r="I206" s="6" t="str">
        <f t="array" ref="I206">INDEX(G:G,SMALL(IF($F$1:$F$500&lt;&gt;"",ROW($1:$500),1000),ROW(G206)))&amp;""</f>
        <v/>
      </c>
      <c r="K206" s="8" t="s">
        <v>3295</v>
      </c>
      <c r="L206" s="8" t="s">
        <v>1750</v>
      </c>
      <c r="M206" s="8" t="s">
        <v>578</v>
      </c>
      <c r="N206" s="9">
        <v>7</v>
      </c>
      <c r="P206" s="8" t="str">
        <f t="shared" si="19"/>
        <v/>
      </c>
      <c r="Q206" s="8" t="str">
        <f>IF(AND(VLOOKUP(M206,查询!$C$8:$E$15,3,FALSE)="启用",$B$1=N206),L206,"")</f>
        <v/>
      </c>
      <c r="R206" s="6" t="str">
        <f t="array" ref="R206">INDEX(P:P,SMALL(IF(P$1:P$500&lt;&gt;"",ROW($1:$500),1000),ROW(P206)))&amp;""</f>
        <v/>
      </c>
      <c r="S206" s="6" t="str">
        <f t="array" ref="S206">INDEX(Q:Q,SMALL(IF(Q$1:Q$500&lt;&gt;"",ROW($1:$500),1000),ROW(Q206)))&amp;""</f>
        <v/>
      </c>
      <c r="X206" s="6"/>
      <c r="AB206" s="6" t="str">
        <f t="array" ref="AB206">INDEX(Z:Z,SMALL(IF(Z$1:Z$500&lt;&gt;"",ROW($1:$500),1000),ROW(Z206)))&amp;""</f>
        <v/>
      </c>
      <c r="AC206" s="6" t="str">
        <f t="array" ref="AC206">INDEX(AA:AA,SMALL(IF(AA$1:AA$500&lt;&gt;"",ROW($1:$500),1000),ROW(AA206)))&amp;""</f>
        <v/>
      </c>
      <c r="AH206" s="6"/>
      <c r="AL206" s="6" t="str">
        <f t="array" ref="AL206">INDEX(AJ:AJ,SMALL(IF(AJ$1:AJ$500&lt;&gt;"",ROW($1:$500),1000),ROW(AJ206)))&amp;""</f>
        <v/>
      </c>
      <c r="AM206" s="6" t="str">
        <f t="array" ref="AM206">INDEX(AK:AK,SMALL(IF(AK$1:AK$500&lt;&gt;"",ROW($1:$500),1000),ROW(AK206)))&amp;""</f>
        <v/>
      </c>
      <c r="AV206" s="6" t="str">
        <f t="array" ref="AV206">INDEX(AT:AT,SMALL(IF(AT$1:AT$500&lt;&gt;"",ROW($1:$500),1000),ROW(AT206)))&amp;""</f>
        <v/>
      </c>
      <c r="AW206" s="6" t="str">
        <f t="array" ref="AW206">INDEX(AU:AU,SMALL(IF(AU$1:AU$500&lt;&gt;"",ROW($1:$500),1000),ROW(AU206)))&amp;""</f>
        <v/>
      </c>
      <c r="BF206" s="6" t="str">
        <f t="array" ref="BF206">INDEX(BD:BD,SMALL(IF(BD$1:BD$500&lt;&gt;"",ROW($1:$500),1000),ROW(BD206)))&amp;""</f>
        <v/>
      </c>
      <c r="BG206" s="6" t="str">
        <f t="array" ref="BG206">INDEX(BE:BE,SMALL(IF(BE$1:BE$500&lt;&gt;"",ROW($1:$500),1000),ROW(BE206)))&amp;""</f>
        <v/>
      </c>
      <c r="BL206" s="6"/>
      <c r="BP206" s="6" t="str">
        <f t="array" ref="BP206">INDEX(BN:BN,SMALL(IF(BN$1:BN$500&lt;&gt;"",ROW($1:$500),1000),ROW(BN206)))&amp;""</f>
        <v/>
      </c>
      <c r="BQ206" s="6" t="str">
        <f t="array" ref="BQ206">INDEX(BO:BO,SMALL(IF(BO$1:BO$500&lt;&gt;"",ROW($1:$500),1000),ROW(BO206)))&amp;""</f>
        <v/>
      </c>
      <c r="BV206" s="6"/>
      <c r="BZ206" s="6" t="str">
        <f t="array" ref="BZ206">INDEX(BX:BX,SMALL(IF(BX$1:BX$500&lt;&gt;"",ROW($1:$500),1000),ROW(BX206)))&amp;""</f>
        <v/>
      </c>
      <c r="CA206" s="6" t="str">
        <f t="array" ref="CA206">INDEX(BY:BY,SMALL(IF(BY$1:BY$500&lt;&gt;"",ROW($1:$500),1000),ROW(BY206)))&amp;""</f>
        <v/>
      </c>
    </row>
    <row r="207" spans="1:79">
      <c r="A207" s="8" t="s">
        <v>2886</v>
      </c>
      <c r="B207" s="8" t="s">
        <v>1691</v>
      </c>
      <c r="C207" s="8" t="s">
        <v>494</v>
      </c>
      <c r="D207" s="9">
        <v>4</v>
      </c>
      <c r="F207" s="8" t="str">
        <f t="shared" si="18"/>
        <v/>
      </c>
      <c r="G207" s="8" t="str">
        <f>IF(AND(VLOOKUP(C207,查询!$C$8:$E$15,3,FALSE)="启用",$B$1=D207),B207,"")</f>
        <v/>
      </c>
      <c r="H207" s="6" t="str">
        <f t="array" ref="H207">INDEX(F:F,SMALL(IF($F$1:$F$500&lt;&gt;"",ROW($1:$500),1000),ROW(F207)))&amp;""</f>
        <v/>
      </c>
      <c r="I207" s="6" t="str">
        <f t="array" ref="I207">INDEX(G:G,SMALL(IF($F$1:$F$500&lt;&gt;"",ROW($1:$500),1000),ROW(G207)))&amp;""</f>
        <v/>
      </c>
      <c r="K207" s="8" t="s">
        <v>3295</v>
      </c>
      <c r="L207" s="8" t="s">
        <v>1349</v>
      </c>
      <c r="M207" s="8" t="s">
        <v>1249</v>
      </c>
      <c r="N207" s="9">
        <v>7</v>
      </c>
      <c r="P207" s="8" t="str">
        <f t="shared" si="19"/>
        <v/>
      </c>
      <c r="Q207" s="8" t="str">
        <f>IF(AND(VLOOKUP(M207,查询!$C$8:$E$15,3,FALSE)="启用",$B$1=N207),L207,"")</f>
        <v/>
      </c>
      <c r="R207" s="6" t="str">
        <f t="array" ref="R207">INDEX(P:P,SMALL(IF(P$1:P$500&lt;&gt;"",ROW($1:$500),1000),ROW(P207)))&amp;""</f>
        <v/>
      </c>
      <c r="S207" s="6" t="str">
        <f t="array" ref="S207">INDEX(Q:Q,SMALL(IF(Q$1:Q$500&lt;&gt;"",ROW($1:$500),1000),ROW(Q207)))&amp;""</f>
        <v/>
      </c>
      <c r="X207" s="6"/>
      <c r="AB207" s="6" t="str">
        <f t="array" ref="AB207">INDEX(Z:Z,SMALL(IF(Z$1:Z$500&lt;&gt;"",ROW($1:$500),1000),ROW(Z207)))&amp;""</f>
        <v/>
      </c>
      <c r="AC207" s="6" t="str">
        <f t="array" ref="AC207">INDEX(AA:AA,SMALL(IF(AA$1:AA$500&lt;&gt;"",ROW($1:$500),1000),ROW(AA207)))&amp;""</f>
        <v/>
      </c>
      <c r="AH207" s="6"/>
      <c r="AL207" s="6" t="str">
        <f t="array" ref="AL207">INDEX(AJ:AJ,SMALL(IF(AJ$1:AJ$500&lt;&gt;"",ROW($1:$500),1000),ROW(AJ207)))&amp;""</f>
        <v/>
      </c>
      <c r="AM207" s="6" t="str">
        <f t="array" ref="AM207">INDEX(AK:AK,SMALL(IF(AK$1:AK$500&lt;&gt;"",ROW($1:$500),1000),ROW(AK207)))&amp;""</f>
        <v/>
      </c>
      <c r="AV207" s="6" t="str">
        <f t="array" ref="AV207">INDEX(AT:AT,SMALL(IF(AT$1:AT$500&lt;&gt;"",ROW($1:$500),1000),ROW(AT207)))&amp;""</f>
        <v/>
      </c>
      <c r="AW207" s="6" t="str">
        <f t="array" ref="AW207">INDEX(AU:AU,SMALL(IF(AU$1:AU$500&lt;&gt;"",ROW($1:$500),1000),ROW(AU207)))&amp;""</f>
        <v/>
      </c>
      <c r="BF207" s="6" t="str">
        <f t="array" ref="BF207">INDEX(BD:BD,SMALL(IF(BD$1:BD$500&lt;&gt;"",ROW($1:$500),1000),ROW(BD207)))&amp;""</f>
        <v/>
      </c>
      <c r="BG207" s="6" t="str">
        <f t="array" ref="BG207">INDEX(BE:BE,SMALL(IF(BE$1:BE$500&lt;&gt;"",ROW($1:$500),1000),ROW(BE207)))&amp;""</f>
        <v/>
      </c>
      <c r="BL207" s="6"/>
      <c r="BP207" s="6" t="str">
        <f t="array" ref="BP207">INDEX(BN:BN,SMALL(IF(BN$1:BN$500&lt;&gt;"",ROW($1:$500),1000),ROW(BN207)))&amp;""</f>
        <v/>
      </c>
      <c r="BQ207" s="6" t="str">
        <f t="array" ref="BQ207">INDEX(BO:BO,SMALL(IF(BO$1:BO$500&lt;&gt;"",ROW($1:$500),1000),ROW(BO207)))&amp;""</f>
        <v/>
      </c>
      <c r="BV207" s="6"/>
      <c r="BZ207" s="6" t="str">
        <f t="array" ref="BZ207">INDEX(BX:BX,SMALL(IF(BX$1:BX$500&lt;&gt;"",ROW($1:$500),1000),ROW(BX207)))&amp;""</f>
        <v/>
      </c>
      <c r="CA207" s="6" t="str">
        <f t="array" ref="CA207">INDEX(BY:BY,SMALL(IF(BY$1:BY$500&lt;&gt;"",ROW($1:$500),1000),ROW(BY207)))&amp;""</f>
        <v/>
      </c>
    </row>
    <row r="208" spans="1:79">
      <c r="A208" s="8" t="s">
        <v>2889</v>
      </c>
      <c r="B208" s="8" t="s">
        <v>1694</v>
      </c>
      <c r="C208" s="8" t="s">
        <v>494</v>
      </c>
      <c r="D208" s="9">
        <v>4</v>
      </c>
      <c r="F208" s="8" t="str">
        <f t="shared" si="18"/>
        <v/>
      </c>
      <c r="G208" s="8" t="str">
        <f>IF(AND(VLOOKUP(C208,查询!$C$8:$E$15,3,FALSE)="启用",$B$1=D208),B208,"")</f>
        <v/>
      </c>
      <c r="H208" s="6" t="str">
        <f t="array" ref="H208">INDEX(F:F,SMALL(IF($F$1:$F$500&lt;&gt;"",ROW($1:$500),1000),ROW(F208)))&amp;""</f>
        <v/>
      </c>
      <c r="I208" s="6" t="str">
        <f t="array" ref="I208">INDEX(G:G,SMALL(IF($F$1:$F$500&lt;&gt;"",ROW($1:$500),1000),ROW(G208)))&amp;""</f>
        <v/>
      </c>
      <c r="K208" s="8" t="s">
        <v>3369</v>
      </c>
      <c r="L208" s="8" t="s">
        <v>1721</v>
      </c>
      <c r="M208" s="8" t="s">
        <v>494</v>
      </c>
      <c r="N208" s="9">
        <v>7</v>
      </c>
      <c r="P208" s="8" t="str">
        <f t="shared" si="19"/>
        <v/>
      </c>
      <c r="Q208" s="8" t="str">
        <f>IF(AND(VLOOKUP(M208,查询!$C$8:$E$15,3,FALSE)="启用",$B$1=N208),L208,"")</f>
        <v/>
      </c>
      <c r="R208" s="6" t="str">
        <f t="array" ref="R208">INDEX(P:P,SMALL(IF(P$1:P$500&lt;&gt;"",ROW($1:$500),1000),ROW(P208)))&amp;""</f>
        <v/>
      </c>
      <c r="S208" s="6" t="str">
        <f t="array" ref="S208">INDEX(Q:Q,SMALL(IF(Q$1:Q$500&lt;&gt;"",ROW($1:$500),1000),ROW(Q208)))&amp;""</f>
        <v/>
      </c>
      <c r="X208" s="6"/>
      <c r="AB208" s="6" t="str">
        <f t="array" ref="AB208">INDEX(Z:Z,SMALL(IF(Z$1:Z$500&lt;&gt;"",ROW($1:$500),1000),ROW(Z208)))&amp;""</f>
        <v/>
      </c>
      <c r="AC208" s="6" t="str">
        <f t="array" ref="AC208">INDEX(AA:AA,SMALL(IF(AA$1:AA$500&lt;&gt;"",ROW($1:$500),1000),ROW(AA208)))&amp;""</f>
        <v/>
      </c>
      <c r="AH208" s="6"/>
      <c r="AL208" s="6" t="str">
        <f t="array" ref="AL208">INDEX(AJ:AJ,SMALL(IF(AJ$1:AJ$500&lt;&gt;"",ROW($1:$500),1000),ROW(AJ208)))&amp;""</f>
        <v/>
      </c>
      <c r="AM208" s="6" t="str">
        <f t="array" ref="AM208">INDEX(AK:AK,SMALL(IF(AK$1:AK$500&lt;&gt;"",ROW($1:$500),1000),ROW(AK208)))&amp;""</f>
        <v/>
      </c>
      <c r="AV208" s="6" t="str">
        <f t="array" ref="AV208">INDEX(AT:AT,SMALL(IF(AT$1:AT$500&lt;&gt;"",ROW($1:$500),1000),ROW(AT208)))&amp;""</f>
        <v/>
      </c>
      <c r="AW208" s="6" t="str">
        <f t="array" ref="AW208">INDEX(AU:AU,SMALL(IF(AU$1:AU$500&lt;&gt;"",ROW($1:$500),1000),ROW(AU208)))&amp;""</f>
        <v/>
      </c>
      <c r="BF208" s="6" t="str">
        <f t="array" ref="BF208">INDEX(BD:BD,SMALL(IF(BD$1:BD$500&lt;&gt;"",ROW($1:$500),1000),ROW(BD208)))&amp;""</f>
        <v/>
      </c>
      <c r="BG208" s="6" t="str">
        <f t="array" ref="BG208">INDEX(BE:BE,SMALL(IF(BE$1:BE$500&lt;&gt;"",ROW($1:$500),1000),ROW(BE208)))&amp;""</f>
        <v/>
      </c>
      <c r="BL208" s="6"/>
      <c r="BP208" s="6" t="str">
        <f t="array" ref="BP208">INDEX(BN:BN,SMALL(IF(BN$1:BN$500&lt;&gt;"",ROW($1:$500),1000),ROW(BN208)))&amp;""</f>
        <v/>
      </c>
      <c r="BQ208" s="6" t="str">
        <f t="array" ref="BQ208">INDEX(BO:BO,SMALL(IF(BO$1:BO$500&lt;&gt;"",ROW($1:$500),1000),ROW(BO208)))&amp;""</f>
        <v/>
      </c>
      <c r="BV208" s="6"/>
      <c r="BZ208" s="6" t="str">
        <f t="array" ref="BZ208">INDEX(BX:BX,SMALL(IF(BX$1:BX$500&lt;&gt;"",ROW($1:$500),1000),ROW(BX208)))&amp;""</f>
        <v/>
      </c>
      <c r="CA208" s="6" t="str">
        <f t="array" ref="CA208">INDEX(BY:BY,SMALL(IF(BY$1:BY$500&lt;&gt;"",ROW($1:$500),1000),ROW(BY208)))&amp;""</f>
        <v/>
      </c>
    </row>
    <row r="209" spans="1:79">
      <c r="A209" s="8" t="s">
        <v>2893</v>
      </c>
      <c r="B209" s="8" t="s">
        <v>1699</v>
      </c>
      <c r="C209" s="8" t="s">
        <v>494</v>
      </c>
      <c r="D209" s="9">
        <v>4</v>
      </c>
      <c r="F209" s="8" t="str">
        <f t="shared" si="18"/>
        <v/>
      </c>
      <c r="G209" s="8" t="str">
        <f>IF(AND(VLOOKUP(C209,查询!$C$8:$E$15,3,FALSE)="启用",$B$1=D209),B209,"")</f>
        <v/>
      </c>
      <c r="H209" s="6" t="str">
        <f t="array" ref="H209">INDEX(F:F,SMALL(IF($F$1:$F$500&lt;&gt;"",ROW($1:$500),1000),ROW(F209)))&amp;""</f>
        <v/>
      </c>
      <c r="I209" s="6" t="str">
        <f t="array" ref="I209">INDEX(G:G,SMALL(IF($F$1:$F$500&lt;&gt;"",ROW($1:$500),1000),ROW(G209)))&amp;""</f>
        <v/>
      </c>
      <c r="K209" s="8" t="s">
        <v>3375</v>
      </c>
      <c r="L209" s="8" t="s">
        <v>1279</v>
      </c>
      <c r="M209" s="8" t="s">
        <v>1249</v>
      </c>
      <c r="N209" s="9">
        <v>8</v>
      </c>
      <c r="P209" s="8" t="str">
        <f t="shared" si="19"/>
        <v/>
      </c>
      <c r="Q209" s="8" t="str">
        <f>IF(AND(VLOOKUP(M209,查询!$C$8:$E$15,3,FALSE)="启用",$B$1=N209),L209,"")</f>
        <v/>
      </c>
      <c r="R209" s="6" t="str">
        <f t="array" ref="R209">INDEX(P:P,SMALL(IF(P$1:P$500&lt;&gt;"",ROW($1:$500),1000),ROW(P209)))&amp;""</f>
        <v/>
      </c>
      <c r="S209" s="6" t="str">
        <f t="array" ref="S209">INDEX(Q:Q,SMALL(IF(Q$1:Q$500&lt;&gt;"",ROW($1:$500),1000),ROW(Q209)))&amp;""</f>
        <v/>
      </c>
      <c r="X209" s="6"/>
      <c r="AB209" s="6" t="str">
        <f t="array" ref="AB209">INDEX(Z:Z,SMALL(IF(Z$1:Z$500&lt;&gt;"",ROW($1:$500),1000),ROW(Z209)))&amp;""</f>
        <v/>
      </c>
      <c r="AC209" s="6" t="str">
        <f t="array" ref="AC209">INDEX(AA:AA,SMALL(IF(AA$1:AA$500&lt;&gt;"",ROW($1:$500),1000),ROW(AA209)))&amp;""</f>
        <v/>
      </c>
      <c r="AH209" s="6"/>
      <c r="AL209" s="6" t="str">
        <f t="array" ref="AL209">INDEX(AJ:AJ,SMALL(IF(AJ$1:AJ$500&lt;&gt;"",ROW($1:$500),1000),ROW(AJ209)))&amp;""</f>
        <v/>
      </c>
      <c r="AM209" s="6" t="str">
        <f t="array" ref="AM209">INDEX(AK:AK,SMALL(IF(AK$1:AK$500&lt;&gt;"",ROW($1:$500),1000),ROW(AK209)))&amp;""</f>
        <v/>
      </c>
      <c r="AV209" s="6" t="str">
        <f t="array" ref="AV209">INDEX(AT:AT,SMALL(IF(AT$1:AT$500&lt;&gt;"",ROW($1:$500),1000),ROW(AT209)))&amp;""</f>
        <v/>
      </c>
      <c r="AW209" s="6" t="str">
        <f t="array" ref="AW209">INDEX(AU:AU,SMALL(IF(AU$1:AU$500&lt;&gt;"",ROW($1:$500),1000),ROW(AU209)))&amp;""</f>
        <v/>
      </c>
      <c r="BF209" s="6" t="str">
        <f t="array" ref="BF209">INDEX(BD:BD,SMALL(IF(BD$1:BD$500&lt;&gt;"",ROW($1:$500),1000),ROW(BD209)))&amp;""</f>
        <v/>
      </c>
      <c r="BG209" s="6" t="str">
        <f t="array" ref="BG209">INDEX(BE:BE,SMALL(IF(BE$1:BE$500&lt;&gt;"",ROW($1:$500),1000),ROW(BE209)))&amp;""</f>
        <v/>
      </c>
      <c r="BL209" s="6"/>
      <c r="BP209" s="6" t="str">
        <f t="array" ref="BP209">INDEX(BN:BN,SMALL(IF(BN$1:BN$500&lt;&gt;"",ROW($1:$500),1000),ROW(BN209)))&amp;""</f>
        <v/>
      </c>
      <c r="BQ209" s="6" t="str">
        <f t="array" ref="BQ209">INDEX(BO:BO,SMALL(IF(BO$1:BO$500&lt;&gt;"",ROW($1:$500),1000),ROW(BO209)))&amp;""</f>
        <v/>
      </c>
      <c r="BV209" s="6"/>
      <c r="BZ209" s="6" t="str">
        <f t="array" ref="BZ209">INDEX(BX:BX,SMALL(IF(BX$1:BX$500&lt;&gt;"",ROW($1:$500),1000),ROW(BX209)))&amp;""</f>
        <v/>
      </c>
      <c r="CA209" s="6" t="str">
        <f t="array" ref="CA209">INDEX(BY:BY,SMALL(IF(BY$1:BY$500&lt;&gt;"",ROW($1:$500),1000),ROW(BY209)))&amp;""</f>
        <v/>
      </c>
    </row>
    <row r="210" spans="1:79">
      <c r="A210" s="8" t="s">
        <v>2900</v>
      </c>
      <c r="B210" s="8" t="s">
        <v>1705</v>
      </c>
      <c r="C210" s="8" t="s">
        <v>494</v>
      </c>
      <c r="D210" s="9">
        <v>4</v>
      </c>
      <c r="F210" s="8" t="str">
        <f t="shared" si="18"/>
        <v/>
      </c>
      <c r="G210" s="8" t="str">
        <f>IF(AND(VLOOKUP(C210,查询!$C$8:$E$15,3,FALSE)="启用",$B$1=D210),B210,"")</f>
        <v/>
      </c>
      <c r="H210" s="6" t="str">
        <f t="array" ref="H210">INDEX(F:F,SMALL(IF($F$1:$F$500&lt;&gt;"",ROW($1:$500),1000),ROW(F210)))&amp;""</f>
        <v/>
      </c>
      <c r="I210" s="6" t="str">
        <f t="array" ref="I210">INDEX(G:G,SMALL(IF($F$1:$F$500&lt;&gt;"",ROW($1:$500),1000),ROW(G210)))&amp;""</f>
        <v/>
      </c>
      <c r="K210" s="8" t="s">
        <v>3375</v>
      </c>
      <c r="L210" s="8" t="s">
        <v>1728</v>
      </c>
      <c r="M210" s="8" t="s">
        <v>578</v>
      </c>
      <c r="N210" s="9">
        <v>8</v>
      </c>
      <c r="P210" s="8" t="str">
        <f t="shared" si="19"/>
        <v/>
      </c>
      <c r="Q210" s="8" t="str">
        <f>IF(AND(VLOOKUP(M210,查询!$C$8:$E$15,3,FALSE)="启用",$B$1=N210),L210,"")</f>
        <v/>
      </c>
      <c r="R210" s="6" t="str">
        <f t="array" ref="R210">INDEX(P:P,SMALL(IF(P$1:P$500&lt;&gt;"",ROW($1:$500),1000),ROW(P210)))&amp;""</f>
        <v/>
      </c>
      <c r="S210" s="6" t="str">
        <f t="array" ref="S210">INDEX(Q:Q,SMALL(IF(Q$1:Q$500&lt;&gt;"",ROW($1:$500),1000),ROW(Q210)))&amp;""</f>
        <v/>
      </c>
      <c r="X210" s="6"/>
      <c r="AB210" s="6" t="str">
        <f t="array" ref="AB210">INDEX(Z:Z,SMALL(IF(Z$1:Z$500&lt;&gt;"",ROW($1:$500),1000),ROW(Z210)))&amp;""</f>
        <v/>
      </c>
      <c r="AC210" s="6" t="str">
        <f t="array" ref="AC210">INDEX(AA:AA,SMALL(IF(AA$1:AA$500&lt;&gt;"",ROW($1:$500),1000),ROW(AA210)))&amp;""</f>
        <v/>
      </c>
      <c r="AH210" s="6"/>
      <c r="AL210" s="6" t="str">
        <f t="array" ref="AL210">INDEX(AJ:AJ,SMALL(IF(AJ$1:AJ$500&lt;&gt;"",ROW($1:$500),1000),ROW(AJ210)))&amp;""</f>
        <v/>
      </c>
      <c r="AM210" s="6" t="str">
        <f t="array" ref="AM210">INDEX(AK:AK,SMALL(IF(AK$1:AK$500&lt;&gt;"",ROW($1:$500),1000),ROW(AK210)))&amp;""</f>
        <v/>
      </c>
      <c r="AV210" s="6" t="str">
        <f t="array" ref="AV210">INDEX(AT:AT,SMALL(IF(AT$1:AT$500&lt;&gt;"",ROW($1:$500),1000),ROW(AT210)))&amp;""</f>
        <v/>
      </c>
      <c r="AW210" s="6" t="str">
        <f t="array" ref="AW210">INDEX(AU:AU,SMALL(IF(AU$1:AU$500&lt;&gt;"",ROW($1:$500),1000),ROW(AU210)))&amp;""</f>
        <v/>
      </c>
      <c r="BF210" s="6" t="str">
        <f t="array" ref="BF210">INDEX(BD:BD,SMALL(IF(BD$1:BD$500&lt;&gt;"",ROW($1:$500),1000),ROW(BD210)))&amp;""</f>
        <v/>
      </c>
      <c r="BG210" s="6" t="str">
        <f t="array" ref="BG210">INDEX(BE:BE,SMALL(IF(BE$1:BE$500&lt;&gt;"",ROW($1:$500),1000),ROW(BE210)))&amp;""</f>
        <v/>
      </c>
      <c r="BL210" s="6"/>
      <c r="BP210" s="6" t="str">
        <f t="array" ref="BP210">INDEX(BN:BN,SMALL(IF(BN$1:BN$500&lt;&gt;"",ROW($1:$500),1000),ROW(BN210)))&amp;""</f>
        <v/>
      </c>
      <c r="BQ210" s="6" t="str">
        <f t="array" ref="BQ210">INDEX(BO:BO,SMALL(IF(BO$1:BO$500&lt;&gt;"",ROW($1:$500),1000),ROW(BO210)))&amp;""</f>
        <v/>
      </c>
      <c r="BV210" s="6"/>
      <c r="BZ210" s="6" t="str">
        <f t="array" ref="BZ210">INDEX(BX:BX,SMALL(IF(BX$1:BX$500&lt;&gt;"",ROW($1:$500),1000),ROW(BX210)))&amp;""</f>
        <v/>
      </c>
      <c r="CA210" s="6" t="str">
        <f t="array" ref="CA210">INDEX(BY:BY,SMALL(IF(BY$1:BY$500&lt;&gt;"",ROW($1:$500),1000),ROW(BY210)))&amp;""</f>
        <v/>
      </c>
    </row>
    <row r="211" spans="1:79">
      <c r="A211" s="8" t="s">
        <v>2915</v>
      </c>
      <c r="B211" s="8" t="s">
        <v>1264</v>
      </c>
      <c r="C211" s="8" t="s">
        <v>1249</v>
      </c>
      <c r="D211" s="9">
        <v>5</v>
      </c>
      <c r="F211" s="8" t="str">
        <f t="shared" si="18"/>
        <v/>
      </c>
      <c r="G211" s="8" t="str">
        <f>IF(AND(VLOOKUP(C211,查询!$C$8:$E$15,3,FALSE)="启用",$B$1=D211),B211,"")</f>
        <v/>
      </c>
      <c r="H211" s="6" t="str">
        <f t="array" ref="H211">INDEX(F:F,SMALL(IF($F$1:$F$500&lt;&gt;"",ROW($1:$500),1000),ROW(F211)))&amp;""</f>
        <v/>
      </c>
      <c r="I211" s="6" t="str">
        <f t="array" ref="I211">INDEX(G:G,SMALL(IF($F$1:$F$500&lt;&gt;"",ROW($1:$500),1000),ROW(G211)))&amp;""</f>
        <v/>
      </c>
      <c r="K211" s="8" t="s">
        <v>3395</v>
      </c>
      <c r="L211" s="8" t="s">
        <v>1417</v>
      </c>
      <c r="M211" s="8" t="s">
        <v>494</v>
      </c>
      <c r="N211" s="9">
        <v>8</v>
      </c>
      <c r="P211" s="8" t="str">
        <f t="shared" si="19"/>
        <v/>
      </c>
      <c r="Q211" s="8" t="str">
        <f>IF(AND(VLOOKUP(M211,查询!$C$8:$E$15,3,FALSE)="启用",$B$1=N211),L211,"")</f>
        <v/>
      </c>
      <c r="R211" s="6" t="str">
        <f t="array" ref="R211">INDEX(P:P,SMALL(IF(P$1:P$500&lt;&gt;"",ROW($1:$500),1000),ROW(P211)))&amp;""</f>
        <v/>
      </c>
      <c r="S211" s="6" t="str">
        <f t="array" ref="S211">INDEX(Q:Q,SMALL(IF(Q$1:Q$500&lt;&gt;"",ROW($1:$500),1000),ROW(Q211)))&amp;""</f>
        <v/>
      </c>
      <c r="X211" s="6"/>
      <c r="AB211" s="6" t="str">
        <f t="array" ref="AB211">INDEX(Z:Z,SMALL(IF(Z$1:Z$500&lt;&gt;"",ROW($1:$500),1000),ROW(Z211)))&amp;""</f>
        <v/>
      </c>
      <c r="AC211" s="6" t="str">
        <f t="array" ref="AC211">INDEX(AA:AA,SMALL(IF(AA$1:AA$500&lt;&gt;"",ROW($1:$500),1000),ROW(AA211)))&amp;""</f>
        <v/>
      </c>
      <c r="AH211" s="6"/>
      <c r="AL211" s="6" t="str">
        <f t="array" ref="AL211">INDEX(AJ:AJ,SMALL(IF(AJ$1:AJ$500&lt;&gt;"",ROW($1:$500),1000),ROW(AJ211)))&amp;""</f>
        <v/>
      </c>
      <c r="AM211" s="6" t="str">
        <f t="array" ref="AM211">INDEX(AK:AK,SMALL(IF(AK$1:AK$500&lt;&gt;"",ROW($1:$500),1000),ROW(AK211)))&amp;""</f>
        <v/>
      </c>
      <c r="AV211" s="6" t="str">
        <f t="array" ref="AV211">INDEX(AT:AT,SMALL(IF(AT$1:AT$500&lt;&gt;"",ROW($1:$500),1000),ROW(AT211)))&amp;""</f>
        <v/>
      </c>
      <c r="AW211" s="6" t="str">
        <f t="array" ref="AW211">INDEX(AU:AU,SMALL(IF(AU$1:AU$500&lt;&gt;"",ROW($1:$500),1000),ROW(AU211)))&amp;""</f>
        <v/>
      </c>
      <c r="BF211" s="6" t="str">
        <f t="array" ref="BF211">INDEX(BD:BD,SMALL(IF(BD$1:BD$500&lt;&gt;"",ROW($1:$500),1000),ROW(BD211)))&amp;""</f>
        <v/>
      </c>
      <c r="BG211" s="6" t="str">
        <f t="array" ref="BG211">INDEX(BE:BE,SMALL(IF(BE$1:BE$500&lt;&gt;"",ROW($1:$500),1000),ROW(BE211)))&amp;""</f>
        <v/>
      </c>
      <c r="BL211" s="6"/>
      <c r="BP211" s="6" t="str">
        <f t="array" ref="BP211">INDEX(BN:BN,SMALL(IF(BN$1:BN$500&lt;&gt;"",ROW($1:$500),1000),ROW(BN211)))&amp;""</f>
        <v/>
      </c>
      <c r="BQ211" s="6" t="str">
        <f t="array" ref="BQ211">INDEX(BO:BO,SMALL(IF(BO$1:BO$500&lt;&gt;"",ROW($1:$500),1000),ROW(BO211)))&amp;""</f>
        <v/>
      </c>
      <c r="BV211" s="6"/>
      <c r="BZ211" s="6" t="str">
        <f t="array" ref="BZ211">INDEX(BX:BX,SMALL(IF(BX$1:BX$500&lt;&gt;"",ROW($1:$500),1000),ROW(BX211)))&amp;""</f>
        <v/>
      </c>
      <c r="CA211" s="6" t="str">
        <f t="array" ref="CA211">INDEX(BY:BY,SMALL(IF(BY$1:BY$500&lt;&gt;"",ROW($1:$500),1000),ROW(BY211)))&amp;""</f>
        <v/>
      </c>
    </row>
    <row r="212" spans="1:79">
      <c r="A212" s="8" t="s">
        <v>2972</v>
      </c>
      <c r="B212" s="8" t="s">
        <v>1372</v>
      </c>
      <c r="C212" s="8" t="s">
        <v>494</v>
      </c>
      <c r="D212" s="9">
        <v>5</v>
      </c>
      <c r="F212" s="8" t="str">
        <f t="shared" si="18"/>
        <v/>
      </c>
      <c r="G212" s="8" t="str">
        <f>IF(AND(VLOOKUP(C212,查询!$C$8:$E$15,3,FALSE)="启用",$B$1=D212),B212,"")</f>
        <v/>
      </c>
      <c r="H212" s="6" t="str">
        <f t="array" ref="H212">INDEX(F:F,SMALL(IF($F$1:$F$500&lt;&gt;"",ROW($1:$500),1000),ROW(F212)))&amp;""</f>
        <v/>
      </c>
      <c r="I212" s="6" t="str">
        <f t="array" ref="I212">INDEX(G:G,SMALL(IF($F$1:$F$500&lt;&gt;"",ROW($1:$500),1000),ROW(G212)))&amp;""</f>
        <v/>
      </c>
      <c r="K212" s="8" t="s">
        <v>3400</v>
      </c>
      <c r="L212" s="8" t="s">
        <v>1446</v>
      </c>
      <c r="M212" s="8" t="s">
        <v>494</v>
      </c>
      <c r="N212" s="9">
        <v>8</v>
      </c>
      <c r="P212" s="8" t="str">
        <f t="shared" si="19"/>
        <v/>
      </c>
      <c r="Q212" s="8" t="str">
        <f>IF(AND(VLOOKUP(M212,查询!$C$8:$E$15,3,FALSE)="启用",$B$1=N212),L212,"")</f>
        <v/>
      </c>
      <c r="R212" s="6" t="str">
        <f t="array" ref="R212">INDEX(P:P,SMALL(IF(P$1:P$500&lt;&gt;"",ROW($1:$500),1000),ROW(P212)))&amp;""</f>
        <v/>
      </c>
      <c r="S212" s="6" t="str">
        <f t="array" ref="S212">INDEX(Q:Q,SMALL(IF(Q$1:Q$500&lt;&gt;"",ROW($1:$500),1000),ROW(Q212)))&amp;""</f>
        <v/>
      </c>
      <c r="X212" s="6"/>
      <c r="AB212" s="6" t="str">
        <f t="array" ref="AB212">INDEX(Z:Z,SMALL(IF(Z$1:Z$500&lt;&gt;"",ROW($1:$500),1000),ROW(Z212)))&amp;""</f>
        <v/>
      </c>
      <c r="AC212" s="6" t="str">
        <f t="array" ref="AC212">INDEX(AA:AA,SMALL(IF(AA$1:AA$500&lt;&gt;"",ROW($1:$500),1000),ROW(AA212)))&amp;""</f>
        <v/>
      </c>
      <c r="AH212" s="6"/>
      <c r="AL212" s="6" t="str">
        <f t="array" ref="AL212">INDEX(AJ:AJ,SMALL(IF(AJ$1:AJ$500&lt;&gt;"",ROW($1:$500),1000),ROW(AJ212)))&amp;""</f>
        <v/>
      </c>
      <c r="AM212" s="6" t="str">
        <f t="array" ref="AM212">INDEX(AK:AK,SMALL(IF(AK$1:AK$500&lt;&gt;"",ROW($1:$500),1000),ROW(AK212)))&amp;""</f>
        <v/>
      </c>
      <c r="AV212" s="6" t="str">
        <f t="array" ref="AV212">INDEX(AT:AT,SMALL(IF(AT$1:AT$500&lt;&gt;"",ROW($1:$500),1000),ROW(AT212)))&amp;""</f>
        <v/>
      </c>
      <c r="AW212" s="6" t="str">
        <f t="array" ref="AW212">INDEX(AU:AU,SMALL(IF(AU$1:AU$500&lt;&gt;"",ROW($1:$500),1000),ROW(AU212)))&amp;""</f>
        <v/>
      </c>
      <c r="BF212" s="6" t="str">
        <f t="array" ref="BF212">INDEX(BD:BD,SMALL(IF(BD$1:BD$500&lt;&gt;"",ROW($1:$500),1000),ROW(BD212)))&amp;""</f>
        <v/>
      </c>
      <c r="BG212" s="6" t="str">
        <f t="array" ref="BG212">INDEX(BE:BE,SMALL(IF(BE$1:BE$500&lt;&gt;"",ROW($1:$500),1000),ROW(BE212)))&amp;""</f>
        <v/>
      </c>
      <c r="BL212" s="6"/>
      <c r="BP212" s="6" t="str">
        <f t="array" ref="BP212">INDEX(BN:BN,SMALL(IF(BN$1:BN$500&lt;&gt;"",ROW($1:$500),1000),ROW(BN212)))&amp;""</f>
        <v/>
      </c>
      <c r="BQ212" s="6" t="str">
        <f t="array" ref="BQ212">INDEX(BO:BO,SMALL(IF(BO$1:BO$500&lt;&gt;"",ROW($1:$500),1000),ROW(BO212)))&amp;""</f>
        <v/>
      </c>
      <c r="BV212" s="6"/>
      <c r="BZ212" s="6" t="str">
        <f t="array" ref="BZ212">INDEX(BX:BX,SMALL(IF(BX$1:BX$500&lt;&gt;"",ROW($1:$500),1000),ROW(BX212)))&amp;""</f>
        <v/>
      </c>
      <c r="CA212" s="6" t="str">
        <f t="array" ref="CA212">INDEX(BY:BY,SMALL(IF(BY$1:BY$500&lt;&gt;"",ROW($1:$500),1000),ROW(BY212)))&amp;""</f>
        <v/>
      </c>
    </row>
    <row r="213" spans="1:79">
      <c r="A213" s="8" t="s">
        <v>2920</v>
      </c>
      <c r="B213" s="8" t="s">
        <v>1268</v>
      </c>
      <c r="C213" s="8" t="s">
        <v>1249</v>
      </c>
      <c r="D213" s="9">
        <v>5</v>
      </c>
      <c r="F213" s="8" t="str">
        <f t="shared" si="18"/>
        <v/>
      </c>
      <c r="G213" s="8" t="str">
        <f>IF(AND(VLOOKUP(C213,查询!$C$8:$E$15,3,FALSE)="启用",$B$1=D213),B213,"")</f>
        <v/>
      </c>
      <c r="H213" s="6" t="str">
        <f t="array" ref="H213">INDEX(F:F,SMALL(IF($F$1:$F$500&lt;&gt;"",ROW($1:$500),1000),ROW(F213)))&amp;""</f>
        <v/>
      </c>
      <c r="I213" s="6" t="str">
        <f t="array" ref="I213">INDEX(G:G,SMALL(IF($F$1:$F$500&lt;&gt;"",ROW($1:$500),1000),ROW(G213)))&amp;""</f>
        <v/>
      </c>
      <c r="K213" s="8" t="s">
        <v>3403</v>
      </c>
      <c r="L213" s="8" t="s">
        <v>1458</v>
      </c>
      <c r="M213" s="8" t="s">
        <v>494</v>
      </c>
      <c r="N213" s="9">
        <v>8</v>
      </c>
      <c r="P213" s="8" t="str">
        <f t="shared" si="19"/>
        <v/>
      </c>
      <c r="Q213" s="8" t="str">
        <f>IF(AND(VLOOKUP(M213,查询!$C$8:$E$15,3,FALSE)="启用",$B$1=N213),L213,"")</f>
        <v/>
      </c>
      <c r="R213" s="6" t="str">
        <f t="array" ref="R213">INDEX(P:P,SMALL(IF(P$1:P$500&lt;&gt;"",ROW($1:$500),1000),ROW(P213)))&amp;""</f>
        <v/>
      </c>
      <c r="S213" s="6" t="str">
        <f t="array" ref="S213">INDEX(Q:Q,SMALL(IF(Q$1:Q$500&lt;&gt;"",ROW($1:$500),1000),ROW(Q213)))&amp;""</f>
        <v/>
      </c>
      <c r="X213" s="6"/>
      <c r="AB213" s="6" t="str">
        <f t="array" ref="AB213">INDEX(Z:Z,SMALL(IF(Z$1:Z$500&lt;&gt;"",ROW($1:$500),1000),ROW(Z213)))&amp;""</f>
        <v/>
      </c>
      <c r="AC213" s="6" t="str">
        <f t="array" ref="AC213">INDEX(AA:AA,SMALL(IF(AA$1:AA$500&lt;&gt;"",ROW($1:$500),1000),ROW(AA213)))&amp;""</f>
        <v/>
      </c>
      <c r="AH213" s="6"/>
      <c r="AL213" s="6" t="str">
        <f t="array" ref="AL213">INDEX(AJ:AJ,SMALL(IF(AJ$1:AJ$500&lt;&gt;"",ROW($1:$500),1000),ROW(AJ213)))&amp;""</f>
        <v/>
      </c>
      <c r="AM213" s="6" t="str">
        <f t="array" ref="AM213">INDEX(AK:AK,SMALL(IF(AK$1:AK$500&lt;&gt;"",ROW($1:$500),1000),ROW(AK213)))&amp;""</f>
        <v/>
      </c>
      <c r="AV213" s="6" t="str">
        <f t="array" ref="AV213">INDEX(AT:AT,SMALL(IF(AT$1:AT$500&lt;&gt;"",ROW($1:$500),1000),ROW(AT213)))&amp;""</f>
        <v/>
      </c>
      <c r="AW213" s="6" t="str">
        <f t="array" ref="AW213">INDEX(AU:AU,SMALL(IF(AU$1:AU$500&lt;&gt;"",ROW($1:$500),1000),ROW(AU213)))&amp;""</f>
        <v/>
      </c>
      <c r="BF213" s="6" t="str">
        <f t="array" ref="BF213">INDEX(BD:BD,SMALL(IF(BD$1:BD$500&lt;&gt;"",ROW($1:$500),1000),ROW(BD213)))&amp;""</f>
        <v/>
      </c>
      <c r="BG213" s="6" t="str">
        <f t="array" ref="BG213">INDEX(BE:BE,SMALL(IF(BE$1:BE$500&lt;&gt;"",ROW($1:$500),1000),ROW(BE213)))&amp;""</f>
        <v/>
      </c>
      <c r="BL213" s="6"/>
      <c r="BP213" s="6" t="str">
        <f t="array" ref="BP213">INDEX(BN:BN,SMALL(IF(BN$1:BN$500&lt;&gt;"",ROW($1:$500),1000),ROW(BN213)))&amp;""</f>
        <v/>
      </c>
      <c r="BQ213" s="6" t="str">
        <f t="array" ref="BQ213">INDEX(BO:BO,SMALL(IF(BO$1:BO$500&lt;&gt;"",ROW($1:$500),1000),ROW(BO213)))&amp;""</f>
        <v/>
      </c>
      <c r="BV213" s="6"/>
      <c r="BZ213" s="6" t="str">
        <f t="array" ref="BZ213">INDEX(BX:BX,SMALL(IF(BX$1:BX$500&lt;&gt;"",ROW($1:$500),1000),ROW(BX213)))&amp;""</f>
        <v/>
      </c>
      <c r="CA213" s="6" t="str">
        <f t="array" ref="CA213">INDEX(BY:BY,SMALL(IF(BY$1:BY$500&lt;&gt;"",ROW($1:$500),1000),ROW(BY213)))&amp;""</f>
        <v/>
      </c>
    </row>
    <row r="214" spans="1:79">
      <c r="A214" s="8" t="s">
        <v>2923</v>
      </c>
      <c r="B214" s="8" t="s">
        <v>1269</v>
      </c>
      <c r="C214" s="8" t="s">
        <v>1249</v>
      </c>
      <c r="D214" s="9">
        <v>5</v>
      </c>
      <c r="F214" s="8" t="str">
        <f t="shared" si="18"/>
        <v/>
      </c>
      <c r="G214" s="8" t="str">
        <f>IF(AND(VLOOKUP(C214,查询!$C$8:$E$15,3,FALSE)="启用",$B$1=D214),B214,"")</f>
        <v/>
      </c>
      <c r="H214" s="6" t="str">
        <f t="array" ref="H214">INDEX(F:F,SMALL(IF($F$1:$F$500&lt;&gt;"",ROW($1:$500),1000),ROW(F214)))&amp;""</f>
        <v/>
      </c>
      <c r="I214" s="6" t="str">
        <f t="array" ref="I214">INDEX(G:G,SMALL(IF($F$1:$F$500&lt;&gt;"",ROW($1:$500),1000),ROW(G214)))&amp;""</f>
        <v/>
      </c>
      <c r="K214" s="8" t="s">
        <v>3417</v>
      </c>
      <c r="L214" s="8" t="s">
        <v>1594</v>
      </c>
      <c r="M214" s="8" t="s">
        <v>494</v>
      </c>
      <c r="N214" s="9">
        <v>8</v>
      </c>
      <c r="P214" s="8" t="str">
        <f t="shared" si="19"/>
        <v/>
      </c>
      <c r="Q214" s="8" t="str">
        <f>IF(AND(VLOOKUP(M214,查询!$C$8:$E$15,3,FALSE)="启用",$B$1=N214),L214,"")</f>
        <v/>
      </c>
      <c r="R214" s="6" t="str">
        <f t="array" ref="R214">INDEX(P:P,SMALL(IF(P$1:P$500&lt;&gt;"",ROW($1:$500),1000),ROW(P214)))&amp;""</f>
        <v/>
      </c>
      <c r="S214" s="6" t="str">
        <f t="array" ref="S214">INDEX(Q:Q,SMALL(IF(Q$1:Q$500&lt;&gt;"",ROW($1:$500),1000),ROW(Q214)))&amp;""</f>
        <v/>
      </c>
      <c r="X214" s="6"/>
      <c r="AB214" s="6" t="str">
        <f t="array" ref="AB214">INDEX(Z:Z,SMALL(IF(Z$1:Z$500&lt;&gt;"",ROW($1:$500),1000),ROW(Z214)))&amp;""</f>
        <v/>
      </c>
      <c r="AC214" s="6" t="str">
        <f t="array" ref="AC214">INDEX(AA:AA,SMALL(IF(AA$1:AA$500&lt;&gt;"",ROW($1:$500),1000),ROW(AA214)))&amp;""</f>
        <v/>
      </c>
      <c r="AH214" s="6"/>
      <c r="AL214" s="6" t="str">
        <f t="array" ref="AL214">INDEX(AJ:AJ,SMALL(IF(AJ$1:AJ$500&lt;&gt;"",ROW($1:$500),1000),ROW(AJ214)))&amp;""</f>
        <v/>
      </c>
      <c r="AM214" s="6" t="str">
        <f t="array" ref="AM214">INDEX(AK:AK,SMALL(IF(AK$1:AK$500&lt;&gt;"",ROW($1:$500),1000),ROW(AK214)))&amp;""</f>
        <v/>
      </c>
      <c r="AV214" s="6" t="str">
        <f t="array" ref="AV214">INDEX(AT:AT,SMALL(IF(AT$1:AT$500&lt;&gt;"",ROW($1:$500),1000),ROW(AT214)))&amp;""</f>
        <v/>
      </c>
      <c r="AW214" s="6" t="str">
        <f t="array" ref="AW214">INDEX(AU:AU,SMALL(IF(AU$1:AU$500&lt;&gt;"",ROW($1:$500),1000),ROW(AU214)))&amp;""</f>
        <v/>
      </c>
      <c r="BF214" s="6" t="str">
        <f t="array" ref="BF214">INDEX(BD:BD,SMALL(IF(BD$1:BD$500&lt;&gt;"",ROW($1:$500),1000),ROW(BD214)))&amp;""</f>
        <v/>
      </c>
      <c r="BG214" s="6" t="str">
        <f t="array" ref="BG214">INDEX(BE:BE,SMALL(IF(BE$1:BE$500&lt;&gt;"",ROW($1:$500),1000),ROW(BE214)))&amp;""</f>
        <v/>
      </c>
      <c r="BL214" s="6"/>
      <c r="BP214" s="6" t="str">
        <f t="array" ref="BP214">INDEX(BN:BN,SMALL(IF(BN$1:BN$500&lt;&gt;"",ROW($1:$500),1000),ROW(BN214)))&amp;""</f>
        <v/>
      </c>
      <c r="BQ214" s="6" t="str">
        <f t="array" ref="BQ214">INDEX(BO:BO,SMALL(IF(BO$1:BO$500&lt;&gt;"",ROW($1:$500),1000),ROW(BO214)))&amp;""</f>
        <v/>
      </c>
      <c r="BV214" s="6"/>
      <c r="BZ214" s="6" t="str">
        <f t="array" ref="BZ214">INDEX(BX:BX,SMALL(IF(BX$1:BX$500&lt;&gt;"",ROW($1:$500),1000),ROW(BX214)))&amp;""</f>
        <v/>
      </c>
      <c r="CA214" s="6" t="str">
        <f t="array" ref="CA214">INDEX(BY:BY,SMALL(IF(BY$1:BY$500&lt;&gt;"",ROW($1:$500),1000),ROW(BY214)))&amp;""</f>
        <v/>
      </c>
    </row>
    <row r="215" spans="1:79">
      <c r="A215" s="8" t="s">
        <v>2925</v>
      </c>
      <c r="B215" s="8" t="s">
        <v>1278</v>
      </c>
      <c r="C215" s="8" t="s">
        <v>1249</v>
      </c>
      <c r="D215" s="9">
        <v>5</v>
      </c>
      <c r="F215" s="8" t="str">
        <f t="shared" si="18"/>
        <v/>
      </c>
      <c r="G215" s="8" t="str">
        <f>IF(AND(VLOOKUP(C215,查询!$C$8:$E$15,3,FALSE)="启用",$B$1=D215),B215,"")</f>
        <v/>
      </c>
      <c r="H215" s="6" t="str">
        <f t="array" ref="H215">INDEX(F:F,SMALL(IF($F$1:$F$500&lt;&gt;"",ROW($1:$500),1000),ROW(F215)))&amp;""</f>
        <v/>
      </c>
      <c r="I215" s="6" t="str">
        <f t="array" ref="I215">INDEX(G:G,SMALL(IF($F$1:$F$500&lt;&gt;"",ROW($1:$500),1000),ROW(G215)))&amp;""</f>
        <v/>
      </c>
      <c r="K215" s="8" t="s">
        <v>3440</v>
      </c>
      <c r="L215" s="8" t="s">
        <v>1698</v>
      </c>
      <c r="M215" s="8" t="s">
        <v>494</v>
      </c>
      <c r="N215" s="9">
        <v>8</v>
      </c>
      <c r="P215" s="8" t="str">
        <f t="shared" si="19"/>
        <v/>
      </c>
      <c r="Q215" s="8" t="str">
        <f>IF(AND(VLOOKUP(M215,查询!$C$8:$E$15,3,FALSE)="启用",$B$1=N215),L215,"")</f>
        <v/>
      </c>
      <c r="R215" s="6" t="str">
        <f t="array" ref="R215">INDEX(P:P,SMALL(IF(P$1:P$500&lt;&gt;"",ROW($1:$500),1000),ROW(P215)))&amp;""</f>
        <v/>
      </c>
      <c r="S215" s="6" t="str">
        <f t="array" ref="S215">INDEX(Q:Q,SMALL(IF(Q$1:Q$500&lt;&gt;"",ROW($1:$500),1000),ROW(Q215)))&amp;""</f>
        <v/>
      </c>
      <c r="X215" s="6"/>
      <c r="AB215" s="6" t="str">
        <f t="array" ref="AB215">INDEX(Z:Z,SMALL(IF(Z$1:Z$500&lt;&gt;"",ROW($1:$500),1000),ROW(Z215)))&amp;""</f>
        <v/>
      </c>
      <c r="AC215" s="6" t="str">
        <f t="array" ref="AC215">INDEX(AA:AA,SMALL(IF(AA$1:AA$500&lt;&gt;"",ROW($1:$500),1000),ROW(AA215)))&amp;""</f>
        <v/>
      </c>
      <c r="AH215" s="6"/>
      <c r="AL215" s="6" t="str">
        <f t="array" ref="AL215">INDEX(AJ:AJ,SMALL(IF(AJ$1:AJ$500&lt;&gt;"",ROW($1:$500),1000),ROW(AJ215)))&amp;""</f>
        <v/>
      </c>
      <c r="AM215" s="6" t="str">
        <f t="array" ref="AM215">INDEX(AK:AK,SMALL(IF(AK$1:AK$500&lt;&gt;"",ROW($1:$500),1000),ROW(AK215)))&amp;""</f>
        <v/>
      </c>
      <c r="AV215" s="6" t="str">
        <f t="array" ref="AV215">INDEX(AT:AT,SMALL(IF(AT$1:AT$500&lt;&gt;"",ROW($1:$500),1000),ROW(AT215)))&amp;""</f>
        <v/>
      </c>
      <c r="AW215" s="6" t="str">
        <f t="array" ref="AW215">INDEX(AU:AU,SMALL(IF(AU$1:AU$500&lt;&gt;"",ROW($1:$500),1000),ROW(AU215)))&amp;""</f>
        <v/>
      </c>
      <c r="BF215" s="6" t="str">
        <f t="array" ref="BF215">INDEX(BD:BD,SMALL(IF(BD$1:BD$500&lt;&gt;"",ROW($1:$500),1000),ROW(BD215)))&amp;""</f>
        <v/>
      </c>
      <c r="BG215" s="6" t="str">
        <f t="array" ref="BG215">INDEX(BE:BE,SMALL(IF(BE$1:BE$500&lt;&gt;"",ROW($1:$500),1000),ROW(BE215)))&amp;""</f>
        <v/>
      </c>
      <c r="BL215" s="6"/>
      <c r="BP215" s="6" t="str">
        <f t="array" ref="BP215">INDEX(BN:BN,SMALL(IF(BN$1:BN$500&lt;&gt;"",ROW($1:$500),1000),ROW(BN215)))&amp;""</f>
        <v/>
      </c>
      <c r="BQ215" s="6" t="str">
        <f t="array" ref="BQ215">INDEX(BO:BO,SMALL(IF(BO$1:BO$500&lt;&gt;"",ROW($1:$500),1000),ROW(BO215)))&amp;""</f>
        <v/>
      </c>
      <c r="BV215" s="6"/>
      <c r="BZ215" s="6" t="str">
        <f t="array" ref="BZ215">INDEX(BX:BX,SMALL(IF(BX$1:BX$500&lt;&gt;"",ROW($1:$500),1000),ROW(BX215)))&amp;""</f>
        <v/>
      </c>
      <c r="CA215" s="6" t="str">
        <f t="array" ref="CA215">INDEX(BY:BY,SMALL(IF(BY$1:BY$500&lt;&gt;"",ROW($1:$500),1000),ROW(BY215)))&amp;""</f>
        <v/>
      </c>
    </row>
    <row r="216" spans="1:79">
      <c r="A216" s="8" t="s">
        <v>2975</v>
      </c>
      <c r="B216" s="8" t="s">
        <v>1384</v>
      </c>
      <c r="C216" s="8" t="s">
        <v>494</v>
      </c>
      <c r="D216" s="9">
        <v>5</v>
      </c>
      <c r="F216" s="8" t="str">
        <f t="shared" si="18"/>
        <v/>
      </c>
      <c r="G216" s="8" t="str">
        <f>IF(AND(VLOOKUP(C216,查询!$C$8:$E$15,3,FALSE)="启用",$B$1=D216),B216,"")</f>
        <v/>
      </c>
      <c r="H216" s="6" t="str">
        <f t="array" ref="H216">INDEX(F:F,SMALL(IF($F$1:$F$500&lt;&gt;"",ROW($1:$500),1000),ROW(F216)))&amp;""</f>
        <v/>
      </c>
      <c r="I216" s="6" t="str">
        <f t="array" ref="I216">INDEX(G:G,SMALL(IF($F$1:$F$500&lt;&gt;"",ROW($1:$500),1000),ROW(G216)))&amp;""</f>
        <v/>
      </c>
      <c r="K216" s="8" t="s">
        <v>3444</v>
      </c>
      <c r="L216" s="8" t="s">
        <v>1702</v>
      </c>
      <c r="M216" s="8" t="s">
        <v>494</v>
      </c>
      <c r="N216" s="9">
        <v>8</v>
      </c>
      <c r="P216" s="8" t="str">
        <f t="shared" si="19"/>
        <v/>
      </c>
      <c r="Q216" s="8" t="str">
        <f>IF(AND(VLOOKUP(M216,查询!$C$8:$E$15,3,FALSE)="启用",$B$1=N216),L216,"")</f>
        <v/>
      </c>
      <c r="R216" s="6" t="str">
        <f t="array" ref="R216">INDEX(P:P,SMALL(IF(P$1:P$500&lt;&gt;"",ROW($1:$500),1000),ROW(P216)))&amp;""</f>
        <v/>
      </c>
      <c r="S216" s="6" t="str">
        <f t="array" ref="S216">INDEX(Q:Q,SMALL(IF(Q$1:Q$500&lt;&gt;"",ROW($1:$500),1000),ROW(Q216)))&amp;""</f>
        <v/>
      </c>
      <c r="X216" s="6"/>
      <c r="AB216" s="6" t="str">
        <f t="array" ref="AB216">INDEX(Z:Z,SMALL(IF(Z$1:Z$500&lt;&gt;"",ROW($1:$500),1000),ROW(Z216)))&amp;""</f>
        <v/>
      </c>
      <c r="AC216" s="6" t="str">
        <f t="array" ref="AC216">INDEX(AA:AA,SMALL(IF(AA$1:AA$500&lt;&gt;"",ROW($1:$500),1000),ROW(AA216)))&amp;""</f>
        <v/>
      </c>
      <c r="AH216" s="6"/>
      <c r="AL216" s="6" t="str">
        <f t="array" ref="AL216">INDEX(AJ:AJ,SMALL(IF(AJ$1:AJ$500&lt;&gt;"",ROW($1:$500),1000),ROW(AJ216)))&amp;""</f>
        <v/>
      </c>
      <c r="AM216" s="6" t="str">
        <f t="array" ref="AM216">INDEX(AK:AK,SMALL(IF(AK$1:AK$500&lt;&gt;"",ROW($1:$500),1000),ROW(AK216)))&amp;""</f>
        <v/>
      </c>
      <c r="AV216" s="6" t="str">
        <f t="array" ref="AV216">INDEX(AT:AT,SMALL(IF(AT$1:AT$500&lt;&gt;"",ROW($1:$500),1000),ROW(AT216)))&amp;""</f>
        <v/>
      </c>
      <c r="AW216" s="6" t="str">
        <f t="array" ref="AW216">INDEX(AU:AU,SMALL(IF(AU$1:AU$500&lt;&gt;"",ROW($1:$500),1000),ROW(AU216)))&amp;""</f>
        <v/>
      </c>
      <c r="BF216" s="6" t="str">
        <f t="array" ref="BF216">INDEX(BD:BD,SMALL(IF(BD$1:BD$500&lt;&gt;"",ROW($1:$500),1000),ROW(BD216)))&amp;""</f>
        <v/>
      </c>
      <c r="BG216" s="6" t="str">
        <f t="array" ref="BG216">INDEX(BE:BE,SMALL(IF(BE$1:BE$500&lt;&gt;"",ROW($1:$500),1000),ROW(BE216)))&amp;""</f>
        <v/>
      </c>
      <c r="BL216" s="6"/>
      <c r="BP216" s="6" t="str">
        <f t="array" ref="BP216">INDEX(BN:BN,SMALL(IF(BN$1:BN$500&lt;&gt;"",ROW($1:$500),1000),ROW(BN216)))&amp;""</f>
        <v/>
      </c>
      <c r="BQ216" s="6" t="str">
        <f t="array" ref="BQ216">INDEX(BO:BO,SMALL(IF(BO$1:BO$500&lt;&gt;"",ROW($1:$500),1000),ROW(BO216)))&amp;""</f>
        <v/>
      </c>
      <c r="BV216" s="6"/>
      <c r="BZ216" s="6" t="str">
        <f t="array" ref="BZ216">INDEX(BX:BX,SMALL(IF(BX$1:BX$500&lt;&gt;"",ROW($1:$500),1000),ROW(BX216)))&amp;""</f>
        <v/>
      </c>
      <c r="CA216" s="6" t="str">
        <f t="array" ref="CA216">INDEX(BY:BY,SMALL(IF(BY$1:BY$500&lt;&gt;"",ROW($1:$500),1000),ROW(BY216)))&amp;""</f>
        <v/>
      </c>
    </row>
    <row r="217" spans="1:79">
      <c r="A217" s="8" t="s">
        <v>2930</v>
      </c>
      <c r="B217" s="8" t="s">
        <v>1723</v>
      </c>
      <c r="C217" s="8" t="s">
        <v>578</v>
      </c>
      <c r="D217" s="9">
        <v>5</v>
      </c>
      <c r="F217" s="8" t="str">
        <f t="shared" si="18"/>
        <v/>
      </c>
      <c r="G217" s="8" t="str">
        <f>IF(AND(VLOOKUP(C217,查询!$C$8:$E$15,3,FALSE)="启用",$B$1=D217),B217,"")</f>
        <v/>
      </c>
      <c r="H217" s="6" t="str">
        <f t="array" ref="H217">INDEX(F:F,SMALL(IF($F$1:$F$500&lt;&gt;"",ROW($1:$500),1000),ROW(F217)))&amp;""</f>
        <v/>
      </c>
      <c r="I217" s="6" t="str">
        <f t="array" ref="I217">INDEX(G:G,SMALL(IF($F$1:$F$500&lt;&gt;"",ROW($1:$500),1000),ROW(G217)))&amp;""</f>
        <v/>
      </c>
      <c r="K217" s="8" t="s">
        <v>3457</v>
      </c>
      <c r="L217" s="8" t="s">
        <v>1273</v>
      </c>
      <c r="M217" s="8" t="s">
        <v>1249</v>
      </c>
      <c r="N217" s="9">
        <v>9</v>
      </c>
      <c r="P217" s="8" t="str">
        <f t="shared" si="19"/>
        <v/>
      </c>
      <c r="Q217" s="8" t="str">
        <f>IF(AND(VLOOKUP(M217,查询!$C$8:$E$15,3,FALSE)="启用",$B$1=N217),L217,"")</f>
        <v/>
      </c>
      <c r="R217" s="6" t="str">
        <f t="array" ref="R217">INDEX(P:P,SMALL(IF(P$1:P$500&lt;&gt;"",ROW($1:$500),1000),ROW(P217)))&amp;""</f>
        <v/>
      </c>
      <c r="S217" s="6" t="str">
        <f t="array" ref="S217">INDEX(Q:Q,SMALL(IF(Q$1:Q$500&lt;&gt;"",ROW($1:$500),1000),ROW(Q217)))&amp;""</f>
        <v/>
      </c>
      <c r="X217" s="6"/>
      <c r="AB217" s="6" t="str">
        <f t="array" ref="AB217">INDEX(Z:Z,SMALL(IF(Z$1:Z$500&lt;&gt;"",ROW($1:$500),1000),ROW(Z217)))&amp;""</f>
        <v/>
      </c>
      <c r="AC217" s="6" t="str">
        <f t="array" ref="AC217">INDEX(AA:AA,SMALL(IF(AA$1:AA$500&lt;&gt;"",ROW($1:$500),1000),ROW(AA217)))&amp;""</f>
        <v/>
      </c>
      <c r="AH217" s="6"/>
      <c r="AL217" s="6" t="str">
        <f t="array" ref="AL217">INDEX(AJ:AJ,SMALL(IF(AJ$1:AJ$500&lt;&gt;"",ROW($1:$500),1000),ROW(AJ217)))&amp;""</f>
        <v/>
      </c>
      <c r="AM217" s="6" t="str">
        <f t="array" ref="AM217">INDEX(AK:AK,SMALL(IF(AK$1:AK$500&lt;&gt;"",ROW($1:$500),1000),ROW(AK217)))&amp;""</f>
        <v/>
      </c>
      <c r="AV217" s="6" t="str">
        <f t="array" ref="AV217">INDEX(AT:AT,SMALL(IF(AT$1:AT$500&lt;&gt;"",ROW($1:$500),1000),ROW(AT217)))&amp;""</f>
        <v/>
      </c>
      <c r="AW217" s="6" t="str">
        <f t="array" ref="AW217">INDEX(AU:AU,SMALL(IF(AU$1:AU$500&lt;&gt;"",ROW($1:$500),1000),ROW(AU217)))&amp;""</f>
        <v/>
      </c>
      <c r="BF217" s="6" t="str">
        <f t="array" ref="BF217">INDEX(BD:BD,SMALL(IF(BD$1:BD$500&lt;&gt;"",ROW($1:$500),1000),ROW(BD217)))&amp;""</f>
        <v/>
      </c>
      <c r="BG217" s="6" t="str">
        <f t="array" ref="BG217">INDEX(BE:BE,SMALL(IF(BE$1:BE$500&lt;&gt;"",ROW($1:$500),1000),ROW(BE217)))&amp;""</f>
        <v/>
      </c>
      <c r="BL217" s="6"/>
      <c r="BP217" s="6" t="str">
        <f t="array" ref="BP217">INDEX(BN:BN,SMALL(IF(BN$1:BN$500&lt;&gt;"",ROW($1:$500),1000),ROW(BN217)))&amp;""</f>
        <v/>
      </c>
      <c r="BQ217" s="6" t="str">
        <f t="array" ref="BQ217">INDEX(BO:BO,SMALL(IF(BO$1:BO$500&lt;&gt;"",ROW($1:$500),1000),ROW(BO217)))&amp;""</f>
        <v/>
      </c>
      <c r="BV217" s="6"/>
      <c r="BZ217" s="6" t="str">
        <f t="array" ref="BZ217">INDEX(BX:BX,SMALL(IF(BX$1:BX$500&lt;&gt;"",ROW($1:$500),1000),ROW(BX217)))&amp;""</f>
        <v/>
      </c>
      <c r="CA217" s="6" t="str">
        <f t="array" ref="CA217">INDEX(BY:BY,SMALL(IF(BY$1:BY$500&lt;&gt;"",ROW($1:$500),1000),ROW(BY217)))&amp;""</f>
        <v/>
      </c>
    </row>
    <row r="218" spans="1:79">
      <c r="A218" s="8" t="s">
        <v>2930</v>
      </c>
      <c r="B218" s="8" t="s">
        <v>1283</v>
      </c>
      <c r="C218" s="8" t="s">
        <v>1249</v>
      </c>
      <c r="D218" s="9">
        <v>5</v>
      </c>
      <c r="F218" s="8" t="str">
        <f t="shared" si="18"/>
        <v/>
      </c>
      <c r="G218" s="8" t="str">
        <f>IF(AND(VLOOKUP(C218,查询!$C$8:$E$15,3,FALSE)="启用",$B$1=D218),B218,"")</f>
        <v/>
      </c>
      <c r="H218" s="6" t="str">
        <f t="array" ref="H218">INDEX(F:F,SMALL(IF($F$1:$F$500&lt;&gt;"",ROW($1:$500),1000),ROW(F218)))&amp;""</f>
        <v/>
      </c>
      <c r="I218" s="6" t="str">
        <f t="array" ref="I218">INDEX(G:G,SMALL(IF($F$1:$F$500&lt;&gt;"",ROW($1:$500),1000),ROW(G218)))&amp;""</f>
        <v/>
      </c>
      <c r="K218" s="8" t="s">
        <v>3474</v>
      </c>
      <c r="L218" s="8" t="s">
        <v>1422</v>
      </c>
      <c r="M218" s="8" t="s">
        <v>494</v>
      </c>
      <c r="N218" s="9">
        <v>9</v>
      </c>
      <c r="P218" s="8" t="str">
        <f t="shared" si="19"/>
        <v/>
      </c>
      <c r="Q218" s="8" t="str">
        <f>IF(AND(VLOOKUP(M218,查询!$C$8:$E$15,3,FALSE)="启用",$B$1=N218),L218,"")</f>
        <v/>
      </c>
      <c r="R218" s="6" t="str">
        <f t="array" ref="R218">INDEX(P:P,SMALL(IF(P$1:P$500&lt;&gt;"",ROW($1:$500),1000),ROW(P218)))&amp;""</f>
        <v/>
      </c>
      <c r="S218" s="6" t="str">
        <f t="array" ref="S218">INDEX(Q:Q,SMALL(IF(Q$1:Q$500&lt;&gt;"",ROW($1:$500),1000),ROW(Q218)))&amp;""</f>
        <v/>
      </c>
      <c r="X218" s="6"/>
      <c r="AB218" s="6" t="str">
        <f t="array" ref="AB218">INDEX(Z:Z,SMALL(IF(Z$1:Z$500&lt;&gt;"",ROW($1:$500),1000),ROW(Z218)))&amp;""</f>
        <v/>
      </c>
      <c r="AC218" s="6" t="str">
        <f t="array" ref="AC218">INDEX(AA:AA,SMALL(IF(AA$1:AA$500&lt;&gt;"",ROW($1:$500),1000),ROW(AA218)))&amp;""</f>
        <v/>
      </c>
      <c r="AH218" s="6"/>
      <c r="AL218" s="6" t="str">
        <f t="array" ref="AL218">INDEX(AJ:AJ,SMALL(IF(AJ$1:AJ$500&lt;&gt;"",ROW($1:$500),1000),ROW(AJ218)))&amp;""</f>
        <v/>
      </c>
      <c r="AM218" s="6" t="str">
        <f t="array" ref="AM218">INDEX(AK:AK,SMALL(IF(AK$1:AK$500&lt;&gt;"",ROW($1:$500),1000),ROW(AK218)))&amp;""</f>
        <v/>
      </c>
      <c r="AV218" s="6" t="str">
        <f t="array" ref="AV218">INDEX(AT:AT,SMALL(IF(AT$1:AT$500&lt;&gt;"",ROW($1:$500),1000),ROW(AT218)))&amp;""</f>
        <v/>
      </c>
      <c r="AW218" s="6" t="str">
        <f t="array" ref="AW218">INDEX(AU:AU,SMALL(IF(AU$1:AU$500&lt;&gt;"",ROW($1:$500),1000),ROW(AU218)))&amp;""</f>
        <v/>
      </c>
      <c r="BF218" s="6" t="str">
        <f t="array" ref="BF218">INDEX(BD:BD,SMALL(IF(BD$1:BD$500&lt;&gt;"",ROW($1:$500),1000),ROW(BD218)))&amp;""</f>
        <v/>
      </c>
      <c r="BG218" s="6" t="str">
        <f t="array" ref="BG218">INDEX(BE:BE,SMALL(IF(BE$1:BE$500&lt;&gt;"",ROW($1:$500),1000),ROW(BE218)))&amp;""</f>
        <v/>
      </c>
      <c r="BL218" s="6"/>
      <c r="BP218" s="6" t="str">
        <f t="array" ref="BP218">INDEX(BN:BN,SMALL(IF(BN$1:BN$500&lt;&gt;"",ROW($1:$500),1000),ROW(BN218)))&amp;""</f>
        <v/>
      </c>
      <c r="BQ218" s="6" t="str">
        <f t="array" ref="BQ218">INDEX(BO:BO,SMALL(IF(BO$1:BO$500&lt;&gt;"",ROW($1:$500),1000),ROW(BO218)))&amp;""</f>
        <v/>
      </c>
      <c r="BV218" s="6"/>
      <c r="BZ218" s="6" t="str">
        <f t="array" ref="BZ218">INDEX(BX:BX,SMALL(IF(BX$1:BX$500&lt;&gt;"",ROW($1:$500),1000),ROW(BX218)))&amp;""</f>
        <v/>
      </c>
      <c r="CA218" s="6" t="str">
        <f t="array" ref="CA218">INDEX(BY:BY,SMALL(IF(BY$1:BY$500&lt;&gt;"",ROW($1:$500),1000),ROW(BY218)))&amp;""</f>
        <v/>
      </c>
    </row>
    <row r="219" spans="1:79">
      <c r="A219" s="8" t="s">
        <v>2980</v>
      </c>
      <c r="B219" s="8" t="s">
        <v>1406</v>
      </c>
      <c r="C219" s="8" t="s">
        <v>494</v>
      </c>
      <c r="D219" s="9">
        <v>5</v>
      </c>
      <c r="F219" s="8" t="str">
        <f t="shared" si="18"/>
        <v/>
      </c>
      <c r="G219" s="8" t="str">
        <f>IF(AND(VLOOKUP(C219,查询!$C$8:$E$15,3,FALSE)="启用",$B$1=D219),B219,"")</f>
        <v/>
      </c>
      <c r="H219" s="6" t="str">
        <f t="array" ref="H219">INDEX(F:F,SMALL(IF($F$1:$F$500&lt;&gt;"",ROW($1:$500),1000),ROW(F219)))&amp;""</f>
        <v/>
      </c>
      <c r="I219" s="6" t="str">
        <f t="array" ref="I219">INDEX(G:G,SMALL(IF($F$1:$F$500&lt;&gt;"",ROW($1:$500),1000),ROW(G219)))&amp;""</f>
        <v/>
      </c>
      <c r="K219" s="8" t="s">
        <v>3477</v>
      </c>
      <c r="L219" s="8" t="s">
        <v>1430</v>
      </c>
      <c r="M219" s="8" t="s">
        <v>494</v>
      </c>
      <c r="N219" s="9">
        <v>9</v>
      </c>
      <c r="P219" s="8" t="str">
        <f t="shared" si="19"/>
        <v/>
      </c>
      <c r="Q219" s="8" t="str">
        <f>IF(AND(VLOOKUP(M219,查询!$C$8:$E$15,3,FALSE)="启用",$B$1=N219),L219,"")</f>
        <v/>
      </c>
      <c r="R219" s="6" t="str">
        <f t="array" ref="R219">INDEX(P:P,SMALL(IF(P$1:P$500&lt;&gt;"",ROW($1:$500),1000),ROW(P219)))&amp;""</f>
        <v/>
      </c>
      <c r="S219" s="6" t="str">
        <f t="array" ref="S219">INDEX(Q:Q,SMALL(IF(Q$1:Q$500&lt;&gt;"",ROW($1:$500),1000),ROW(Q219)))&amp;""</f>
        <v/>
      </c>
      <c r="X219" s="6"/>
      <c r="AB219" s="6" t="str">
        <f t="array" ref="AB219">INDEX(Z:Z,SMALL(IF(Z$1:Z$500&lt;&gt;"",ROW($1:$500),1000),ROW(Z219)))&amp;""</f>
        <v/>
      </c>
      <c r="AC219" s="6" t="str">
        <f t="array" ref="AC219">INDEX(AA:AA,SMALL(IF(AA$1:AA$500&lt;&gt;"",ROW($1:$500),1000),ROW(AA219)))&amp;""</f>
        <v/>
      </c>
      <c r="AH219" s="6"/>
      <c r="AL219" s="6" t="str">
        <f t="array" ref="AL219">INDEX(AJ:AJ,SMALL(IF(AJ$1:AJ$500&lt;&gt;"",ROW($1:$500),1000),ROW(AJ219)))&amp;""</f>
        <v/>
      </c>
      <c r="AM219" s="6" t="str">
        <f t="array" ref="AM219">INDEX(AK:AK,SMALL(IF(AK$1:AK$500&lt;&gt;"",ROW($1:$500),1000),ROW(AK219)))&amp;""</f>
        <v/>
      </c>
      <c r="AV219" s="6" t="str">
        <f t="array" ref="AV219">INDEX(AT:AT,SMALL(IF(AT$1:AT$500&lt;&gt;"",ROW($1:$500),1000),ROW(AT219)))&amp;""</f>
        <v/>
      </c>
      <c r="AW219" s="6" t="str">
        <f t="array" ref="AW219">INDEX(AU:AU,SMALL(IF(AU$1:AU$500&lt;&gt;"",ROW($1:$500),1000),ROW(AU219)))&amp;""</f>
        <v/>
      </c>
      <c r="BF219" s="6" t="str">
        <f t="array" ref="BF219">INDEX(BD:BD,SMALL(IF(BD$1:BD$500&lt;&gt;"",ROW($1:$500),1000),ROW(BD219)))&amp;""</f>
        <v/>
      </c>
      <c r="BG219" s="6" t="str">
        <f t="array" ref="BG219">INDEX(BE:BE,SMALL(IF(BE$1:BE$500&lt;&gt;"",ROW($1:$500),1000),ROW(BE219)))&amp;""</f>
        <v/>
      </c>
      <c r="BL219" s="6"/>
      <c r="BP219" s="6" t="str">
        <f t="array" ref="BP219">INDEX(BN:BN,SMALL(IF(BN$1:BN$500&lt;&gt;"",ROW($1:$500),1000),ROW(BN219)))&amp;""</f>
        <v/>
      </c>
      <c r="BQ219" s="6" t="str">
        <f t="array" ref="BQ219">INDEX(BO:BO,SMALL(IF(BO$1:BO$500&lt;&gt;"",ROW($1:$500),1000),ROW(BO219)))&amp;""</f>
        <v/>
      </c>
      <c r="BV219" s="6"/>
      <c r="BZ219" s="6" t="str">
        <f t="array" ref="BZ219">INDEX(BX:BX,SMALL(IF(BX$1:BX$500&lt;&gt;"",ROW($1:$500),1000),ROW(BX219)))&amp;""</f>
        <v/>
      </c>
      <c r="CA219" s="6" t="str">
        <f t="array" ref="CA219">INDEX(BY:BY,SMALL(IF(BY$1:BY$500&lt;&gt;"",ROW($1:$500),1000),ROW(BY219)))&amp;""</f>
        <v/>
      </c>
    </row>
    <row r="220" spans="1:79">
      <c r="A220" s="8" t="s">
        <v>2982</v>
      </c>
      <c r="B220" s="8" t="s">
        <v>1408</v>
      </c>
      <c r="C220" s="8" t="s">
        <v>494</v>
      </c>
      <c r="D220" s="9">
        <v>5</v>
      </c>
      <c r="F220" s="8" t="str">
        <f t="shared" si="18"/>
        <v/>
      </c>
      <c r="G220" s="8" t="str">
        <f>IF(AND(VLOOKUP(C220,查询!$C$8:$E$15,3,FALSE)="启用",$B$1=D220),B220,"")</f>
        <v/>
      </c>
      <c r="H220" s="6" t="str">
        <f t="array" ref="H220">INDEX(F:F,SMALL(IF($F$1:$F$500&lt;&gt;"",ROW($1:$500),1000),ROW(F220)))&amp;""</f>
        <v/>
      </c>
      <c r="I220" s="6" t="str">
        <f t="array" ref="I220">INDEX(G:G,SMALL(IF($F$1:$F$500&lt;&gt;"",ROW($1:$500),1000),ROW(G220)))&amp;""</f>
        <v/>
      </c>
      <c r="K220" s="8" t="s">
        <v>3479</v>
      </c>
      <c r="L220" s="8" t="s">
        <v>1432</v>
      </c>
      <c r="M220" s="8" t="s">
        <v>494</v>
      </c>
      <c r="N220" s="9">
        <v>9</v>
      </c>
      <c r="P220" s="8" t="str">
        <f t="shared" si="19"/>
        <v/>
      </c>
      <c r="Q220" s="8" t="str">
        <f>IF(AND(VLOOKUP(M220,查询!$C$8:$E$15,3,FALSE)="启用",$B$1=N220),L220,"")</f>
        <v/>
      </c>
      <c r="R220" s="6" t="str">
        <f t="array" ref="R220">INDEX(P:P,SMALL(IF(P$1:P$500&lt;&gt;"",ROW($1:$500),1000),ROW(P220)))&amp;""</f>
        <v/>
      </c>
      <c r="S220" s="6" t="str">
        <f t="array" ref="S220">INDEX(Q:Q,SMALL(IF(Q$1:Q$500&lt;&gt;"",ROW($1:$500),1000),ROW(Q220)))&amp;""</f>
        <v/>
      </c>
      <c r="X220" s="6"/>
      <c r="AB220" s="6" t="str">
        <f t="array" ref="AB220">INDEX(Z:Z,SMALL(IF(Z$1:Z$500&lt;&gt;"",ROW($1:$500),1000),ROW(Z220)))&amp;""</f>
        <v/>
      </c>
      <c r="AC220" s="6" t="str">
        <f t="array" ref="AC220">INDEX(AA:AA,SMALL(IF(AA$1:AA$500&lt;&gt;"",ROW($1:$500),1000),ROW(AA220)))&amp;""</f>
        <v/>
      </c>
      <c r="AH220" s="6"/>
      <c r="AL220" s="6" t="str">
        <f t="array" ref="AL220">INDEX(AJ:AJ,SMALL(IF(AJ$1:AJ$500&lt;&gt;"",ROW($1:$500),1000),ROW(AJ220)))&amp;""</f>
        <v/>
      </c>
      <c r="AM220" s="6" t="str">
        <f t="array" ref="AM220">INDEX(AK:AK,SMALL(IF(AK$1:AK$500&lt;&gt;"",ROW($1:$500),1000),ROW(AK220)))&amp;""</f>
        <v/>
      </c>
      <c r="AV220" s="6" t="str">
        <f t="array" ref="AV220">INDEX(AT:AT,SMALL(IF(AT$1:AT$500&lt;&gt;"",ROW($1:$500),1000),ROW(AT220)))&amp;""</f>
        <v/>
      </c>
      <c r="AW220" s="6" t="str">
        <f t="array" ref="AW220">INDEX(AU:AU,SMALL(IF(AU$1:AU$500&lt;&gt;"",ROW($1:$500),1000),ROW(AU220)))&amp;""</f>
        <v/>
      </c>
      <c r="BF220" s="6" t="str">
        <f t="array" ref="BF220">INDEX(BD:BD,SMALL(IF(BD$1:BD$500&lt;&gt;"",ROW($1:$500),1000),ROW(BD220)))&amp;""</f>
        <v/>
      </c>
      <c r="BG220" s="6" t="str">
        <f t="array" ref="BG220">INDEX(BE:BE,SMALL(IF(BE$1:BE$500&lt;&gt;"",ROW($1:$500),1000),ROW(BE220)))&amp;""</f>
        <v/>
      </c>
      <c r="BL220" s="6"/>
      <c r="BP220" s="6" t="str">
        <f t="array" ref="BP220">INDEX(BN:BN,SMALL(IF(BN$1:BN$500&lt;&gt;"",ROW($1:$500),1000),ROW(BN220)))&amp;""</f>
        <v/>
      </c>
      <c r="BQ220" s="6" t="str">
        <f t="array" ref="BQ220">INDEX(BO:BO,SMALL(IF(BO$1:BO$500&lt;&gt;"",ROW($1:$500),1000),ROW(BO220)))&amp;""</f>
        <v/>
      </c>
      <c r="BV220" s="6"/>
      <c r="BZ220" s="6" t="str">
        <f t="array" ref="BZ220">INDEX(BX:BX,SMALL(IF(BX$1:BX$500&lt;&gt;"",ROW($1:$500),1000),ROW(BX220)))&amp;""</f>
        <v/>
      </c>
      <c r="CA220" s="6" t="str">
        <f t="array" ref="CA220">INDEX(BY:BY,SMALL(IF(BY$1:BY$500&lt;&gt;"",ROW($1:$500),1000),ROW(BY220)))&amp;""</f>
        <v/>
      </c>
    </row>
    <row r="221" spans="1:79">
      <c r="A221" s="8" t="s">
        <v>2986</v>
      </c>
      <c r="B221" s="8" t="s">
        <v>1429</v>
      </c>
      <c r="C221" s="8" t="s">
        <v>494</v>
      </c>
      <c r="D221" s="9">
        <v>5</v>
      </c>
      <c r="F221" s="8" t="str">
        <f t="shared" si="18"/>
        <v/>
      </c>
      <c r="G221" s="8" t="str">
        <f>IF(AND(VLOOKUP(C221,查询!$C$8:$E$15,3,FALSE)="启用",$B$1=D221),B221,"")</f>
        <v/>
      </c>
      <c r="H221" s="6" t="str">
        <f t="array" ref="H221">INDEX(F:F,SMALL(IF($F$1:$F$500&lt;&gt;"",ROW($1:$500),1000),ROW(F221)))&amp;""</f>
        <v/>
      </c>
      <c r="I221" s="6" t="str">
        <f t="array" ref="I221">INDEX(G:G,SMALL(IF($F$1:$F$500&lt;&gt;"",ROW($1:$500),1000),ROW(G221)))&amp;""</f>
        <v/>
      </c>
      <c r="K221" s="8" t="s">
        <v>3460</v>
      </c>
      <c r="L221" s="8" t="s">
        <v>1293</v>
      </c>
      <c r="M221" s="8" t="s">
        <v>1249</v>
      </c>
      <c r="N221" s="9">
        <v>9</v>
      </c>
      <c r="P221" s="8" t="str">
        <f t="shared" si="19"/>
        <v/>
      </c>
      <c r="Q221" s="8" t="str">
        <f>IF(AND(VLOOKUP(M221,查询!$C$8:$E$15,3,FALSE)="启用",$B$1=N221),L221,"")</f>
        <v/>
      </c>
      <c r="R221" s="6" t="str">
        <f t="array" ref="R221">INDEX(P:P,SMALL(IF(P$1:P$500&lt;&gt;"",ROW($1:$500),1000),ROW(P221)))&amp;""</f>
        <v/>
      </c>
      <c r="S221" s="6" t="str">
        <f t="array" ref="S221">INDEX(Q:Q,SMALL(IF(Q$1:Q$500&lt;&gt;"",ROW($1:$500),1000),ROW(Q221)))&amp;""</f>
        <v/>
      </c>
      <c r="X221" s="6"/>
      <c r="AB221" s="6" t="str">
        <f t="array" ref="AB221">INDEX(Z:Z,SMALL(IF(Z$1:Z$500&lt;&gt;"",ROW($1:$500),1000),ROW(Z221)))&amp;""</f>
        <v/>
      </c>
      <c r="AC221" s="6" t="str">
        <f t="array" ref="AC221">INDEX(AA:AA,SMALL(IF(AA$1:AA$500&lt;&gt;"",ROW($1:$500),1000),ROW(AA221)))&amp;""</f>
        <v/>
      </c>
      <c r="AH221" s="6"/>
      <c r="AL221" s="6" t="str">
        <f t="array" ref="AL221">INDEX(AJ:AJ,SMALL(IF(AJ$1:AJ$500&lt;&gt;"",ROW($1:$500),1000),ROW(AJ221)))&amp;""</f>
        <v/>
      </c>
      <c r="AM221" s="6" t="str">
        <f t="array" ref="AM221">INDEX(AK:AK,SMALL(IF(AK$1:AK$500&lt;&gt;"",ROW($1:$500),1000),ROW(AK221)))&amp;""</f>
        <v/>
      </c>
      <c r="AV221" s="6" t="str">
        <f t="array" ref="AV221">INDEX(AT:AT,SMALL(IF(AT$1:AT$500&lt;&gt;"",ROW($1:$500),1000),ROW(AT221)))&amp;""</f>
        <v/>
      </c>
      <c r="AW221" s="6" t="str">
        <f t="array" ref="AW221">INDEX(AU:AU,SMALL(IF(AU$1:AU$500&lt;&gt;"",ROW($1:$500),1000),ROW(AU221)))&amp;""</f>
        <v/>
      </c>
      <c r="BF221" s="6" t="str">
        <f t="array" ref="BF221">INDEX(BD:BD,SMALL(IF(BD$1:BD$500&lt;&gt;"",ROW($1:$500),1000),ROW(BD221)))&amp;""</f>
        <v/>
      </c>
      <c r="BG221" s="6" t="str">
        <f t="array" ref="BG221">INDEX(BE:BE,SMALL(IF(BE$1:BE$500&lt;&gt;"",ROW($1:$500),1000),ROW(BE221)))&amp;""</f>
        <v/>
      </c>
      <c r="BL221" s="6"/>
      <c r="BP221" s="6" t="str">
        <f t="array" ref="BP221">INDEX(BN:BN,SMALL(IF(BN$1:BN$500&lt;&gt;"",ROW($1:$500),1000),ROW(BN221)))&amp;""</f>
        <v/>
      </c>
      <c r="BQ221" s="6" t="str">
        <f t="array" ref="BQ221">INDEX(BO:BO,SMALL(IF(BO$1:BO$500&lt;&gt;"",ROW($1:$500),1000),ROW(BO221)))&amp;""</f>
        <v/>
      </c>
      <c r="BV221" s="6"/>
      <c r="BZ221" s="6" t="str">
        <f t="array" ref="BZ221">INDEX(BX:BX,SMALL(IF(BX$1:BX$500&lt;&gt;"",ROW($1:$500),1000),ROW(BX221)))&amp;""</f>
        <v/>
      </c>
      <c r="CA221" s="6" t="str">
        <f t="array" ref="CA221">INDEX(BY:BY,SMALL(IF(BY$1:BY$500&lt;&gt;"",ROW($1:$500),1000),ROW(BY221)))&amp;""</f>
        <v/>
      </c>
    </row>
    <row r="222" spans="1:79">
      <c r="A222" s="8" t="s">
        <v>2932</v>
      </c>
      <c r="B222" s="8" t="s">
        <v>1291</v>
      </c>
      <c r="C222" s="8" t="s">
        <v>1249</v>
      </c>
      <c r="D222" s="9">
        <v>5</v>
      </c>
      <c r="F222" s="8" t="str">
        <f t="shared" si="18"/>
        <v/>
      </c>
      <c r="G222" s="8" t="str">
        <f>IF(AND(VLOOKUP(C222,查询!$C$8:$E$15,3,FALSE)="启用",$B$1=D222),B222,"")</f>
        <v/>
      </c>
      <c r="H222" s="6" t="str">
        <f t="array" ref="H222">INDEX(F:F,SMALL(IF($F$1:$F$500&lt;&gt;"",ROW($1:$500),1000),ROW(F222)))&amp;""</f>
        <v/>
      </c>
      <c r="I222" s="6" t="str">
        <f t="array" ref="I222">INDEX(G:G,SMALL(IF($F$1:$F$500&lt;&gt;"",ROW($1:$500),1000),ROW(G222)))&amp;""</f>
        <v/>
      </c>
      <c r="K222" s="8" t="s">
        <v>3486</v>
      </c>
      <c r="L222" s="8" t="s">
        <v>1457</v>
      </c>
      <c r="M222" s="8" t="s">
        <v>494</v>
      </c>
      <c r="N222" s="9">
        <v>9</v>
      </c>
      <c r="P222" s="8" t="str">
        <f t="shared" si="19"/>
        <v/>
      </c>
      <c r="Q222" s="8" t="str">
        <f>IF(AND(VLOOKUP(M222,查询!$C$8:$E$15,3,FALSE)="启用",$B$1=N222),L222,"")</f>
        <v/>
      </c>
      <c r="R222" s="6" t="str">
        <f t="array" ref="R222">INDEX(P:P,SMALL(IF(P$1:P$500&lt;&gt;"",ROW($1:$500),1000),ROW(P222)))&amp;""</f>
        <v/>
      </c>
      <c r="S222" s="6" t="str">
        <f t="array" ref="S222">INDEX(Q:Q,SMALL(IF(Q$1:Q$500&lt;&gt;"",ROW($1:$500),1000),ROW(Q222)))&amp;""</f>
        <v/>
      </c>
      <c r="X222" s="6"/>
      <c r="AB222" s="6" t="str">
        <f t="array" ref="AB222">INDEX(Z:Z,SMALL(IF(Z$1:Z$500&lt;&gt;"",ROW($1:$500),1000),ROW(Z222)))&amp;""</f>
        <v/>
      </c>
      <c r="AC222" s="6" t="str">
        <f t="array" ref="AC222">INDEX(AA:AA,SMALL(IF(AA$1:AA$500&lt;&gt;"",ROW($1:$500),1000),ROW(AA222)))&amp;""</f>
        <v/>
      </c>
      <c r="AH222" s="6"/>
      <c r="AL222" s="6" t="str">
        <f t="array" ref="AL222">INDEX(AJ:AJ,SMALL(IF(AJ$1:AJ$500&lt;&gt;"",ROW($1:$500),1000),ROW(AJ222)))&amp;""</f>
        <v/>
      </c>
      <c r="AM222" s="6" t="str">
        <f t="array" ref="AM222">INDEX(AK:AK,SMALL(IF(AK$1:AK$500&lt;&gt;"",ROW($1:$500),1000),ROW(AK222)))&amp;""</f>
        <v/>
      </c>
      <c r="AV222" s="6" t="str">
        <f t="array" ref="AV222">INDEX(AT:AT,SMALL(IF(AT$1:AT$500&lt;&gt;"",ROW($1:$500),1000),ROW(AT222)))&amp;""</f>
        <v/>
      </c>
      <c r="AW222" s="6" t="str">
        <f t="array" ref="AW222">INDEX(AU:AU,SMALL(IF(AU$1:AU$500&lt;&gt;"",ROW($1:$500),1000),ROW(AU222)))&amp;""</f>
        <v/>
      </c>
      <c r="BF222" s="6" t="str">
        <f t="array" ref="BF222">INDEX(BD:BD,SMALL(IF(BD$1:BD$500&lt;&gt;"",ROW($1:$500),1000),ROW(BD222)))&amp;""</f>
        <v/>
      </c>
      <c r="BG222" s="6" t="str">
        <f t="array" ref="BG222">INDEX(BE:BE,SMALL(IF(BE$1:BE$500&lt;&gt;"",ROW($1:$500),1000),ROW(BE222)))&amp;""</f>
        <v/>
      </c>
      <c r="BL222" s="6"/>
      <c r="BP222" s="6" t="str">
        <f t="array" ref="BP222">INDEX(BN:BN,SMALL(IF(BN$1:BN$500&lt;&gt;"",ROW($1:$500),1000),ROW(BN222)))&amp;""</f>
        <v/>
      </c>
      <c r="BQ222" s="6" t="str">
        <f t="array" ref="BQ222">INDEX(BO:BO,SMALL(IF(BO$1:BO$500&lt;&gt;"",ROW($1:$500),1000),ROW(BO222)))&amp;""</f>
        <v/>
      </c>
      <c r="BV222" s="6"/>
      <c r="BZ222" s="6" t="str">
        <f t="array" ref="BZ222">INDEX(BX:BX,SMALL(IF(BX$1:BX$500&lt;&gt;"",ROW($1:$500),1000),ROW(BX222)))&amp;""</f>
        <v/>
      </c>
      <c r="CA222" s="6" t="str">
        <f t="array" ref="CA222">INDEX(BY:BY,SMALL(IF(BY$1:BY$500&lt;&gt;"",ROW($1:$500),1000),ROW(BY222)))&amp;""</f>
        <v/>
      </c>
    </row>
    <row r="223" spans="1:79">
      <c r="A223" s="8" t="s">
        <v>2935</v>
      </c>
      <c r="B223" s="8" t="s">
        <v>1295</v>
      </c>
      <c r="C223" s="8" t="s">
        <v>1249</v>
      </c>
      <c r="D223" s="9">
        <v>5</v>
      </c>
      <c r="F223" s="8" t="str">
        <f t="shared" si="18"/>
        <v/>
      </c>
      <c r="G223" s="8" t="str">
        <f>IF(AND(VLOOKUP(C223,查询!$C$8:$E$15,3,FALSE)="启用",$B$1=D223),B223,"")</f>
        <v/>
      </c>
      <c r="H223" s="6" t="str">
        <f t="array" ref="H223">INDEX(F:F,SMALL(IF($F$1:$F$500&lt;&gt;"",ROW($1:$500),1000),ROW(F223)))&amp;""</f>
        <v/>
      </c>
      <c r="I223" s="6" t="str">
        <f t="array" ref="I223">INDEX(G:G,SMALL(IF($F$1:$F$500&lt;&gt;"",ROW($1:$500),1000),ROW(G223)))&amp;""</f>
        <v/>
      </c>
      <c r="K223" s="8" t="s">
        <v>3500</v>
      </c>
      <c r="L223" s="8" t="s">
        <v>1572</v>
      </c>
      <c r="M223" s="8" t="s">
        <v>494</v>
      </c>
      <c r="N223" s="9">
        <v>9</v>
      </c>
      <c r="P223" s="8" t="str">
        <f t="shared" si="19"/>
        <v/>
      </c>
      <c r="Q223" s="8" t="str">
        <f>IF(AND(VLOOKUP(M223,查询!$C$8:$E$15,3,FALSE)="启用",$B$1=N223),L223,"")</f>
        <v/>
      </c>
      <c r="R223" s="6" t="str">
        <f t="array" ref="R223">INDEX(P:P,SMALL(IF(P$1:P$500&lt;&gt;"",ROW($1:$500),1000),ROW(P223)))&amp;""</f>
        <v/>
      </c>
      <c r="S223" s="6" t="str">
        <f t="array" ref="S223">INDEX(Q:Q,SMALL(IF(Q$1:Q$500&lt;&gt;"",ROW($1:$500),1000),ROW(Q223)))&amp;""</f>
        <v/>
      </c>
      <c r="X223" s="6"/>
      <c r="AB223" s="6" t="str">
        <f t="array" ref="AB223">INDEX(Z:Z,SMALL(IF(Z$1:Z$500&lt;&gt;"",ROW($1:$500),1000),ROW(Z223)))&amp;""</f>
        <v/>
      </c>
      <c r="AC223" s="6" t="str">
        <f t="array" ref="AC223">INDEX(AA:AA,SMALL(IF(AA$1:AA$500&lt;&gt;"",ROW($1:$500),1000),ROW(AA223)))&amp;""</f>
        <v/>
      </c>
      <c r="AH223" s="6"/>
      <c r="AL223" s="6" t="str">
        <f t="array" ref="AL223">INDEX(AJ:AJ,SMALL(IF(AJ$1:AJ$500&lt;&gt;"",ROW($1:$500),1000),ROW(AJ223)))&amp;""</f>
        <v/>
      </c>
      <c r="AM223" s="6" t="str">
        <f t="array" ref="AM223">INDEX(AK:AK,SMALL(IF(AK$1:AK$500&lt;&gt;"",ROW($1:$500),1000),ROW(AK223)))&amp;""</f>
        <v/>
      </c>
      <c r="AV223" s="6" t="str">
        <f t="array" ref="AV223">INDEX(AT:AT,SMALL(IF(AT$1:AT$500&lt;&gt;"",ROW($1:$500),1000),ROW(AT223)))&amp;""</f>
        <v/>
      </c>
      <c r="AW223" s="6" t="str">
        <f t="array" ref="AW223">INDEX(AU:AU,SMALL(IF(AU$1:AU$500&lt;&gt;"",ROW($1:$500),1000),ROW(AU223)))&amp;""</f>
        <v/>
      </c>
      <c r="BF223" s="6" t="str">
        <f t="array" ref="BF223">INDEX(BD:BD,SMALL(IF(BD$1:BD$500&lt;&gt;"",ROW($1:$500),1000),ROW(BD223)))&amp;""</f>
        <v/>
      </c>
      <c r="BG223" s="6" t="str">
        <f t="array" ref="BG223">INDEX(BE:BE,SMALL(IF(BE$1:BE$500&lt;&gt;"",ROW($1:$500),1000),ROW(BE223)))&amp;""</f>
        <v/>
      </c>
      <c r="BL223" s="6"/>
      <c r="BP223" s="6" t="str">
        <f t="array" ref="BP223">INDEX(BN:BN,SMALL(IF(BN$1:BN$500&lt;&gt;"",ROW($1:$500),1000),ROW(BN223)))&amp;""</f>
        <v/>
      </c>
      <c r="BQ223" s="6" t="str">
        <f t="array" ref="BQ223">INDEX(BO:BO,SMALL(IF(BO$1:BO$500&lt;&gt;"",ROW($1:$500),1000),ROW(BO223)))&amp;""</f>
        <v/>
      </c>
      <c r="BV223" s="6"/>
      <c r="BZ223" s="6" t="str">
        <f t="array" ref="BZ223">INDEX(BX:BX,SMALL(IF(BX$1:BX$500&lt;&gt;"",ROW($1:$500),1000),ROW(BX223)))&amp;""</f>
        <v/>
      </c>
      <c r="CA223" s="6" t="str">
        <f t="array" ref="CA223">INDEX(BY:BY,SMALL(IF(BY$1:BY$500&lt;&gt;"",ROW($1:$500),1000),ROW(BY223)))&amp;""</f>
        <v/>
      </c>
    </row>
    <row r="224" spans="1:79">
      <c r="A224" s="8" t="s">
        <v>2988</v>
      </c>
      <c r="B224" s="8" t="s">
        <v>1434</v>
      </c>
      <c r="C224" s="8" t="s">
        <v>494</v>
      </c>
      <c r="D224" s="9">
        <v>5</v>
      </c>
      <c r="F224" s="8" t="str">
        <f t="shared" si="18"/>
        <v/>
      </c>
      <c r="G224" s="8" t="str">
        <f>IF(AND(VLOOKUP(C224,查询!$C$8:$E$15,3,FALSE)="启用",$B$1=D224),B224,"")</f>
        <v/>
      </c>
      <c r="H224" s="6" t="str">
        <f t="array" ref="H224">INDEX(F:F,SMALL(IF($F$1:$F$500&lt;&gt;"",ROW($1:$500),1000),ROW(F224)))&amp;""</f>
        <v/>
      </c>
      <c r="I224" s="6" t="str">
        <f t="array" ref="I224">INDEX(G:G,SMALL(IF($F$1:$F$500&lt;&gt;"",ROW($1:$500),1000),ROW(G224)))&amp;""</f>
        <v/>
      </c>
      <c r="N224" s="6"/>
      <c r="S224" s="6" t="str">
        <f t="array" ref="S224">INDEX(Q:Q,SMALL(IF($F$1:$F$500&lt;&gt;"",ROW($1:$500),1000),ROW(Q224)))&amp;""</f>
        <v/>
      </c>
      <c r="X224" s="6"/>
      <c r="AC224" s="6" t="str">
        <f t="array" ref="AC224">INDEX(AA:AA,SMALL(IF($F$1:$F$500&lt;&gt;"",ROW($1:$500),1000),ROW(AA224)))&amp;""</f>
        <v/>
      </c>
      <c r="AH224" s="6"/>
      <c r="AM224" s="6" t="str">
        <f t="array" ref="AM224">INDEX(AK:AK,SMALL(IF($F$1:$F$500&lt;&gt;"",ROW($1:$500),1000),ROW(AK224)))&amp;""</f>
        <v/>
      </c>
      <c r="AW224" s="6" t="str">
        <f t="array" ref="AW224">INDEX(AU:AU,SMALL(IF($F$1:$F$500&lt;&gt;"",ROW($1:$500),1000),ROW(AU224)))&amp;""</f>
        <v/>
      </c>
      <c r="BG224" s="6" t="str">
        <f t="array" ref="BG224">INDEX(BE:BE,SMALL(IF($F$1:$F$500&lt;&gt;"",ROW($1:$500),1000),ROW(BE224)))&amp;""</f>
        <v/>
      </c>
      <c r="BL224" s="6"/>
      <c r="BQ224" s="6" t="str">
        <f t="array" ref="BQ224">INDEX(BO:BO,SMALL(IF($F$1:$F$500&lt;&gt;"",ROW($1:$500),1000),ROW(BO224)))&amp;""</f>
        <v/>
      </c>
      <c r="BV224" s="6"/>
      <c r="CA224" s="6" t="str">
        <f t="array" ref="CA224">INDEX(BY:BY,SMALL(IF($F$1:$F$500&lt;&gt;"",ROW($1:$500),1000),ROW(BY224)))&amp;""</f>
        <v/>
      </c>
    </row>
    <row r="225" spans="1:79">
      <c r="A225" s="8" t="s">
        <v>2992</v>
      </c>
      <c r="B225" s="8" t="s">
        <v>1450</v>
      </c>
      <c r="C225" s="8" t="s">
        <v>494</v>
      </c>
      <c r="D225" s="9">
        <v>5</v>
      </c>
      <c r="F225" s="8" t="str">
        <f t="shared" si="18"/>
        <v/>
      </c>
      <c r="G225" s="8" t="str">
        <f>IF(AND(VLOOKUP(C225,查询!$C$8:$E$15,3,FALSE)="启用",$B$1=D225),B225,"")</f>
        <v/>
      </c>
      <c r="H225" s="6" t="str">
        <f t="array" ref="H225">INDEX(F:F,SMALL(IF($F$1:$F$500&lt;&gt;"",ROW($1:$500),1000),ROW(F225)))&amp;""</f>
        <v/>
      </c>
      <c r="I225" s="6" t="str">
        <f t="array" ref="I225">INDEX(G:G,SMALL(IF($F$1:$F$500&lt;&gt;"",ROW($1:$500),1000),ROW(G225)))&amp;""</f>
        <v/>
      </c>
      <c r="N225" s="6"/>
      <c r="S225" s="6" t="str">
        <f t="array" ref="S225">INDEX(Q:Q,SMALL(IF($F$1:$F$500&lt;&gt;"",ROW($1:$500),1000),ROW(Q225)))&amp;""</f>
        <v/>
      </c>
      <c r="X225" s="6"/>
      <c r="AC225" s="6" t="str">
        <f t="array" ref="AC225">INDEX(AA:AA,SMALL(IF($F$1:$F$500&lt;&gt;"",ROW($1:$500),1000),ROW(AA225)))&amp;""</f>
        <v/>
      </c>
      <c r="AH225" s="6"/>
      <c r="AM225" s="6" t="str">
        <f t="array" ref="AM225">INDEX(AK:AK,SMALL(IF($F$1:$F$500&lt;&gt;"",ROW($1:$500),1000),ROW(AK225)))&amp;""</f>
        <v/>
      </c>
      <c r="AW225" s="6" t="str">
        <f t="array" ref="AW225">INDEX(AU:AU,SMALL(IF($F$1:$F$500&lt;&gt;"",ROW($1:$500),1000),ROW(AU225)))&amp;""</f>
        <v/>
      </c>
      <c r="BG225" s="6" t="str">
        <f t="array" ref="BG225">INDEX(BE:BE,SMALL(IF($F$1:$F$500&lt;&gt;"",ROW($1:$500),1000),ROW(BE225)))&amp;""</f>
        <v/>
      </c>
      <c r="BL225" s="6"/>
      <c r="BQ225" s="6" t="str">
        <f t="array" ref="BQ225">INDEX(BO:BO,SMALL(IF($F$1:$F$500&lt;&gt;"",ROW($1:$500),1000),ROW(BO225)))&amp;""</f>
        <v/>
      </c>
      <c r="BV225" s="6"/>
      <c r="CA225" s="6" t="str">
        <f t="array" ref="CA225">INDEX(BY:BY,SMALL(IF($F$1:$F$500&lt;&gt;"",ROW($1:$500),1000),ROW(BY225)))&amp;""</f>
        <v/>
      </c>
    </row>
    <row r="226" spans="1:79">
      <c r="A226" s="8" t="s">
        <v>2994</v>
      </c>
      <c r="B226" s="8" t="s">
        <v>1463</v>
      </c>
      <c r="C226" s="8" t="s">
        <v>494</v>
      </c>
      <c r="D226" s="9">
        <v>5</v>
      </c>
      <c r="F226" s="8" t="str">
        <f t="shared" si="18"/>
        <v/>
      </c>
      <c r="G226" s="8" t="str">
        <f>IF(AND(VLOOKUP(C226,查询!$C$8:$E$15,3,FALSE)="启用",$B$1=D226),B226,"")</f>
        <v/>
      </c>
      <c r="H226" s="6" t="str">
        <f t="array" ref="H226">INDEX(F:F,SMALL(IF($F$1:$F$500&lt;&gt;"",ROW($1:$500),1000),ROW(F226)))&amp;""</f>
        <v/>
      </c>
      <c r="I226" s="6" t="str">
        <f t="array" ref="I226">INDEX(G:G,SMALL(IF($F$1:$F$500&lt;&gt;"",ROW($1:$500),1000),ROW(G226)))&amp;""</f>
        <v/>
      </c>
      <c r="N226" s="6"/>
      <c r="S226" s="6" t="str">
        <f t="array" ref="S226">INDEX(Q:Q,SMALL(IF($F$1:$F$500&lt;&gt;"",ROW($1:$500),1000),ROW(Q226)))&amp;""</f>
        <v/>
      </c>
      <c r="X226" s="6"/>
      <c r="AC226" s="6" t="str">
        <f t="array" ref="AC226">INDEX(AA:AA,SMALL(IF($F$1:$F$500&lt;&gt;"",ROW($1:$500),1000),ROW(AA226)))&amp;""</f>
        <v/>
      </c>
      <c r="AH226" s="6"/>
      <c r="AM226" s="6" t="str">
        <f t="array" ref="AM226">INDEX(AK:AK,SMALL(IF($F$1:$F$500&lt;&gt;"",ROW($1:$500),1000),ROW(AK226)))&amp;""</f>
        <v/>
      </c>
      <c r="AW226" s="6" t="str">
        <f t="array" ref="AW226">INDEX(AU:AU,SMALL(IF($F$1:$F$500&lt;&gt;"",ROW($1:$500),1000),ROW(AU226)))&amp;""</f>
        <v/>
      </c>
      <c r="BG226" s="6" t="str">
        <f t="array" ref="BG226">INDEX(BE:BE,SMALL(IF($F$1:$F$500&lt;&gt;"",ROW($1:$500),1000),ROW(BE226)))&amp;""</f>
        <v/>
      </c>
      <c r="BL226" s="6"/>
      <c r="BQ226" s="6" t="str">
        <f t="array" ref="BQ226">INDEX(BO:BO,SMALL(IF($F$1:$F$500&lt;&gt;"",ROW($1:$500),1000),ROW(BO226)))&amp;""</f>
        <v/>
      </c>
      <c r="BV226" s="6"/>
      <c r="CA226" s="6" t="str">
        <f t="array" ref="CA226">INDEX(BY:BY,SMALL(IF($F$1:$F$500&lt;&gt;"",ROW($1:$500),1000),ROW(BY226)))&amp;""</f>
        <v/>
      </c>
    </row>
    <row r="227" spans="1:79">
      <c r="A227" s="8" t="s">
        <v>2996</v>
      </c>
      <c r="B227" s="8" t="s">
        <v>1466</v>
      </c>
      <c r="C227" s="8" t="s">
        <v>494</v>
      </c>
      <c r="D227" s="9">
        <v>5</v>
      </c>
      <c r="F227" s="8" t="str">
        <f t="shared" si="18"/>
        <v/>
      </c>
      <c r="G227" s="8" t="str">
        <f>IF(AND(VLOOKUP(C227,查询!$C$8:$E$15,3,FALSE)="启用",$B$1=D227),B227,"")</f>
        <v/>
      </c>
      <c r="H227" s="6" t="str">
        <f t="array" ref="H227">INDEX(F:F,SMALL(IF($F$1:$F$500&lt;&gt;"",ROW($1:$500),1000),ROW(F227)))&amp;""</f>
        <v/>
      </c>
      <c r="I227" s="6" t="str">
        <f t="array" ref="I227">INDEX(G:G,SMALL(IF($F$1:$F$500&lt;&gt;"",ROW($1:$500),1000),ROW(G227)))&amp;""</f>
        <v/>
      </c>
      <c r="N227" s="6"/>
      <c r="S227" s="6" t="str">
        <f t="array" ref="S227">INDEX(Q:Q,SMALL(IF($F$1:$F$500&lt;&gt;"",ROW($1:$500),1000),ROW(Q227)))&amp;""</f>
        <v/>
      </c>
      <c r="X227" s="6"/>
      <c r="AC227" s="6" t="str">
        <f t="array" ref="AC227">INDEX(AA:AA,SMALL(IF($F$1:$F$500&lt;&gt;"",ROW($1:$500),1000),ROW(AA227)))&amp;""</f>
        <v/>
      </c>
      <c r="AH227" s="6"/>
      <c r="AM227" s="6" t="str">
        <f t="array" ref="AM227">INDEX(AK:AK,SMALL(IF($F$1:$F$500&lt;&gt;"",ROW($1:$500),1000),ROW(AK227)))&amp;""</f>
        <v/>
      </c>
      <c r="AW227" s="6" t="str">
        <f t="array" ref="AW227">INDEX(AU:AU,SMALL(IF($F$1:$F$500&lt;&gt;"",ROW($1:$500),1000),ROW(AU227)))&amp;""</f>
        <v/>
      </c>
      <c r="BG227" s="6" t="str">
        <f t="array" ref="BG227">INDEX(BE:BE,SMALL(IF($F$1:$F$500&lt;&gt;"",ROW($1:$500),1000),ROW(BE227)))&amp;""</f>
        <v/>
      </c>
      <c r="BL227" s="6"/>
      <c r="BQ227" s="6" t="str">
        <f t="array" ref="BQ227">INDEX(BO:BO,SMALL(IF($F$1:$F$500&lt;&gt;"",ROW($1:$500),1000),ROW(BO227)))&amp;""</f>
        <v/>
      </c>
      <c r="BV227" s="6"/>
      <c r="CA227" s="6" t="str">
        <f t="array" ref="CA227">INDEX(BY:BY,SMALL(IF($F$1:$F$500&lt;&gt;"",ROW($1:$500),1000),ROW(BY227)))&amp;""</f>
        <v/>
      </c>
    </row>
    <row r="228" spans="1:79">
      <c r="A228" s="8" t="s">
        <v>2998</v>
      </c>
      <c r="B228" s="8" t="s">
        <v>1473</v>
      </c>
      <c r="C228" s="8" t="s">
        <v>494</v>
      </c>
      <c r="D228" s="9">
        <v>5</v>
      </c>
      <c r="F228" s="8" t="str">
        <f t="shared" si="18"/>
        <v/>
      </c>
      <c r="G228" s="8" t="str">
        <f>IF(AND(VLOOKUP(C228,查询!$C$8:$E$15,3,FALSE)="启用",$B$1=D228),B228,"")</f>
        <v/>
      </c>
      <c r="H228" s="6" t="str">
        <f t="array" ref="H228">INDEX(F:F,SMALL(IF($F$1:$F$500&lt;&gt;"",ROW($1:$500),1000),ROW(F228)))&amp;""</f>
        <v/>
      </c>
      <c r="I228" s="6" t="str">
        <f t="array" ref="I228">INDEX(G:G,SMALL(IF($F$1:$F$500&lt;&gt;"",ROW($1:$500),1000),ROW(G228)))&amp;""</f>
        <v/>
      </c>
      <c r="N228" s="6"/>
      <c r="S228" s="6" t="str">
        <f t="array" ref="S228">INDEX(Q:Q,SMALL(IF($F$1:$F$500&lt;&gt;"",ROW($1:$500),1000),ROW(Q228)))&amp;""</f>
        <v/>
      </c>
      <c r="X228" s="6"/>
      <c r="AC228" s="6" t="str">
        <f t="array" ref="AC228">INDEX(AA:AA,SMALL(IF($F$1:$F$500&lt;&gt;"",ROW($1:$500),1000),ROW(AA228)))&amp;""</f>
        <v/>
      </c>
      <c r="AH228" s="6"/>
      <c r="AM228" s="6" t="str">
        <f t="array" ref="AM228">INDEX(AK:AK,SMALL(IF($F$1:$F$500&lt;&gt;"",ROW($1:$500),1000),ROW(AK228)))&amp;""</f>
        <v/>
      </c>
      <c r="AW228" s="6" t="str">
        <f t="array" ref="AW228">INDEX(AU:AU,SMALL(IF($F$1:$F$500&lt;&gt;"",ROW($1:$500),1000),ROW(AU228)))&amp;""</f>
        <v/>
      </c>
      <c r="BG228" s="6" t="str">
        <f t="array" ref="BG228">INDEX(BE:BE,SMALL(IF($F$1:$F$500&lt;&gt;"",ROW($1:$500),1000),ROW(BE228)))&amp;""</f>
        <v/>
      </c>
      <c r="BL228" s="6"/>
      <c r="BQ228" s="6" t="str">
        <f t="array" ref="BQ228">INDEX(BO:BO,SMALL(IF($F$1:$F$500&lt;&gt;"",ROW($1:$500),1000),ROW(BO228)))&amp;""</f>
        <v/>
      </c>
      <c r="BV228" s="6"/>
      <c r="CA228" s="6" t="str">
        <f t="array" ref="CA228">INDEX(BY:BY,SMALL(IF($F$1:$F$500&lt;&gt;"",ROW($1:$500),1000),ROW(BY228)))&amp;""</f>
        <v/>
      </c>
    </row>
    <row r="229" spans="1:79">
      <c r="A229" s="8" t="s">
        <v>3000</v>
      </c>
      <c r="B229" s="8" t="s">
        <v>1478</v>
      </c>
      <c r="C229" s="8" t="s">
        <v>494</v>
      </c>
      <c r="D229" s="9">
        <v>5</v>
      </c>
      <c r="F229" s="8" t="str">
        <f t="shared" si="18"/>
        <v/>
      </c>
      <c r="G229" s="8" t="str">
        <f>IF(AND(VLOOKUP(C229,查询!$C$8:$E$15,3,FALSE)="启用",$B$1=D229),B229,"")</f>
        <v/>
      </c>
      <c r="H229" s="6" t="str">
        <f t="array" ref="H229">INDEX(F:F,SMALL(IF($F$1:$F$500&lt;&gt;"",ROW($1:$500),1000),ROW(F229)))&amp;""</f>
        <v/>
      </c>
      <c r="I229" s="6" t="str">
        <f t="array" ref="I229">INDEX(G:G,SMALL(IF($F$1:$F$500&lt;&gt;"",ROW($1:$500),1000),ROW(G229)))&amp;""</f>
        <v/>
      </c>
      <c r="N229" s="6"/>
      <c r="S229" s="6" t="str">
        <f t="array" ref="S229">INDEX(Q:Q,SMALL(IF($F$1:$F$500&lt;&gt;"",ROW($1:$500),1000),ROW(Q229)))&amp;""</f>
        <v/>
      </c>
      <c r="X229" s="6"/>
      <c r="AC229" s="6" t="str">
        <f t="array" ref="AC229">INDEX(AA:AA,SMALL(IF($F$1:$F$500&lt;&gt;"",ROW($1:$500),1000),ROW(AA229)))&amp;""</f>
        <v/>
      </c>
      <c r="AH229" s="6"/>
      <c r="AM229" s="6" t="str">
        <f t="array" ref="AM229">INDEX(AK:AK,SMALL(IF($F$1:$F$500&lt;&gt;"",ROW($1:$500),1000),ROW(AK229)))&amp;""</f>
        <v/>
      </c>
      <c r="AW229" s="6" t="str">
        <f t="array" ref="AW229">INDEX(AU:AU,SMALL(IF($F$1:$F$500&lt;&gt;"",ROW($1:$500),1000),ROW(AU229)))&amp;""</f>
        <v/>
      </c>
      <c r="BG229" s="6" t="str">
        <f t="array" ref="BG229">INDEX(BE:BE,SMALL(IF($F$1:$F$500&lt;&gt;"",ROW($1:$500),1000),ROW(BE229)))&amp;""</f>
        <v/>
      </c>
      <c r="BL229" s="6"/>
      <c r="BQ229" s="6" t="str">
        <f t="array" ref="BQ229">INDEX(BO:BO,SMALL(IF($F$1:$F$500&lt;&gt;"",ROW($1:$500),1000),ROW(BO229)))&amp;""</f>
        <v/>
      </c>
      <c r="BV229" s="6"/>
      <c r="CA229" s="6" t="str">
        <f t="array" ref="CA229">INDEX(BY:BY,SMALL(IF($F$1:$F$500&lt;&gt;"",ROW($1:$500),1000),ROW(BY229)))&amp;""</f>
        <v/>
      </c>
    </row>
    <row r="230" spans="1:79">
      <c r="A230" s="8" t="s">
        <v>3008</v>
      </c>
      <c r="B230" s="8" t="s">
        <v>1491</v>
      </c>
      <c r="C230" s="8" t="s">
        <v>494</v>
      </c>
      <c r="D230" s="9">
        <v>5</v>
      </c>
      <c r="F230" s="8" t="str">
        <f t="shared" si="18"/>
        <v/>
      </c>
      <c r="G230" s="8" t="str">
        <f>IF(AND(VLOOKUP(C230,查询!$C$8:$E$15,3,FALSE)="启用",$B$1=D230),B230,"")</f>
        <v/>
      </c>
      <c r="H230" s="6" t="str">
        <f t="array" ref="H230">INDEX(F:F,SMALL(IF($F$1:$F$500&lt;&gt;"",ROW($1:$500),1000),ROW(F230)))&amp;""</f>
        <v/>
      </c>
      <c r="I230" s="6" t="str">
        <f t="array" ref="I230">INDEX(G:G,SMALL(IF($F$1:$F$500&lt;&gt;"",ROW($1:$500),1000),ROW(G230)))&amp;""</f>
        <v/>
      </c>
      <c r="N230" s="6"/>
      <c r="S230" s="6" t="str">
        <f t="array" ref="S230">INDEX(Q:Q,SMALL(IF($F$1:$F$500&lt;&gt;"",ROW($1:$500),1000),ROW(Q230)))&amp;""</f>
        <v/>
      </c>
      <c r="X230" s="6"/>
      <c r="AC230" s="6" t="str">
        <f t="array" ref="AC230">INDEX(AA:AA,SMALL(IF($F$1:$F$500&lt;&gt;"",ROW($1:$500),1000),ROW(AA230)))&amp;""</f>
        <v/>
      </c>
      <c r="AH230" s="6"/>
      <c r="AM230" s="6" t="str">
        <f t="array" ref="AM230">INDEX(AK:AK,SMALL(IF($F$1:$F$500&lt;&gt;"",ROW($1:$500),1000),ROW(AK230)))&amp;""</f>
        <v/>
      </c>
      <c r="AW230" s="6" t="str">
        <f t="array" ref="AW230">INDEX(AU:AU,SMALL(IF($F$1:$F$500&lt;&gt;"",ROW($1:$500),1000),ROW(AU230)))&amp;""</f>
        <v/>
      </c>
      <c r="BG230" s="6" t="str">
        <f t="array" ref="BG230">INDEX(BE:BE,SMALL(IF($F$1:$F$500&lt;&gt;"",ROW($1:$500),1000),ROW(BE230)))&amp;""</f>
        <v/>
      </c>
      <c r="BL230" s="6"/>
      <c r="BQ230" s="6" t="str">
        <f t="array" ref="BQ230">INDEX(BO:BO,SMALL(IF($F$1:$F$500&lt;&gt;"",ROW($1:$500),1000),ROW(BO230)))&amp;""</f>
        <v/>
      </c>
      <c r="BV230" s="6"/>
      <c r="CA230" s="6" t="str">
        <f t="array" ref="CA230">INDEX(BY:BY,SMALL(IF($F$1:$F$500&lt;&gt;"",ROW($1:$500),1000),ROW(BY230)))&amp;""</f>
        <v/>
      </c>
    </row>
    <row r="231" spans="1:79">
      <c r="A231" s="8" t="s">
        <v>3013</v>
      </c>
      <c r="B231" s="8" t="s">
        <v>1495</v>
      </c>
      <c r="C231" s="8" t="s">
        <v>494</v>
      </c>
      <c r="D231" s="9">
        <v>5</v>
      </c>
      <c r="F231" s="8" t="str">
        <f t="shared" si="18"/>
        <v/>
      </c>
      <c r="G231" s="8" t="str">
        <f>IF(AND(VLOOKUP(C231,查询!$C$8:$E$15,3,FALSE)="启用",$B$1=D231),B231,"")</f>
        <v/>
      </c>
      <c r="H231" s="6" t="str">
        <f t="array" ref="H231">INDEX(F:F,SMALL(IF($F$1:$F$500&lt;&gt;"",ROW($1:$500),1000),ROW(F231)))&amp;""</f>
        <v/>
      </c>
      <c r="I231" s="6" t="str">
        <f t="array" ref="I231">INDEX(G:G,SMALL(IF($F$1:$F$500&lt;&gt;"",ROW($1:$500),1000),ROW(G231)))&amp;""</f>
        <v/>
      </c>
      <c r="N231" s="6"/>
      <c r="S231" s="6" t="str">
        <f t="array" ref="S231">INDEX(Q:Q,SMALL(IF($F$1:$F$500&lt;&gt;"",ROW($1:$500),1000),ROW(Q231)))&amp;""</f>
        <v/>
      </c>
      <c r="X231" s="6"/>
      <c r="AC231" s="6" t="str">
        <f t="array" ref="AC231">INDEX(AA:AA,SMALL(IF($F$1:$F$500&lt;&gt;"",ROW($1:$500),1000),ROW(AA231)))&amp;""</f>
        <v/>
      </c>
      <c r="AH231" s="6"/>
      <c r="AM231" s="6" t="str">
        <f t="array" ref="AM231">INDEX(AK:AK,SMALL(IF($F$1:$F$500&lt;&gt;"",ROW($1:$500),1000),ROW(AK231)))&amp;""</f>
        <v/>
      </c>
      <c r="AW231" s="6" t="str">
        <f t="array" ref="AW231">INDEX(AU:AU,SMALL(IF($F$1:$F$500&lt;&gt;"",ROW($1:$500),1000),ROW(AU231)))&amp;""</f>
        <v/>
      </c>
      <c r="BG231" s="6" t="str">
        <f t="array" ref="BG231">INDEX(BE:BE,SMALL(IF($F$1:$F$500&lt;&gt;"",ROW($1:$500),1000),ROW(BE231)))&amp;""</f>
        <v/>
      </c>
      <c r="BL231" s="6"/>
      <c r="BQ231" s="6" t="str">
        <f t="array" ref="BQ231">INDEX(BO:BO,SMALL(IF($F$1:$F$500&lt;&gt;"",ROW($1:$500),1000),ROW(BO231)))&amp;""</f>
        <v/>
      </c>
      <c r="BV231" s="6"/>
      <c r="CA231" s="6" t="str">
        <f t="array" ref="CA231">INDEX(BY:BY,SMALL(IF($F$1:$F$500&lt;&gt;"",ROW($1:$500),1000),ROW(BY231)))&amp;""</f>
        <v/>
      </c>
    </row>
    <row r="232" spans="1:79">
      <c r="A232" s="8" t="s">
        <v>3019</v>
      </c>
      <c r="B232" s="8" t="s">
        <v>1505</v>
      </c>
      <c r="C232" s="8" t="s">
        <v>494</v>
      </c>
      <c r="D232" s="9">
        <v>5</v>
      </c>
      <c r="F232" s="8" t="str">
        <f t="shared" si="18"/>
        <v/>
      </c>
      <c r="G232" s="8" t="str">
        <f>IF(AND(VLOOKUP(C232,查询!$C$8:$E$15,3,FALSE)="启用",$B$1=D232),B232,"")</f>
        <v/>
      </c>
      <c r="H232" s="6" t="str">
        <f t="array" ref="H232">INDEX(F:F,SMALL(IF($F$1:$F$500&lt;&gt;"",ROW($1:$500),1000),ROW(F232)))&amp;""</f>
        <v/>
      </c>
      <c r="I232" s="6" t="str">
        <f t="array" ref="I232">INDEX(G:G,SMALL(IF($F$1:$F$500&lt;&gt;"",ROW($1:$500),1000),ROW(G232)))&amp;""</f>
        <v/>
      </c>
      <c r="N232" s="6"/>
      <c r="S232" s="6" t="str">
        <f t="array" ref="S232">INDEX(Q:Q,SMALL(IF($F$1:$F$500&lt;&gt;"",ROW($1:$500),1000),ROW(Q232)))&amp;""</f>
        <v/>
      </c>
      <c r="X232" s="6"/>
      <c r="AC232" s="6" t="str">
        <f t="array" ref="AC232">INDEX(AA:AA,SMALL(IF($F$1:$F$500&lt;&gt;"",ROW($1:$500),1000),ROW(AA232)))&amp;""</f>
        <v/>
      </c>
      <c r="AH232" s="6"/>
      <c r="AM232" s="6" t="str">
        <f t="array" ref="AM232">INDEX(AK:AK,SMALL(IF($F$1:$F$500&lt;&gt;"",ROW($1:$500),1000),ROW(AK232)))&amp;""</f>
        <v/>
      </c>
      <c r="AW232" s="6" t="str">
        <f t="array" ref="AW232">INDEX(AU:AU,SMALL(IF($F$1:$F$500&lt;&gt;"",ROW($1:$500),1000),ROW(AU232)))&amp;""</f>
        <v/>
      </c>
      <c r="BG232" s="6" t="str">
        <f t="array" ref="BG232">INDEX(BE:BE,SMALL(IF($F$1:$F$500&lt;&gt;"",ROW($1:$500),1000),ROW(BE232)))&amp;""</f>
        <v/>
      </c>
      <c r="BL232" s="6"/>
      <c r="BQ232" s="6" t="str">
        <f t="array" ref="BQ232">INDEX(BO:BO,SMALL(IF($F$1:$F$500&lt;&gt;"",ROW($1:$500),1000),ROW(BO232)))&amp;""</f>
        <v/>
      </c>
      <c r="BV232" s="6"/>
      <c r="CA232" s="6" t="str">
        <f t="array" ref="CA232">INDEX(BY:BY,SMALL(IF($F$1:$F$500&lt;&gt;"",ROW($1:$500),1000),ROW(BY232)))&amp;""</f>
        <v/>
      </c>
    </row>
    <row r="233" spans="1:79">
      <c r="A233" s="8" t="s">
        <v>3023</v>
      </c>
      <c r="B233" s="8" t="s">
        <v>1507</v>
      </c>
      <c r="C233" s="8" t="s">
        <v>494</v>
      </c>
      <c r="D233" s="9">
        <v>5</v>
      </c>
      <c r="F233" s="8" t="str">
        <f t="shared" si="18"/>
        <v/>
      </c>
      <c r="G233" s="8" t="str">
        <f>IF(AND(VLOOKUP(C233,查询!$C$8:$E$15,3,FALSE)="启用",$B$1=D233),B233,"")</f>
        <v/>
      </c>
      <c r="H233" s="6" t="str">
        <f t="array" ref="H233">INDEX(F:F,SMALL(IF($F$1:$F$500&lt;&gt;"",ROW($1:$500),1000),ROW(F233)))&amp;""</f>
        <v/>
      </c>
      <c r="I233" s="6" t="str">
        <f t="array" ref="I233">INDEX(G:G,SMALL(IF($F$1:$F$500&lt;&gt;"",ROW($1:$500),1000),ROW(G233)))&amp;""</f>
        <v/>
      </c>
      <c r="N233" s="6"/>
      <c r="S233" s="6" t="str">
        <f t="array" ref="S233">INDEX(Q:Q,SMALL(IF($F$1:$F$500&lt;&gt;"",ROW($1:$500),1000),ROW(Q233)))&amp;""</f>
        <v/>
      </c>
      <c r="X233" s="6"/>
      <c r="AC233" s="6" t="str">
        <f t="array" ref="AC233">INDEX(AA:AA,SMALL(IF($F$1:$F$500&lt;&gt;"",ROW($1:$500),1000),ROW(AA233)))&amp;""</f>
        <v/>
      </c>
      <c r="AH233" s="6"/>
      <c r="AM233" s="6" t="str">
        <f t="array" ref="AM233">INDEX(AK:AK,SMALL(IF($F$1:$F$500&lt;&gt;"",ROW($1:$500),1000),ROW(AK233)))&amp;""</f>
        <v/>
      </c>
      <c r="AW233" s="6" t="str">
        <f t="array" ref="AW233">INDEX(AU:AU,SMALL(IF($F$1:$F$500&lt;&gt;"",ROW($1:$500),1000),ROW(AU233)))&amp;""</f>
        <v/>
      </c>
      <c r="BG233" s="6" t="str">
        <f t="array" ref="BG233">INDEX(BE:BE,SMALL(IF($F$1:$F$500&lt;&gt;"",ROW($1:$500),1000),ROW(BE233)))&amp;""</f>
        <v/>
      </c>
      <c r="BL233" s="6"/>
      <c r="BQ233" s="6" t="str">
        <f t="array" ref="BQ233">INDEX(BO:BO,SMALL(IF($F$1:$F$500&lt;&gt;"",ROW($1:$500),1000),ROW(BO233)))&amp;""</f>
        <v/>
      </c>
      <c r="BV233" s="6"/>
      <c r="CA233" s="6" t="str">
        <f t="array" ref="CA233">INDEX(BY:BY,SMALL(IF($F$1:$F$500&lt;&gt;"",ROW($1:$500),1000),ROW(BY233)))&amp;""</f>
        <v/>
      </c>
    </row>
    <row r="234" spans="1:79">
      <c r="A234" s="8" t="s">
        <v>3034</v>
      </c>
      <c r="B234" s="8" t="s">
        <v>1522</v>
      </c>
      <c r="C234" s="8" t="s">
        <v>494</v>
      </c>
      <c r="D234" s="9">
        <v>5</v>
      </c>
      <c r="F234" s="8" t="str">
        <f t="shared" si="18"/>
        <v/>
      </c>
      <c r="G234" s="8" t="str">
        <f>IF(AND(VLOOKUP(C234,查询!$C$8:$E$15,3,FALSE)="启用",$B$1=D234),B234,"")</f>
        <v/>
      </c>
      <c r="H234" s="6" t="str">
        <f t="array" ref="H234">INDEX(F:F,SMALL(IF($F$1:$F$500&lt;&gt;"",ROW($1:$500),1000),ROW(F234)))&amp;""</f>
        <v/>
      </c>
      <c r="I234" s="6" t="str">
        <f t="array" ref="I234">INDEX(G:G,SMALL(IF($F$1:$F$500&lt;&gt;"",ROW($1:$500),1000),ROW(G234)))&amp;""</f>
        <v/>
      </c>
      <c r="N234" s="6"/>
      <c r="S234" s="6" t="str">
        <f t="array" ref="S234">INDEX(Q:Q,SMALL(IF($F$1:$F$500&lt;&gt;"",ROW($1:$500),1000),ROW(Q234)))&amp;""</f>
        <v/>
      </c>
      <c r="X234" s="6"/>
      <c r="AC234" s="6" t="str">
        <f t="array" ref="AC234">INDEX(AA:AA,SMALL(IF($F$1:$F$500&lt;&gt;"",ROW($1:$500),1000),ROW(AA234)))&amp;""</f>
        <v/>
      </c>
      <c r="AH234" s="6"/>
      <c r="AM234" s="6" t="str">
        <f t="array" ref="AM234">INDEX(AK:AK,SMALL(IF($F$1:$F$500&lt;&gt;"",ROW($1:$500),1000),ROW(AK234)))&amp;""</f>
        <v/>
      </c>
      <c r="AW234" s="6" t="str">
        <f t="array" ref="AW234">INDEX(AU:AU,SMALL(IF($F$1:$F$500&lt;&gt;"",ROW($1:$500),1000),ROW(AU234)))&amp;""</f>
        <v/>
      </c>
      <c r="BG234" s="6" t="str">
        <f t="array" ref="BG234">INDEX(BE:BE,SMALL(IF($F$1:$F$500&lt;&gt;"",ROW($1:$500),1000),ROW(BE234)))&amp;""</f>
        <v/>
      </c>
      <c r="BL234" s="6"/>
      <c r="BQ234" s="6" t="str">
        <f t="array" ref="BQ234">INDEX(BO:BO,SMALL(IF($F$1:$F$500&lt;&gt;"",ROW($1:$500),1000),ROW(BO234)))&amp;""</f>
        <v/>
      </c>
      <c r="BV234" s="6"/>
      <c r="CA234" s="6" t="str">
        <f t="array" ref="CA234">INDEX(BY:BY,SMALL(IF($F$1:$F$500&lt;&gt;"",ROW($1:$500),1000),ROW(BY234)))&amp;""</f>
        <v/>
      </c>
    </row>
    <row r="235" spans="1:79">
      <c r="A235" s="8" t="s">
        <v>3036</v>
      </c>
      <c r="B235" s="8" t="s">
        <v>1523</v>
      </c>
      <c r="C235" s="8" t="s">
        <v>494</v>
      </c>
      <c r="D235" s="9">
        <v>5</v>
      </c>
      <c r="F235" s="8" t="str">
        <f t="shared" si="18"/>
        <v/>
      </c>
      <c r="G235" s="8" t="str">
        <f>IF(AND(VLOOKUP(C235,查询!$C$8:$E$15,3,FALSE)="启用",$B$1=D235),B235,"")</f>
        <v/>
      </c>
      <c r="H235" s="6" t="str">
        <f t="array" ref="H235">INDEX(F:F,SMALL(IF($F$1:$F$500&lt;&gt;"",ROW($1:$500),1000),ROW(F235)))&amp;""</f>
        <v/>
      </c>
      <c r="I235" s="6" t="str">
        <f t="array" ref="I235">INDEX(G:G,SMALL(IF($F$1:$F$500&lt;&gt;"",ROW($1:$500),1000),ROW(G235)))&amp;""</f>
        <v/>
      </c>
      <c r="N235" s="6"/>
      <c r="S235" s="6" t="str">
        <f t="array" ref="S235">INDEX(Q:Q,SMALL(IF($F$1:$F$500&lt;&gt;"",ROW($1:$500),1000),ROW(Q235)))&amp;""</f>
        <v/>
      </c>
      <c r="X235" s="6"/>
      <c r="AC235" s="6" t="str">
        <f t="array" ref="AC235">INDEX(AA:AA,SMALL(IF($F$1:$F$500&lt;&gt;"",ROW($1:$500),1000),ROW(AA235)))&amp;""</f>
        <v/>
      </c>
      <c r="AH235" s="6"/>
      <c r="AM235" s="6" t="str">
        <f t="array" ref="AM235">INDEX(AK:AK,SMALL(IF($F$1:$F$500&lt;&gt;"",ROW($1:$500),1000),ROW(AK235)))&amp;""</f>
        <v/>
      </c>
      <c r="AW235" s="6" t="str">
        <f t="array" ref="AW235">INDEX(AU:AU,SMALL(IF($F$1:$F$500&lt;&gt;"",ROW($1:$500),1000),ROW(AU235)))&amp;""</f>
        <v/>
      </c>
      <c r="BG235" s="6" t="str">
        <f t="array" ref="BG235">INDEX(BE:BE,SMALL(IF($F$1:$F$500&lt;&gt;"",ROW($1:$500),1000),ROW(BE235)))&amp;""</f>
        <v/>
      </c>
      <c r="BL235" s="6"/>
      <c r="BQ235" s="6" t="str">
        <f t="array" ref="BQ235">INDEX(BO:BO,SMALL(IF($F$1:$F$500&lt;&gt;"",ROW($1:$500),1000),ROW(BO235)))&amp;""</f>
        <v/>
      </c>
      <c r="BV235" s="6"/>
      <c r="CA235" s="6" t="str">
        <f t="array" ref="CA235">INDEX(BY:BY,SMALL(IF($F$1:$F$500&lt;&gt;"",ROW($1:$500),1000),ROW(BY235)))&amp;""</f>
        <v/>
      </c>
    </row>
    <row r="236" spans="1:79">
      <c r="A236" s="8" t="s">
        <v>2940</v>
      </c>
      <c r="B236" s="8" t="s">
        <v>1305</v>
      </c>
      <c r="C236" s="8" t="s">
        <v>1249</v>
      </c>
      <c r="D236" s="9">
        <v>5</v>
      </c>
      <c r="F236" s="8" t="str">
        <f t="shared" si="18"/>
        <v/>
      </c>
      <c r="G236" s="8" t="str">
        <f>IF(AND(VLOOKUP(C236,查询!$C$8:$E$15,3,FALSE)="启用",$B$1=D236),B236,"")</f>
        <v/>
      </c>
      <c r="H236" s="6" t="str">
        <f t="array" ref="H236">INDEX(F:F,SMALL(IF($F$1:$F$500&lt;&gt;"",ROW($1:$500),1000),ROW(F236)))&amp;""</f>
        <v/>
      </c>
      <c r="I236" s="6" t="str">
        <f t="array" ref="I236">INDEX(G:G,SMALL(IF($F$1:$F$500&lt;&gt;"",ROW($1:$500),1000),ROW(G236)))&amp;""</f>
        <v/>
      </c>
      <c r="N236" s="6"/>
      <c r="S236" s="6" t="str">
        <f t="array" ref="S236">INDEX(Q:Q,SMALL(IF($F$1:$F$500&lt;&gt;"",ROW($1:$500),1000),ROW(Q236)))&amp;""</f>
        <v/>
      </c>
      <c r="X236" s="6"/>
      <c r="AC236" s="6" t="str">
        <f t="array" ref="AC236">INDEX(AA:AA,SMALL(IF($F$1:$F$500&lt;&gt;"",ROW($1:$500),1000),ROW(AA236)))&amp;""</f>
        <v/>
      </c>
      <c r="AH236" s="6"/>
      <c r="AM236" s="6" t="str">
        <f t="array" ref="AM236">INDEX(AK:AK,SMALL(IF($F$1:$F$500&lt;&gt;"",ROW($1:$500),1000),ROW(AK236)))&amp;""</f>
        <v/>
      </c>
      <c r="AW236" s="6" t="str">
        <f t="array" ref="AW236">INDEX(AU:AU,SMALL(IF($F$1:$F$500&lt;&gt;"",ROW($1:$500),1000),ROW(AU236)))&amp;""</f>
        <v/>
      </c>
      <c r="BG236" s="6" t="str">
        <f t="array" ref="BG236">INDEX(BE:BE,SMALL(IF($F$1:$F$500&lt;&gt;"",ROW($1:$500),1000),ROW(BE236)))&amp;""</f>
        <v/>
      </c>
      <c r="BL236" s="6"/>
      <c r="BQ236" s="6" t="str">
        <f t="array" ref="BQ236">INDEX(BO:BO,SMALL(IF($F$1:$F$500&lt;&gt;"",ROW($1:$500),1000),ROW(BO236)))&amp;""</f>
        <v/>
      </c>
      <c r="BV236" s="6"/>
      <c r="CA236" s="6" t="str">
        <f t="array" ref="CA236">INDEX(BY:BY,SMALL(IF($F$1:$F$500&lt;&gt;"",ROW($1:$500),1000),ROW(BY236)))&amp;""</f>
        <v/>
      </c>
    </row>
    <row r="237" spans="1:79">
      <c r="A237" s="8" t="s">
        <v>2944</v>
      </c>
      <c r="B237" s="8" t="s">
        <v>1311</v>
      </c>
      <c r="C237" s="8" t="s">
        <v>1249</v>
      </c>
      <c r="D237" s="9">
        <v>5</v>
      </c>
      <c r="F237" s="8" t="str">
        <f t="shared" si="18"/>
        <v/>
      </c>
      <c r="G237" s="8" t="str">
        <f>IF(AND(VLOOKUP(C237,查询!$C$8:$E$15,3,FALSE)="启用",$B$1=D237),B237,"")</f>
        <v/>
      </c>
      <c r="H237" s="6" t="str">
        <f t="array" ref="H237">INDEX(F:F,SMALL(IF($F$1:$F$500&lt;&gt;"",ROW($1:$500),1000),ROW(F237)))&amp;""</f>
        <v/>
      </c>
      <c r="I237" s="6" t="str">
        <f t="array" ref="I237">INDEX(G:G,SMALL(IF($F$1:$F$500&lt;&gt;"",ROW($1:$500),1000),ROW(G237)))&amp;""</f>
        <v/>
      </c>
      <c r="N237" s="6"/>
      <c r="S237" s="6" t="str">
        <f t="array" ref="S237">INDEX(Q:Q,SMALL(IF($F$1:$F$500&lt;&gt;"",ROW($1:$500),1000),ROW(Q237)))&amp;""</f>
        <v/>
      </c>
      <c r="X237" s="6"/>
      <c r="AC237" s="6" t="str">
        <f t="array" ref="AC237">INDEX(AA:AA,SMALL(IF($F$1:$F$500&lt;&gt;"",ROW($1:$500),1000),ROW(AA237)))&amp;""</f>
        <v/>
      </c>
      <c r="AH237" s="6"/>
      <c r="AM237" s="6" t="str">
        <f t="array" ref="AM237">INDEX(AK:AK,SMALL(IF($F$1:$F$500&lt;&gt;"",ROW($1:$500),1000),ROW(AK237)))&amp;""</f>
        <v/>
      </c>
      <c r="AW237" s="6" t="str">
        <f t="array" ref="AW237">INDEX(AU:AU,SMALL(IF($F$1:$F$500&lt;&gt;"",ROW($1:$500),1000),ROW(AU237)))&amp;""</f>
        <v/>
      </c>
      <c r="BG237" s="6" t="str">
        <f t="array" ref="BG237">INDEX(BE:BE,SMALL(IF($F$1:$F$500&lt;&gt;"",ROW($1:$500),1000),ROW(BE237)))&amp;""</f>
        <v/>
      </c>
      <c r="BL237" s="6"/>
      <c r="BQ237" s="6" t="str">
        <f t="array" ref="BQ237">INDEX(BO:BO,SMALL(IF($F$1:$F$500&lt;&gt;"",ROW($1:$500),1000),ROW(BO237)))&amp;""</f>
        <v/>
      </c>
      <c r="BV237" s="6"/>
      <c r="CA237" s="6" t="str">
        <f t="array" ref="CA237">INDEX(BY:BY,SMALL(IF($F$1:$F$500&lt;&gt;"",ROW($1:$500),1000),ROW(BY237)))&amp;""</f>
        <v/>
      </c>
    </row>
    <row r="238" spans="1:79">
      <c r="A238" s="8" t="s">
        <v>2946</v>
      </c>
      <c r="B238" s="8" t="s">
        <v>1312</v>
      </c>
      <c r="C238" s="8" t="s">
        <v>1249</v>
      </c>
      <c r="D238" s="9">
        <v>5</v>
      </c>
      <c r="F238" s="8" t="str">
        <f t="shared" si="18"/>
        <v/>
      </c>
      <c r="G238" s="8" t="str">
        <f>IF(AND(VLOOKUP(C238,查询!$C$8:$E$15,3,FALSE)="启用",$B$1=D238),B238,"")</f>
        <v/>
      </c>
      <c r="H238" s="6" t="str">
        <f t="array" ref="H238">INDEX(F:F,SMALL(IF($F$1:$F$500&lt;&gt;"",ROW($1:$500),1000),ROW(F238)))&amp;""</f>
        <v/>
      </c>
      <c r="I238" s="6" t="str">
        <f t="array" ref="I238">INDEX(G:G,SMALL(IF($F$1:$F$500&lt;&gt;"",ROW($1:$500),1000),ROW(G238)))&amp;""</f>
        <v/>
      </c>
      <c r="N238" s="6"/>
      <c r="S238" s="6" t="str">
        <f t="array" ref="S238">INDEX(Q:Q,SMALL(IF($F$1:$F$500&lt;&gt;"",ROW($1:$500),1000),ROW(Q238)))&amp;""</f>
        <v/>
      </c>
      <c r="X238" s="6"/>
      <c r="AC238" s="6" t="str">
        <f t="array" ref="AC238">INDEX(AA:AA,SMALL(IF($F$1:$F$500&lt;&gt;"",ROW($1:$500),1000),ROW(AA238)))&amp;""</f>
        <v/>
      </c>
      <c r="AH238" s="6"/>
      <c r="AM238" s="6" t="str">
        <f t="array" ref="AM238">INDEX(AK:AK,SMALL(IF($F$1:$F$500&lt;&gt;"",ROW($1:$500),1000),ROW(AK238)))&amp;""</f>
        <v/>
      </c>
      <c r="AW238" s="6" t="str">
        <f t="array" ref="AW238">INDEX(AU:AU,SMALL(IF($F$1:$F$500&lt;&gt;"",ROW($1:$500),1000),ROW(AU238)))&amp;""</f>
        <v/>
      </c>
      <c r="BG238" s="6" t="str">
        <f t="array" ref="BG238">INDEX(BE:BE,SMALL(IF($F$1:$F$500&lt;&gt;"",ROW($1:$500),1000),ROW(BE238)))&amp;""</f>
        <v/>
      </c>
      <c r="BL238" s="6"/>
      <c r="BQ238" s="6" t="str">
        <f t="array" ref="BQ238">INDEX(BO:BO,SMALL(IF($F$1:$F$500&lt;&gt;"",ROW($1:$500),1000),ROW(BO238)))&amp;""</f>
        <v/>
      </c>
      <c r="BV238" s="6"/>
      <c r="CA238" s="6" t="str">
        <f t="array" ref="CA238">INDEX(BY:BY,SMALL(IF($F$1:$F$500&lt;&gt;"",ROW($1:$500),1000),ROW(BY238)))&amp;""</f>
        <v/>
      </c>
    </row>
    <row r="239" spans="1:79">
      <c r="A239" s="8" t="s">
        <v>2950</v>
      </c>
      <c r="B239" s="8" t="s">
        <v>1314</v>
      </c>
      <c r="C239" s="8" t="s">
        <v>1249</v>
      </c>
      <c r="D239" s="9">
        <v>5</v>
      </c>
      <c r="F239" s="8" t="str">
        <f t="shared" si="18"/>
        <v/>
      </c>
      <c r="G239" s="8" t="str">
        <f>IF(AND(VLOOKUP(C239,查询!$C$8:$E$15,3,FALSE)="启用",$B$1=D239),B239,"")</f>
        <v/>
      </c>
      <c r="H239" s="6" t="str">
        <f t="array" ref="H239">INDEX(F:F,SMALL(IF($F$1:$F$500&lt;&gt;"",ROW($1:$500),1000),ROW(F239)))&amp;""</f>
        <v/>
      </c>
      <c r="I239" s="6" t="str">
        <f t="array" ref="I239">INDEX(G:G,SMALL(IF($F$1:$F$500&lt;&gt;"",ROW($1:$500),1000),ROW(G239)))&amp;""</f>
        <v/>
      </c>
      <c r="N239" s="6"/>
      <c r="S239" s="6" t="str">
        <f t="array" ref="S239">INDEX(Q:Q,SMALL(IF($F$1:$F$500&lt;&gt;"",ROW($1:$500),1000),ROW(Q239)))&amp;""</f>
        <v/>
      </c>
      <c r="X239" s="6"/>
      <c r="AC239" s="6" t="str">
        <f t="array" ref="AC239">INDEX(AA:AA,SMALL(IF($F$1:$F$500&lt;&gt;"",ROW($1:$500),1000),ROW(AA239)))&amp;""</f>
        <v/>
      </c>
      <c r="AH239" s="6"/>
      <c r="AM239" s="6" t="str">
        <f t="array" ref="AM239">INDEX(AK:AK,SMALL(IF($F$1:$F$500&lt;&gt;"",ROW($1:$500),1000),ROW(AK239)))&amp;""</f>
        <v/>
      </c>
      <c r="AW239" s="6" t="str">
        <f t="array" ref="AW239">INDEX(AU:AU,SMALL(IF($F$1:$F$500&lt;&gt;"",ROW($1:$500),1000),ROW(AU239)))&amp;""</f>
        <v/>
      </c>
      <c r="BG239" s="6" t="str">
        <f t="array" ref="BG239">INDEX(BE:BE,SMALL(IF($F$1:$F$500&lt;&gt;"",ROW($1:$500),1000),ROW(BE239)))&amp;""</f>
        <v/>
      </c>
      <c r="BL239" s="6"/>
      <c r="BQ239" s="6" t="str">
        <f t="array" ref="BQ239">INDEX(BO:BO,SMALL(IF($F$1:$F$500&lt;&gt;"",ROW($1:$500),1000),ROW(BO239)))&amp;""</f>
        <v/>
      </c>
      <c r="BV239" s="6"/>
      <c r="CA239" s="6" t="str">
        <f t="array" ref="CA239">INDEX(BY:BY,SMALL(IF($F$1:$F$500&lt;&gt;"",ROW($1:$500),1000),ROW(BY239)))&amp;""</f>
        <v/>
      </c>
    </row>
    <row r="240" spans="1:79">
      <c r="A240" s="8" t="s">
        <v>3072</v>
      </c>
      <c r="B240" s="8" t="s">
        <v>1641</v>
      </c>
      <c r="C240" s="8" t="s">
        <v>494</v>
      </c>
      <c r="D240" s="9">
        <v>5</v>
      </c>
      <c r="F240" s="8" t="str">
        <f t="shared" si="18"/>
        <v/>
      </c>
      <c r="G240" s="8" t="str">
        <f>IF(AND(VLOOKUP(C240,查询!$C$8:$E$15,3,FALSE)="启用",$B$1=D240),B240,"")</f>
        <v/>
      </c>
      <c r="H240" s="6" t="str">
        <f t="array" ref="H240">INDEX(F:F,SMALL(IF($F$1:$F$500&lt;&gt;"",ROW($1:$500),1000),ROW(F240)))&amp;""</f>
        <v/>
      </c>
      <c r="I240" s="6" t="str">
        <f t="array" ref="I240">INDEX(G:G,SMALL(IF($F$1:$F$500&lt;&gt;"",ROW($1:$500),1000),ROW(G240)))&amp;""</f>
        <v/>
      </c>
      <c r="N240" s="6"/>
      <c r="S240" s="6" t="str">
        <f t="array" ref="S240">INDEX(Q:Q,SMALL(IF($F$1:$F$500&lt;&gt;"",ROW($1:$500),1000),ROW(Q240)))&amp;""</f>
        <v/>
      </c>
      <c r="X240" s="6"/>
      <c r="AC240" s="6" t="str">
        <f t="array" ref="AC240">INDEX(AA:AA,SMALL(IF($F$1:$F$500&lt;&gt;"",ROW($1:$500),1000),ROW(AA240)))&amp;""</f>
        <v/>
      </c>
      <c r="AH240" s="6"/>
      <c r="AM240" s="6" t="str">
        <f t="array" ref="AM240">INDEX(AK:AK,SMALL(IF($F$1:$F$500&lt;&gt;"",ROW($1:$500),1000),ROW(AK240)))&amp;""</f>
        <v/>
      </c>
      <c r="AW240" s="6" t="str">
        <f t="array" ref="AW240">INDEX(AU:AU,SMALL(IF($F$1:$F$500&lt;&gt;"",ROW($1:$500),1000),ROW(AU240)))&amp;""</f>
        <v/>
      </c>
      <c r="BG240" s="6" t="str">
        <f t="array" ref="BG240">INDEX(BE:BE,SMALL(IF($F$1:$F$500&lt;&gt;"",ROW($1:$500),1000),ROW(BE240)))&amp;""</f>
        <v/>
      </c>
      <c r="BL240" s="6"/>
      <c r="BQ240" s="6" t="str">
        <f t="array" ref="BQ240">INDEX(BO:BO,SMALL(IF($F$1:$F$500&lt;&gt;"",ROW($1:$500),1000),ROW(BO240)))&amp;""</f>
        <v/>
      </c>
      <c r="BV240" s="6"/>
      <c r="CA240" s="6" t="str">
        <f t="array" ref="CA240">INDEX(BY:BY,SMALL(IF($F$1:$F$500&lt;&gt;"",ROW($1:$500),1000),ROW(BY240)))&amp;""</f>
        <v/>
      </c>
    </row>
    <row r="241" spans="1:79">
      <c r="A241" s="8" t="s">
        <v>3076</v>
      </c>
      <c r="B241" s="8" t="s">
        <v>1660</v>
      </c>
      <c r="C241" s="8" t="s">
        <v>494</v>
      </c>
      <c r="D241" s="9">
        <v>5</v>
      </c>
      <c r="F241" s="8" t="str">
        <f t="shared" si="18"/>
        <v/>
      </c>
      <c r="G241" s="8" t="str">
        <f>IF(AND(VLOOKUP(C241,查询!$C$8:$E$15,3,FALSE)="启用",$B$1=D241),B241,"")</f>
        <v/>
      </c>
      <c r="H241" s="6" t="str">
        <f t="array" ref="H241">INDEX(F:F,SMALL(IF($F$1:$F$500&lt;&gt;"",ROW($1:$500),1000),ROW(F241)))&amp;""</f>
        <v/>
      </c>
      <c r="I241" s="6" t="str">
        <f t="array" ref="I241">INDEX(G:G,SMALL(IF($F$1:$F$500&lt;&gt;"",ROW($1:$500),1000),ROW(G241)))&amp;""</f>
        <v/>
      </c>
      <c r="N241" s="6"/>
      <c r="S241" s="6" t="str">
        <f t="array" ref="S241">INDEX(Q:Q,SMALL(IF($F$1:$F$500&lt;&gt;"",ROW($1:$500),1000),ROW(Q241)))&amp;""</f>
        <v/>
      </c>
      <c r="X241" s="6"/>
      <c r="AC241" s="6" t="str">
        <f t="array" ref="AC241">INDEX(AA:AA,SMALL(IF($F$1:$F$500&lt;&gt;"",ROW($1:$500),1000),ROW(AA241)))&amp;""</f>
        <v/>
      </c>
      <c r="AH241" s="6"/>
      <c r="AM241" s="6" t="str">
        <f t="array" ref="AM241">INDEX(AK:AK,SMALL(IF($F$1:$F$500&lt;&gt;"",ROW($1:$500),1000),ROW(AK241)))&amp;""</f>
        <v/>
      </c>
      <c r="AW241" s="6" t="str">
        <f t="array" ref="AW241">INDEX(AU:AU,SMALL(IF($F$1:$F$500&lt;&gt;"",ROW($1:$500),1000),ROW(AU241)))&amp;""</f>
        <v/>
      </c>
      <c r="BG241" s="6" t="str">
        <f t="array" ref="BG241">INDEX(BE:BE,SMALL(IF($F$1:$F$500&lt;&gt;"",ROW($1:$500),1000),ROW(BE241)))&amp;""</f>
        <v/>
      </c>
      <c r="BL241" s="6"/>
      <c r="BQ241" s="6" t="str">
        <f t="array" ref="BQ241">INDEX(BO:BO,SMALL(IF($F$1:$F$500&lt;&gt;"",ROW($1:$500),1000),ROW(BO241)))&amp;""</f>
        <v/>
      </c>
      <c r="BV241" s="6"/>
      <c r="CA241" s="6" t="str">
        <f t="array" ref="CA241">INDEX(BY:BY,SMALL(IF($F$1:$F$500&lt;&gt;"",ROW($1:$500),1000),ROW(BY241)))&amp;""</f>
        <v/>
      </c>
    </row>
    <row r="242" spans="1:79">
      <c r="A242" s="8" t="s">
        <v>3080</v>
      </c>
      <c r="B242" s="8" t="s">
        <v>1664</v>
      </c>
      <c r="C242" s="8" t="s">
        <v>494</v>
      </c>
      <c r="D242" s="9">
        <v>5</v>
      </c>
      <c r="F242" s="8" t="str">
        <f t="shared" si="18"/>
        <v/>
      </c>
      <c r="G242" s="8" t="str">
        <f>IF(AND(VLOOKUP(C242,查询!$C$8:$E$15,3,FALSE)="启用",$B$1=D242),B242,"")</f>
        <v/>
      </c>
      <c r="H242" s="6" t="str">
        <f t="array" ref="H242">INDEX(F:F,SMALL(IF($F$1:$F$500&lt;&gt;"",ROW($1:$500),1000),ROW(F242)))&amp;""</f>
        <v/>
      </c>
      <c r="I242" s="6" t="str">
        <f t="array" ref="I242">INDEX(G:G,SMALL(IF($F$1:$F$500&lt;&gt;"",ROW($1:$500),1000),ROW(G242)))&amp;""</f>
        <v/>
      </c>
      <c r="N242" s="6"/>
      <c r="S242" s="6" t="str">
        <f t="array" ref="S242">INDEX(Q:Q,SMALL(IF($F$1:$F$500&lt;&gt;"",ROW($1:$500),1000),ROW(Q242)))&amp;""</f>
        <v/>
      </c>
      <c r="X242" s="6"/>
      <c r="AC242" s="6" t="str">
        <f t="array" ref="AC242">INDEX(AA:AA,SMALL(IF($F$1:$F$500&lt;&gt;"",ROW($1:$500),1000),ROW(AA242)))&amp;""</f>
        <v/>
      </c>
      <c r="AH242" s="6"/>
      <c r="AM242" s="6" t="str">
        <f t="array" ref="AM242">INDEX(AK:AK,SMALL(IF($F$1:$F$500&lt;&gt;"",ROW($1:$500),1000),ROW(AK242)))&amp;""</f>
        <v/>
      </c>
      <c r="AW242" s="6" t="str">
        <f t="array" ref="AW242">INDEX(AU:AU,SMALL(IF($F$1:$F$500&lt;&gt;"",ROW($1:$500),1000),ROW(AU242)))&amp;""</f>
        <v/>
      </c>
      <c r="BG242" s="6" t="str">
        <f t="array" ref="BG242">INDEX(BE:BE,SMALL(IF($F$1:$F$500&lt;&gt;"",ROW($1:$500),1000),ROW(BE242)))&amp;""</f>
        <v/>
      </c>
      <c r="BL242" s="6"/>
      <c r="BQ242" s="6" t="str">
        <f t="array" ref="BQ242">INDEX(BO:BO,SMALL(IF($F$1:$F$500&lt;&gt;"",ROW($1:$500),1000),ROW(BO242)))&amp;""</f>
        <v/>
      </c>
      <c r="BV242" s="6"/>
      <c r="CA242" s="6" t="str">
        <f t="array" ref="CA242">INDEX(BY:BY,SMALL(IF($F$1:$F$500&lt;&gt;"",ROW($1:$500),1000),ROW(BY242)))&amp;""</f>
        <v/>
      </c>
    </row>
    <row r="243" spans="1:79">
      <c r="A243" s="8" t="s">
        <v>3084</v>
      </c>
      <c r="B243" s="8" t="s">
        <v>1670</v>
      </c>
      <c r="C243" s="8" t="s">
        <v>494</v>
      </c>
      <c r="D243" s="9">
        <v>5</v>
      </c>
      <c r="F243" s="8" t="str">
        <f t="shared" si="18"/>
        <v/>
      </c>
      <c r="G243" s="8" t="str">
        <f>IF(AND(VLOOKUP(C243,查询!$C$8:$E$15,3,FALSE)="启用",$B$1=D243),B243,"")</f>
        <v/>
      </c>
      <c r="H243" s="6" t="str">
        <f t="array" ref="H243">INDEX(F:F,SMALL(IF($F$1:$F$500&lt;&gt;"",ROW($1:$500),1000),ROW(F243)))&amp;""</f>
        <v/>
      </c>
      <c r="I243" s="6" t="str">
        <f t="array" ref="I243">INDEX(G:G,SMALL(IF($F$1:$F$500&lt;&gt;"",ROW($1:$500),1000),ROW(G243)))&amp;""</f>
        <v/>
      </c>
      <c r="N243" s="6"/>
      <c r="S243" s="6" t="str">
        <f t="array" ref="S243">INDEX(Q:Q,SMALL(IF($F$1:$F$500&lt;&gt;"",ROW($1:$500),1000),ROW(Q243)))&amp;""</f>
        <v/>
      </c>
      <c r="X243" s="6"/>
      <c r="AC243" s="6" t="str">
        <f t="array" ref="AC243">INDEX(AA:AA,SMALL(IF($F$1:$F$500&lt;&gt;"",ROW($1:$500),1000),ROW(AA243)))&amp;""</f>
        <v/>
      </c>
      <c r="AH243" s="6"/>
      <c r="AM243" s="6" t="str">
        <f t="array" ref="AM243">INDEX(AK:AK,SMALL(IF($F$1:$F$500&lt;&gt;"",ROW($1:$500),1000),ROW(AK243)))&amp;""</f>
        <v/>
      </c>
      <c r="AW243" s="6" t="str">
        <f t="array" ref="AW243">INDEX(AU:AU,SMALL(IF($F$1:$F$500&lt;&gt;"",ROW($1:$500),1000),ROW(AU243)))&amp;""</f>
        <v/>
      </c>
      <c r="BG243" s="6" t="str">
        <f t="array" ref="BG243">INDEX(BE:BE,SMALL(IF($F$1:$F$500&lt;&gt;"",ROW($1:$500),1000),ROW(BE243)))&amp;""</f>
        <v/>
      </c>
      <c r="BL243" s="6"/>
      <c r="BQ243" s="6" t="str">
        <f t="array" ref="BQ243">INDEX(BO:BO,SMALL(IF($F$1:$F$500&lt;&gt;"",ROW($1:$500),1000),ROW(BO243)))&amp;""</f>
        <v/>
      </c>
      <c r="BV243" s="6"/>
      <c r="CA243" s="6" t="str">
        <f t="array" ref="CA243">INDEX(BY:BY,SMALL(IF($F$1:$F$500&lt;&gt;"",ROW($1:$500),1000),ROW(BY243)))&amp;""</f>
        <v/>
      </c>
    </row>
    <row r="244" spans="1:79">
      <c r="A244" s="8" t="s">
        <v>3137</v>
      </c>
      <c r="B244" s="8" t="s">
        <v>1736</v>
      </c>
      <c r="C244" s="8" t="s">
        <v>578</v>
      </c>
      <c r="D244" s="9">
        <v>5</v>
      </c>
      <c r="F244" s="8" t="str">
        <f t="shared" si="18"/>
        <v/>
      </c>
      <c r="G244" s="8" t="str">
        <f>IF(AND(VLOOKUP(C244,查询!$C$8:$E$15,3,FALSE)="启用",$B$1=D244),B244,"")</f>
        <v/>
      </c>
      <c r="H244" s="6" t="str">
        <f t="array" ref="H244">INDEX(F:F,SMALL(IF($F$1:$F$500&lt;&gt;"",ROW($1:$500),1000),ROW(F244)))&amp;""</f>
        <v/>
      </c>
      <c r="I244" s="6" t="str">
        <f t="array" ref="I244">INDEX(G:G,SMALL(IF($F$1:$F$500&lt;&gt;"",ROW($1:$500),1000),ROW(G244)))&amp;""</f>
        <v/>
      </c>
      <c r="N244" s="6"/>
      <c r="S244" s="6" t="str">
        <f t="array" ref="S244">INDEX(Q:Q,SMALL(IF($F$1:$F$500&lt;&gt;"",ROW($1:$500),1000),ROW(Q244)))&amp;""</f>
        <v/>
      </c>
      <c r="X244" s="6"/>
      <c r="AC244" s="6" t="str">
        <f t="array" ref="AC244">INDEX(AA:AA,SMALL(IF($F$1:$F$500&lt;&gt;"",ROW($1:$500),1000),ROW(AA244)))&amp;""</f>
        <v/>
      </c>
      <c r="AH244" s="6"/>
      <c r="AM244" s="6" t="str">
        <f t="array" ref="AM244">INDEX(AK:AK,SMALL(IF($F$1:$F$500&lt;&gt;"",ROW($1:$500),1000),ROW(AK244)))&amp;""</f>
        <v/>
      </c>
      <c r="AW244" s="6" t="str">
        <f t="array" ref="AW244">INDEX(AU:AU,SMALL(IF($F$1:$F$500&lt;&gt;"",ROW($1:$500),1000),ROW(AU244)))&amp;""</f>
        <v/>
      </c>
      <c r="BG244" s="6" t="str">
        <f t="array" ref="BG244">INDEX(BE:BE,SMALL(IF($F$1:$F$500&lt;&gt;"",ROW($1:$500),1000),ROW(BE244)))&amp;""</f>
        <v/>
      </c>
      <c r="BL244" s="6"/>
      <c r="BQ244" s="6" t="str">
        <f t="array" ref="BQ244">INDEX(BO:BO,SMALL(IF($F$1:$F$500&lt;&gt;"",ROW($1:$500),1000),ROW(BO244)))&amp;""</f>
        <v/>
      </c>
      <c r="BV244" s="6"/>
      <c r="CA244" s="6" t="str">
        <f t="array" ref="CA244">INDEX(BY:BY,SMALL(IF($F$1:$F$500&lt;&gt;"",ROW($1:$500),1000),ROW(BY244)))&amp;""</f>
        <v/>
      </c>
    </row>
    <row r="245" spans="1:79">
      <c r="A245" s="8" t="s">
        <v>2956</v>
      </c>
      <c r="B245" s="8" t="s">
        <v>1740</v>
      </c>
      <c r="C245" s="8" t="s">
        <v>578</v>
      </c>
      <c r="D245" s="9">
        <v>5</v>
      </c>
      <c r="F245" s="8" t="str">
        <f t="shared" si="18"/>
        <v/>
      </c>
      <c r="G245" s="8" t="str">
        <f>IF(AND(VLOOKUP(C245,查询!$C$8:$E$15,3,FALSE)="启用",$B$1=D245),B245,"")</f>
        <v/>
      </c>
      <c r="H245" s="6" t="str">
        <f t="array" ref="H245">INDEX(F:F,SMALL(IF($F$1:$F$500&lt;&gt;"",ROW($1:$500),1000),ROW(F245)))&amp;""</f>
        <v/>
      </c>
      <c r="I245" s="6" t="str">
        <f t="array" ref="I245">INDEX(G:G,SMALL(IF($F$1:$F$500&lt;&gt;"",ROW($1:$500),1000),ROW(G245)))&amp;""</f>
        <v/>
      </c>
      <c r="N245" s="6"/>
      <c r="S245" s="6" t="str">
        <f t="array" ref="S245">INDEX(Q:Q,SMALL(IF($F$1:$F$500&lt;&gt;"",ROW($1:$500),1000),ROW(Q245)))&amp;""</f>
        <v/>
      </c>
      <c r="X245" s="6"/>
      <c r="AC245" s="6" t="str">
        <f t="array" ref="AC245">INDEX(AA:AA,SMALL(IF($F$1:$F$500&lt;&gt;"",ROW($1:$500),1000),ROW(AA245)))&amp;""</f>
        <v/>
      </c>
      <c r="AH245" s="6"/>
      <c r="AM245" s="6" t="str">
        <f t="array" ref="AM245">INDEX(AK:AK,SMALL(IF($F$1:$F$500&lt;&gt;"",ROW($1:$500),1000),ROW(AK245)))&amp;""</f>
        <v/>
      </c>
      <c r="AW245" s="6" t="str">
        <f t="array" ref="AW245">INDEX(AU:AU,SMALL(IF($F$1:$F$500&lt;&gt;"",ROW($1:$500),1000),ROW(AU245)))&amp;""</f>
        <v/>
      </c>
      <c r="BG245" s="6" t="str">
        <f t="array" ref="BG245">INDEX(BE:BE,SMALL(IF($F$1:$F$500&lt;&gt;"",ROW($1:$500),1000),ROW(BE245)))&amp;""</f>
        <v/>
      </c>
      <c r="BL245" s="6"/>
      <c r="BQ245" s="6" t="str">
        <f t="array" ref="BQ245">INDEX(BO:BO,SMALL(IF($F$1:$F$500&lt;&gt;"",ROW($1:$500),1000),ROW(BO245)))&amp;""</f>
        <v/>
      </c>
      <c r="BV245" s="6"/>
      <c r="CA245" s="6" t="str">
        <f t="array" ref="CA245">INDEX(BY:BY,SMALL(IF($F$1:$F$500&lt;&gt;"",ROW($1:$500),1000),ROW(BY245)))&amp;""</f>
        <v/>
      </c>
    </row>
    <row r="246" spans="1:79">
      <c r="A246" s="8" t="s">
        <v>2956</v>
      </c>
      <c r="B246" s="8" t="s">
        <v>1339</v>
      </c>
      <c r="C246" s="8" t="s">
        <v>1249</v>
      </c>
      <c r="D246" s="9">
        <v>5</v>
      </c>
      <c r="F246" s="8" t="str">
        <f t="shared" si="18"/>
        <v/>
      </c>
      <c r="G246" s="8" t="str">
        <f>IF(AND(VLOOKUP(C246,查询!$C$8:$E$15,3,FALSE)="启用",$B$1=D246),B246,"")</f>
        <v/>
      </c>
      <c r="H246" s="6" t="str">
        <f t="array" ref="H246">INDEX(F:F,SMALL(IF($F$1:$F$500&lt;&gt;"",ROW($1:$500),1000),ROW(F246)))&amp;""</f>
        <v/>
      </c>
      <c r="I246" s="6" t="str">
        <f t="array" ref="I246">INDEX(G:G,SMALL(IF($F$1:$F$500&lt;&gt;"",ROW($1:$500),1000),ROW(G246)))&amp;""</f>
        <v/>
      </c>
      <c r="N246" s="6"/>
      <c r="S246" s="6" t="str">
        <f t="array" ref="S246">INDEX(Q:Q,SMALL(IF($F$1:$F$500&lt;&gt;"",ROW($1:$500),1000),ROW(Q246)))&amp;""</f>
        <v/>
      </c>
      <c r="X246" s="6"/>
      <c r="AC246" s="6" t="str">
        <f t="array" ref="AC246">INDEX(AA:AA,SMALL(IF($F$1:$F$500&lt;&gt;"",ROW($1:$500),1000),ROW(AA246)))&amp;""</f>
        <v/>
      </c>
      <c r="AH246" s="6"/>
      <c r="AM246" s="6" t="str">
        <f t="array" ref="AM246">INDEX(AK:AK,SMALL(IF($F$1:$F$500&lt;&gt;"",ROW($1:$500),1000),ROW(AK246)))&amp;""</f>
        <v/>
      </c>
      <c r="AW246" s="6" t="str">
        <f t="array" ref="AW246">INDEX(AU:AU,SMALL(IF($F$1:$F$500&lt;&gt;"",ROW($1:$500),1000),ROW(AU246)))&amp;""</f>
        <v/>
      </c>
      <c r="BG246" s="6" t="str">
        <f t="array" ref="BG246">INDEX(BE:BE,SMALL(IF($F$1:$F$500&lt;&gt;"",ROW($1:$500),1000),ROW(BE246)))&amp;""</f>
        <v/>
      </c>
      <c r="BL246" s="6"/>
      <c r="BQ246" s="6" t="str">
        <f t="array" ref="BQ246">INDEX(BO:BO,SMALL(IF($F$1:$F$500&lt;&gt;"",ROW($1:$500),1000),ROW(BO246)))&amp;""</f>
        <v/>
      </c>
      <c r="BV246" s="6"/>
      <c r="CA246" s="6" t="str">
        <f t="array" ref="CA246">INDEX(BY:BY,SMALL(IF($F$1:$F$500&lt;&gt;"",ROW($1:$500),1000),ROW(BY246)))&amp;""</f>
        <v/>
      </c>
    </row>
    <row r="247" spans="1:79">
      <c r="A247" s="8" t="s">
        <v>2958</v>
      </c>
      <c r="B247" s="8" t="s">
        <v>1752</v>
      </c>
      <c r="C247" s="8" t="s">
        <v>578</v>
      </c>
      <c r="D247" s="9">
        <v>5</v>
      </c>
      <c r="F247" s="8" t="str">
        <f t="shared" si="18"/>
        <v/>
      </c>
      <c r="G247" s="8" t="str">
        <f>IF(AND(VLOOKUP(C247,查询!$C$8:$E$15,3,FALSE)="启用",$B$1=D247),B247,"")</f>
        <v/>
      </c>
      <c r="H247" s="6" t="str">
        <f t="array" ref="H247">INDEX(F:F,SMALL(IF($F$1:$F$500&lt;&gt;"",ROW($1:$500),1000),ROW(F247)))&amp;""</f>
        <v/>
      </c>
      <c r="I247" s="6" t="str">
        <f t="array" ref="I247">INDEX(G:G,SMALL(IF($F$1:$F$500&lt;&gt;"",ROW($1:$500),1000),ROW(G247)))&amp;""</f>
        <v/>
      </c>
      <c r="N247" s="6"/>
      <c r="S247" s="6" t="str">
        <f t="array" ref="S247">INDEX(Q:Q,SMALL(IF($F$1:$F$500&lt;&gt;"",ROW($1:$500),1000),ROW(Q247)))&amp;""</f>
        <v/>
      </c>
      <c r="X247" s="6"/>
      <c r="AC247" s="6" t="str">
        <f t="array" ref="AC247">INDEX(AA:AA,SMALL(IF($F$1:$F$500&lt;&gt;"",ROW($1:$500),1000),ROW(AA247)))&amp;""</f>
        <v/>
      </c>
      <c r="AH247" s="6"/>
      <c r="AM247" s="6" t="str">
        <f t="array" ref="AM247">INDEX(AK:AK,SMALL(IF($F$1:$F$500&lt;&gt;"",ROW($1:$500),1000),ROW(AK247)))&amp;""</f>
        <v/>
      </c>
      <c r="AW247" s="6" t="str">
        <f t="array" ref="AW247">INDEX(AU:AU,SMALL(IF($F$1:$F$500&lt;&gt;"",ROW($1:$500),1000),ROW(AU247)))&amp;""</f>
        <v/>
      </c>
      <c r="BG247" s="6" t="str">
        <f t="array" ref="BG247">INDEX(BE:BE,SMALL(IF($F$1:$F$500&lt;&gt;"",ROW($1:$500),1000),ROW(BE247)))&amp;""</f>
        <v/>
      </c>
      <c r="BL247" s="6"/>
      <c r="BQ247" s="6" t="str">
        <f t="array" ref="BQ247">INDEX(BO:BO,SMALL(IF($F$1:$F$500&lt;&gt;"",ROW($1:$500),1000),ROW(BO247)))&amp;""</f>
        <v/>
      </c>
      <c r="BV247" s="6"/>
      <c r="CA247" s="6" t="str">
        <f t="array" ref="CA247">INDEX(BY:BY,SMALL(IF($F$1:$F$500&lt;&gt;"",ROW($1:$500),1000),ROW(BY247)))&amp;""</f>
        <v/>
      </c>
    </row>
    <row r="248" spans="1:79">
      <c r="A248" s="8" t="s">
        <v>2958</v>
      </c>
      <c r="B248" s="8" t="s">
        <v>1351</v>
      </c>
      <c r="C248" s="8" t="s">
        <v>1249</v>
      </c>
      <c r="D248" s="9">
        <v>5</v>
      </c>
      <c r="F248" s="8" t="str">
        <f t="shared" si="18"/>
        <v/>
      </c>
      <c r="G248" s="8" t="str">
        <f>IF(AND(VLOOKUP(C248,查询!$C$8:$E$15,3,FALSE)="启用",$B$1=D248),B248,"")</f>
        <v/>
      </c>
      <c r="H248" s="6" t="str">
        <f t="array" ref="H248">INDEX(F:F,SMALL(IF($F$1:$F$500&lt;&gt;"",ROW($1:$500),1000),ROW(F248)))&amp;""</f>
        <v/>
      </c>
      <c r="I248" s="6" t="str">
        <f t="array" ref="I248">INDEX(G:G,SMALL(IF($F$1:$F$500&lt;&gt;"",ROW($1:$500),1000),ROW(G248)))&amp;""</f>
        <v/>
      </c>
      <c r="N248" s="6"/>
      <c r="S248" s="6" t="str">
        <f t="array" ref="S248">INDEX(Q:Q,SMALL(IF($F$1:$F$500&lt;&gt;"",ROW($1:$500),1000),ROW(Q248)))&amp;""</f>
        <v/>
      </c>
      <c r="X248" s="6"/>
      <c r="AC248" s="6" t="str">
        <f t="array" ref="AC248">INDEX(AA:AA,SMALL(IF($F$1:$F$500&lt;&gt;"",ROW($1:$500),1000),ROW(AA248)))&amp;""</f>
        <v/>
      </c>
      <c r="AH248" s="6"/>
      <c r="AM248" s="6" t="str">
        <f t="array" ref="AM248">INDEX(AK:AK,SMALL(IF($F$1:$F$500&lt;&gt;"",ROW($1:$500),1000),ROW(AK248)))&amp;""</f>
        <v/>
      </c>
      <c r="AW248" s="6" t="str">
        <f t="array" ref="AW248">INDEX(AU:AU,SMALL(IF($F$1:$F$500&lt;&gt;"",ROW($1:$500),1000),ROW(AU248)))&amp;""</f>
        <v/>
      </c>
      <c r="BG248" s="6" t="str">
        <f t="array" ref="BG248">INDEX(BE:BE,SMALL(IF($F$1:$F$500&lt;&gt;"",ROW($1:$500),1000),ROW(BE248)))&amp;""</f>
        <v/>
      </c>
      <c r="BL248" s="6"/>
      <c r="BQ248" s="6" t="str">
        <f t="array" ref="BQ248">INDEX(BO:BO,SMALL(IF($F$1:$F$500&lt;&gt;"",ROW($1:$500),1000),ROW(BO248)))&amp;""</f>
        <v/>
      </c>
      <c r="BV248" s="6"/>
      <c r="CA248" s="6" t="str">
        <f t="array" ref="CA248">INDEX(BY:BY,SMALL(IF($F$1:$F$500&lt;&gt;"",ROW($1:$500),1000),ROW(BY248)))&amp;""</f>
        <v/>
      </c>
    </row>
    <row r="249" spans="1:79">
      <c r="A249" s="8" t="s">
        <v>3092</v>
      </c>
      <c r="B249" s="8" t="s">
        <v>1700</v>
      </c>
      <c r="C249" s="8" t="s">
        <v>494</v>
      </c>
      <c r="D249" s="9">
        <v>5</v>
      </c>
      <c r="F249" s="8" t="str">
        <f t="shared" si="18"/>
        <v/>
      </c>
      <c r="G249" s="8" t="str">
        <f>IF(AND(VLOOKUP(C249,查询!$C$8:$E$15,3,FALSE)="启用",$B$1=D249),B249,"")</f>
        <v/>
      </c>
      <c r="H249" s="6" t="str">
        <f t="array" ref="H249">INDEX(F:F,SMALL(IF($F$1:$F$500&lt;&gt;"",ROW($1:$500),1000),ROW(F249)))&amp;""</f>
        <v/>
      </c>
      <c r="I249" s="6" t="str">
        <f t="array" ref="I249">INDEX(G:G,SMALL(IF($F$1:$F$500&lt;&gt;"",ROW($1:$500),1000),ROW(G249)))&amp;""</f>
        <v/>
      </c>
      <c r="N249" s="6"/>
      <c r="S249" s="6" t="str">
        <f t="array" ref="S249">INDEX(Q:Q,SMALL(IF($F$1:$F$500&lt;&gt;"",ROW($1:$500),1000),ROW(Q249)))&amp;""</f>
        <v/>
      </c>
      <c r="X249" s="6"/>
      <c r="AC249" s="6" t="str">
        <f t="array" ref="AC249">INDEX(AA:AA,SMALL(IF($F$1:$F$500&lt;&gt;"",ROW($1:$500),1000),ROW(AA249)))&amp;""</f>
        <v/>
      </c>
      <c r="AH249" s="6"/>
      <c r="AM249" s="6" t="str">
        <f t="array" ref="AM249">INDEX(AK:AK,SMALL(IF($F$1:$F$500&lt;&gt;"",ROW($1:$500),1000),ROW(AK249)))&amp;""</f>
        <v/>
      </c>
      <c r="AW249" s="6" t="str">
        <f t="array" ref="AW249">INDEX(AU:AU,SMALL(IF($F$1:$F$500&lt;&gt;"",ROW($1:$500),1000),ROW(AU249)))&amp;""</f>
        <v/>
      </c>
      <c r="BG249" s="6" t="str">
        <f t="array" ref="BG249">INDEX(BE:BE,SMALL(IF($F$1:$F$500&lt;&gt;"",ROW($1:$500),1000),ROW(BE249)))&amp;""</f>
        <v/>
      </c>
      <c r="BL249" s="6"/>
      <c r="BQ249" s="6" t="str">
        <f t="array" ref="BQ249">INDEX(BO:BO,SMALL(IF($F$1:$F$500&lt;&gt;"",ROW($1:$500),1000),ROW(BO249)))&amp;""</f>
        <v/>
      </c>
      <c r="BV249" s="6"/>
      <c r="CA249" s="6" t="str">
        <f t="array" ref="CA249">INDEX(BY:BY,SMALL(IF($F$1:$F$500&lt;&gt;"",ROW($1:$500),1000),ROW(BY249)))&amp;""</f>
        <v/>
      </c>
    </row>
    <row r="250" spans="1:79">
      <c r="A250" s="8" t="s">
        <v>3096</v>
      </c>
      <c r="B250" s="8" t="s">
        <v>1704</v>
      </c>
      <c r="C250" s="8" t="s">
        <v>494</v>
      </c>
      <c r="D250" s="9">
        <v>5</v>
      </c>
      <c r="F250" s="8" t="str">
        <f t="shared" si="18"/>
        <v/>
      </c>
      <c r="G250" s="8" t="str">
        <f>IF(AND(VLOOKUP(C250,查询!$C$8:$E$15,3,FALSE)="启用",$B$1=D250),B250,"")</f>
        <v/>
      </c>
      <c r="H250" s="6" t="str">
        <f t="array" ref="H250">INDEX(F:F,SMALL(IF($F$1:$F$500&lt;&gt;"",ROW($1:$500),1000),ROW(F250)))&amp;""</f>
        <v/>
      </c>
      <c r="I250" s="6" t="str">
        <f t="array" ref="I250">INDEX(G:G,SMALL(IF($F$1:$F$500&lt;&gt;"",ROW($1:$500),1000),ROW(G250)))&amp;""</f>
        <v/>
      </c>
      <c r="N250" s="6"/>
      <c r="S250" s="6" t="str">
        <f t="array" ref="S250">INDEX(Q:Q,SMALL(IF($F$1:$F$500&lt;&gt;"",ROW($1:$500),1000),ROW(Q250)))&amp;""</f>
        <v/>
      </c>
      <c r="X250" s="6"/>
      <c r="AC250" s="6" t="str">
        <f t="array" ref="AC250">INDEX(AA:AA,SMALL(IF($F$1:$F$500&lt;&gt;"",ROW($1:$500),1000),ROW(AA250)))&amp;""</f>
        <v/>
      </c>
      <c r="AH250" s="6"/>
      <c r="AM250" s="6" t="str">
        <f t="array" ref="AM250">INDEX(AK:AK,SMALL(IF($F$1:$F$500&lt;&gt;"",ROW($1:$500),1000),ROW(AK250)))&amp;""</f>
        <v/>
      </c>
      <c r="AW250" s="6" t="str">
        <f t="array" ref="AW250">INDEX(AU:AU,SMALL(IF($F$1:$F$500&lt;&gt;"",ROW($1:$500),1000),ROW(AU250)))&amp;""</f>
        <v/>
      </c>
      <c r="BG250" s="6" t="str">
        <f t="array" ref="BG250">INDEX(BE:BE,SMALL(IF($F$1:$F$500&lt;&gt;"",ROW($1:$500),1000),ROW(BE250)))&amp;""</f>
        <v/>
      </c>
      <c r="BL250" s="6"/>
      <c r="BQ250" s="6" t="str">
        <f t="array" ref="BQ250">INDEX(BO:BO,SMALL(IF($F$1:$F$500&lt;&gt;"",ROW($1:$500),1000),ROW(BO250)))&amp;""</f>
        <v/>
      </c>
      <c r="BV250" s="6"/>
      <c r="CA250" s="6" t="str">
        <f t="array" ref="CA250">INDEX(BY:BY,SMALL(IF($F$1:$F$500&lt;&gt;"",ROW($1:$500),1000),ROW(BY250)))&amp;""</f>
        <v/>
      </c>
    </row>
    <row r="251" spans="1:79">
      <c r="A251" s="8" t="s">
        <v>3154</v>
      </c>
      <c r="B251" s="8" t="s">
        <v>1374</v>
      </c>
      <c r="C251" s="8" t="s">
        <v>494</v>
      </c>
      <c r="D251" s="9">
        <v>6</v>
      </c>
      <c r="F251" s="8" t="str">
        <f t="shared" si="18"/>
        <v/>
      </c>
      <c r="G251" s="8" t="str">
        <f>IF(AND(VLOOKUP(C251,查询!$C$8:$E$15,3,FALSE)="启用",$B$1=D251),B251,"")</f>
        <v/>
      </c>
      <c r="H251" s="6" t="str">
        <f t="array" ref="H251">INDEX(F:F,SMALL(IF($F$1:$F$500&lt;&gt;"",ROW($1:$500),1000),ROW(F251)))&amp;""</f>
        <v/>
      </c>
      <c r="I251" s="6" t="str">
        <f t="array" ref="I251">INDEX(G:G,SMALL(IF($F$1:$F$500&lt;&gt;"",ROW($1:$500),1000),ROW(G251)))&amp;""</f>
        <v/>
      </c>
      <c r="N251" s="6"/>
      <c r="S251" s="6" t="str">
        <f t="array" ref="S251">INDEX(Q:Q,SMALL(IF($F$1:$F$500&lt;&gt;"",ROW($1:$500),1000),ROW(Q251)))&amp;""</f>
        <v/>
      </c>
      <c r="X251" s="6"/>
      <c r="AC251" s="6" t="str">
        <f t="array" ref="AC251">INDEX(AA:AA,SMALL(IF($F$1:$F$500&lt;&gt;"",ROW($1:$500),1000),ROW(AA251)))&amp;""</f>
        <v/>
      </c>
      <c r="AH251" s="6"/>
      <c r="AM251" s="6" t="str">
        <f t="array" ref="AM251">INDEX(AK:AK,SMALL(IF($F$1:$F$500&lt;&gt;"",ROW($1:$500),1000),ROW(AK251)))&amp;""</f>
        <v/>
      </c>
      <c r="AW251" s="6" t="str">
        <f t="array" ref="AW251">INDEX(AU:AU,SMALL(IF($F$1:$F$500&lt;&gt;"",ROW($1:$500),1000),ROW(AU251)))&amp;""</f>
        <v/>
      </c>
      <c r="BG251" s="6" t="str">
        <f t="array" ref="BG251">INDEX(BE:BE,SMALL(IF($F$1:$F$500&lt;&gt;"",ROW($1:$500),1000),ROW(BE251)))&amp;""</f>
        <v/>
      </c>
      <c r="BL251" s="6"/>
      <c r="BQ251" s="6" t="str">
        <f t="array" ref="BQ251">INDEX(BO:BO,SMALL(IF($F$1:$F$500&lt;&gt;"",ROW($1:$500),1000),ROW(BO251)))&amp;""</f>
        <v/>
      </c>
      <c r="BV251" s="6"/>
      <c r="CA251" s="6" t="str">
        <f t="array" ref="CA251">INDEX(BY:BY,SMALL(IF($F$1:$F$500&lt;&gt;"",ROW($1:$500),1000),ROW(BY251)))&amp;""</f>
        <v/>
      </c>
    </row>
    <row r="252" spans="1:79">
      <c r="A252" s="8" t="s">
        <v>3116</v>
      </c>
      <c r="B252" s="8" t="s">
        <v>1270</v>
      </c>
      <c r="C252" s="8" t="s">
        <v>1249</v>
      </c>
      <c r="D252" s="9">
        <v>6</v>
      </c>
      <c r="F252" s="8" t="str">
        <f t="shared" si="18"/>
        <v/>
      </c>
      <c r="G252" s="8" t="str">
        <f>IF(AND(VLOOKUP(C252,查询!$C$8:$E$15,3,FALSE)="启用",$B$1=D252),B252,"")</f>
        <v/>
      </c>
      <c r="H252" s="6" t="str">
        <f t="array" ref="H252">INDEX(F:F,SMALL(IF($F$1:$F$500&lt;&gt;"",ROW($1:$500),1000),ROW(F252)))&amp;""</f>
        <v/>
      </c>
      <c r="I252" s="6" t="str">
        <f t="array" ref="I252">INDEX(G:G,SMALL(IF($F$1:$F$500&lt;&gt;"",ROW($1:$500),1000),ROW(G252)))&amp;""</f>
        <v/>
      </c>
      <c r="N252" s="6"/>
      <c r="S252" s="6" t="str">
        <f t="array" ref="S252">INDEX(Q:Q,SMALL(IF($F$1:$F$500&lt;&gt;"",ROW($1:$500),1000),ROW(Q252)))&amp;""</f>
        <v/>
      </c>
      <c r="X252" s="6"/>
      <c r="AC252" s="6" t="str">
        <f t="array" ref="AC252">INDEX(AA:AA,SMALL(IF($F$1:$F$500&lt;&gt;"",ROW($1:$500),1000),ROW(AA252)))&amp;""</f>
        <v/>
      </c>
      <c r="AH252" s="6"/>
      <c r="AM252" s="6" t="str">
        <f t="array" ref="AM252">INDEX(AK:AK,SMALL(IF($F$1:$F$500&lt;&gt;"",ROW($1:$500),1000),ROW(AK252)))&amp;""</f>
        <v/>
      </c>
      <c r="AW252" s="6" t="str">
        <f t="array" ref="AW252">INDEX(AU:AU,SMALL(IF($F$1:$F$500&lt;&gt;"",ROW($1:$500),1000),ROW(AU252)))&amp;""</f>
        <v/>
      </c>
      <c r="BG252" s="6" t="str">
        <f t="array" ref="BG252">INDEX(BE:BE,SMALL(IF($F$1:$F$500&lt;&gt;"",ROW($1:$500),1000),ROW(BE252)))&amp;""</f>
        <v/>
      </c>
      <c r="BL252" s="6"/>
      <c r="BQ252" s="6" t="str">
        <f t="array" ref="BQ252">INDEX(BO:BO,SMALL(IF($F$1:$F$500&lt;&gt;"",ROW($1:$500),1000),ROW(BO252)))&amp;""</f>
        <v/>
      </c>
      <c r="BV252" s="6"/>
      <c r="CA252" s="6" t="str">
        <f t="array" ref="CA252">INDEX(BY:BY,SMALL(IF($F$1:$F$500&lt;&gt;"",ROW($1:$500),1000),ROW(BY252)))&amp;""</f>
        <v/>
      </c>
    </row>
    <row r="253" spans="1:79">
      <c r="A253" s="8" t="s">
        <v>3119</v>
      </c>
      <c r="B253" s="8" t="s">
        <v>1274</v>
      </c>
      <c r="C253" s="8" t="s">
        <v>1249</v>
      </c>
      <c r="D253" s="9">
        <v>6</v>
      </c>
      <c r="F253" s="8" t="str">
        <f t="shared" si="18"/>
        <v/>
      </c>
      <c r="G253" s="8" t="str">
        <f>IF(AND(VLOOKUP(C253,查询!$C$8:$E$15,3,FALSE)="启用",$B$1=D253),B253,"")</f>
        <v/>
      </c>
      <c r="H253" s="6" t="str">
        <f t="array" ref="H253">INDEX(F:F,SMALL(IF($F$1:$F$500&lt;&gt;"",ROW($1:$500),1000),ROW(F253)))&amp;""</f>
        <v/>
      </c>
      <c r="I253" s="6" t="str">
        <f t="array" ref="I253">INDEX(G:G,SMALL(IF($F$1:$F$500&lt;&gt;"",ROW($1:$500),1000),ROW(G253)))&amp;""</f>
        <v/>
      </c>
      <c r="N253" s="6"/>
      <c r="S253" s="6" t="str">
        <f t="array" ref="S253">INDEX(Q:Q,SMALL(IF($F$1:$F$500&lt;&gt;"",ROW($1:$500),1000),ROW(Q253)))&amp;""</f>
        <v/>
      </c>
      <c r="X253" s="6"/>
      <c r="AC253" s="6" t="str">
        <f t="array" ref="AC253">INDEX(AA:AA,SMALL(IF($F$1:$F$500&lt;&gt;"",ROW($1:$500),1000),ROW(AA253)))&amp;""</f>
        <v/>
      </c>
      <c r="AH253" s="6"/>
      <c r="AM253" s="6" t="str">
        <f t="array" ref="AM253">INDEX(AK:AK,SMALL(IF($F$1:$F$500&lt;&gt;"",ROW($1:$500),1000),ROW(AK253)))&amp;""</f>
        <v/>
      </c>
      <c r="AW253" s="6" t="str">
        <f t="array" ref="AW253">INDEX(AU:AU,SMALL(IF($F$1:$F$500&lt;&gt;"",ROW($1:$500),1000),ROW(AU253)))&amp;""</f>
        <v/>
      </c>
      <c r="BG253" s="6" t="str">
        <f t="array" ref="BG253">INDEX(BE:BE,SMALL(IF($F$1:$F$500&lt;&gt;"",ROW($1:$500),1000),ROW(BE253)))&amp;""</f>
        <v/>
      </c>
      <c r="BL253" s="6"/>
      <c r="BQ253" s="6" t="str">
        <f t="array" ref="BQ253">INDEX(BO:BO,SMALL(IF($F$1:$F$500&lt;&gt;"",ROW($1:$500),1000),ROW(BO253)))&amp;""</f>
        <v/>
      </c>
      <c r="BV253" s="6"/>
      <c r="CA253" s="6" t="str">
        <f t="array" ref="CA253">INDEX(BY:BY,SMALL(IF($F$1:$F$500&lt;&gt;"",ROW($1:$500),1000),ROW(BY253)))&amp;""</f>
        <v/>
      </c>
    </row>
    <row r="254" spans="1:79">
      <c r="A254" s="8" t="s">
        <v>3158</v>
      </c>
      <c r="B254" s="8" t="s">
        <v>1386</v>
      </c>
      <c r="C254" s="8" t="s">
        <v>494</v>
      </c>
      <c r="D254" s="9">
        <v>6</v>
      </c>
      <c r="F254" s="8" t="str">
        <f t="shared" si="18"/>
        <v/>
      </c>
      <c r="G254" s="8" t="str">
        <f>IF(AND(VLOOKUP(C254,查询!$C$8:$E$15,3,FALSE)="启用",$B$1=D254),B254,"")</f>
        <v/>
      </c>
      <c r="H254" s="6" t="str">
        <f t="array" ref="H254">INDEX(F:F,SMALL(IF($F$1:$F$500&lt;&gt;"",ROW($1:$500),1000),ROW(F254)))&amp;""</f>
        <v/>
      </c>
      <c r="I254" s="6" t="str">
        <f t="array" ref="I254">INDEX(G:G,SMALL(IF($F$1:$F$500&lt;&gt;"",ROW($1:$500),1000),ROW(G254)))&amp;""</f>
        <v/>
      </c>
      <c r="N254" s="6"/>
      <c r="S254" s="6" t="str">
        <f t="array" ref="S254">INDEX(Q:Q,SMALL(IF($F$1:$F$500&lt;&gt;"",ROW($1:$500),1000),ROW(Q254)))&amp;""</f>
        <v/>
      </c>
      <c r="X254" s="6"/>
      <c r="AC254" s="6" t="str">
        <f t="array" ref="AC254">INDEX(AA:AA,SMALL(IF($F$1:$F$500&lt;&gt;"",ROW($1:$500),1000),ROW(AA254)))&amp;""</f>
        <v/>
      </c>
      <c r="AH254" s="6"/>
      <c r="AM254" s="6" t="str">
        <f t="array" ref="AM254">INDEX(AK:AK,SMALL(IF($F$1:$F$500&lt;&gt;"",ROW($1:$500),1000),ROW(AK254)))&amp;""</f>
        <v/>
      </c>
      <c r="AW254" s="6" t="str">
        <f t="array" ref="AW254">INDEX(AU:AU,SMALL(IF($F$1:$F$500&lt;&gt;"",ROW($1:$500),1000),ROW(AU254)))&amp;""</f>
        <v/>
      </c>
      <c r="BG254" s="6" t="str">
        <f t="array" ref="BG254">INDEX(BE:BE,SMALL(IF($F$1:$F$500&lt;&gt;"",ROW($1:$500),1000),ROW(BE254)))&amp;""</f>
        <v/>
      </c>
      <c r="BL254" s="6"/>
      <c r="BQ254" s="6" t="str">
        <f t="array" ref="BQ254">INDEX(BO:BO,SMALL(IF($F$1:$F$500&lt;&gt;"",ROW($1:$500),1000),ROW(BO254)))&amp;""</f>
        <v/>
      </c>
      <c r="BV254" s="6"/>
      <c r="CA254" s="6" t="str">
        <f t="array" ref="CA254">INDEX(BY:BY,SMALL(IF($F$1:$F$500&lt;&gt;"",ROW($1:$500),1000),ROW(BY254)))&amp;""</f>
        <v/>
      </c>
    </row>
    <row r="255" spans="1:79">
      <c r="A255" s="8" t="s">
        <v>3160</v>
      </c>
      <c r="B255" s="8" t="s">
        <v>1388</v>
      </c>
      <c r="C255" s="8" t="s">
        <v>494</v>
      </c>
      <c r="D255" s="9">
        <v>6</v>
      </c>
      <c r="F255" s="8" t="str">
        <f t="shared" si="18"/>
        <v/>
      </c>
      <c r="G255" s="8" t="str">
        <f>IF(AND(VLOOKUP(C255,查询!$C$8:$E$15,3,FALSE)="启用",$B$1=D255),B255,"")</f>
        <v/>
      </c>
      <c r="H255" s="6" t="str">
        <f t="array" ref="H255">INDEX(F:F,SMALL(IF($F$1:$F$500&lt;&gt;"",ROW($1:$500),1000),ROW(F255)))&amp;""</f>
        <v/>
      </c>
      <c r="I255" s="6" t="str">
        <f t="array" ref="I255">INDEX(G:G,SMALL(IF($F$1:$F$500&lt;&gt;"",ROW($1:$500),1000),ROW(G255)))&amp;""</f>
        <v/>
      </c>
      <c r="N255" s="6"/>
      <c r="S255" s="6" t="str">
        <f t="array" ref="S255">INDEX(Q:Q,SMALL(IF($F$1:$F$500&lt;&gt;"",ROW($1:$500),1000),ROW(Q255)))&amp;""</f>
        <v/>
      </c>
      <c r="X255" s="6"/>
      <c r="AC255" s="6" t="str">
        <f t="array" ref="AC255">INDEX(AA:AA,SMALL(IF($F$1:$F$500&lt;&gt;"",ROW($1:$500),1000),ROW(AA255)))&amp;""</f>
        <v/>
      </c>
      <c r="AH255" s="6"/>
      <c r="AM255" s="6" t="str">
        <f t="array" ref="AM255">INDEX(AK:AK,SMALL(IF($F$1:$F$500&lt;&gt;"",ROW($1:$500),1000),ROW(AK255)))&amp;""</f>
        <v/>
      </c>
      <c r="AW255" s="6" t="str">
        <f t="array" ref="AW255">INDEX(AU:AU,SMALL(IF($F$1:$F$500&lt;&gt;"",ROW($1:$500),1000),ROW(AU255)))&amp;""</f>
        <v/>
      </c>
      <c r="BG255" s="6" t="str">
        <f t="array" ref="BG255">INDEX(BE:BE,SMALL(IF($F$1:$F$500&lt;&gt;"",ROW($1:$500),1000),ROW(BE255)))&amp;""</f>
        <v/>
      </c>
      <c r="BL255" s="6"/>
      <c r="BQ255" s="6" t="str">
        <f t="array" ref="BQ255">INDEX(BO:BO,SMALL(IF($F$1:$F$500&lt;&gt;"",ROW($1:$500),1000),ROW(BO255)))&amp;""</f>
        <v/>
      </c>
      <c r="BV255" s="6"/>
      <c r="CA255" s="6" t="str">
        <f t="array" ref="CA255">INDEX(BY:BY,SMALL(IF($F$1:$F$500&lt;&gt;"",ROW($1:$500),1000),ROW(BY255)))&amp;""</f>
        <v/>
      </c>
    </row>
    <row r="256" spans="1:79">
      <c r="A256" s="8" t="s">
        <v>3164</v>
      </c>
      <c r="B256" s="8" t="s">
        <v>1404</v>
      </c>
      <c r="C256" s="8" t="s">
        <v>494</v>
      </c>
      <c r="D256" s="9">
        <v>6</v>
      </c>
      <c r="F256" s="8" t="str">
        <f t="shared" si="18"/>
        <v/>
      </c>
      <c r="G256" s="8" t="str">
        <f>IF(AND(VLOOKUP(C256,查询!$C$8:$E$15,3,FALSE)="启用",$B$1=D256),B256,"")</f>
        <v/>
      </c>
      <c r="H256" s="6" t="str">
        <f t="array" ref="H256">INDEX(F:F,SMALL(IF($F$1:$F$500&lt;&gt;"",ROW($1:$500),1000),ROW(F256)))&amp;""</f>
        <v/>
      </c>
      <c r="I256" s="6" t="str">
        <f t="array" ref="I256">INDEX(G:G,SMALL(IF($F$1:$F$500&lt;&gt;"",ROW($1:$500),1000),ROW(G256)))&amp;""</f>
        <v/>
      </c>
      <c r="N256" s="6"/>
      <c r="S256" s="6" t="str">
        <f t="array" ref="S256">INDEX(Q:Q,SMALL(IF($F$1:$F$500&lt;&gt;"",ROW($1:$500),1000),ROW(Q256)))&amp;""</f>
        <v/>
      </c>
      <c r="X256" s="6"/>
      <c r="AC256" s="6" t="str">
        <f t="array" ref="AC256">INDEX(AA:AA,SMALL(IF($F$1:$F$500&lt;&gt;"",ROW($1:$500),1000),ROW(AA256)))&amp;""</f>
        <v/>
      </c>
      <c r="AH256" s="6"/>
      <c r="AM256" s="6" t="str">
        <f t="array" ref="AM256">INDEX(AK:AK,SMALL(IF($F$1:$F$500&lt;&gt;"",ROW($1:$500),1000),ROW(AK256)))&amp;""</f>
        <v/>
      </c>
      <c r="AW256" s="6" t="str">
        <f t="array" ref="AW256">INDEX(AU:AU,SMALL(IF($F$1:$F$500&lt;&gt;"",ROW($1:$500),1000),ROW(AU256)))&amp;""</f>
        <v/>
      </c>
      <c r="BG256" s="6" t="str">
        <f t="array" ref="BG256">INDEX(BE:BE,SMALL(IF($F$1:$F$500&lt;&gt;"",ROW($1:$500),1000),ROW(BE256)))&amp;""</f>
        <v/>
      </c>
      <c r="BL256" s="6"/>
      <c r="BQ256" s="6" t="str">
        <f t="array" ref="BQ256">INDEX(BO:BO,SMALL(IF($F$1:$F$500&lt;&gt;"",ROW($1:$500),1000),ROW(BO256)))&amp;""</f>
        <v/>
      </c>
      <c r="BV256" s="6"/>
      <c r="CA256" s="6" t="str">
        <f t="array" ref="CA256">INDEX(BY:BY,SMALL(IF($F$1:$F$500&lt;&gt;"",ROW($1:$500),1000),ROW(BY256)))&amp;""</f>
        <v/>
      </c>
    </row>
    <row r="257" spans="1:79">
      <c r="A257" s="8" t="s">
        <v>3169</v>
      </c>
      <c r="B257" s="8" t="s">
        <v>1410</v>
      </c>
      <c r="C257" s="8" t="s">
        <v>494</v>
      </c>
      <c r="D257" s="9">
        <v>6</v>
      </c>
      <c r="F257" s="8" t="str">
        <f t="shared" si="18"/>
        <v/>
      </c>
      <c r="G257" s="8" t="str">
        <f>IF(AND(VLOOKUP(C257,查询!$C$8:$E$15,3,FALSE)="启用",$B$1=D257),B257,"")</f>
        <v/>
      </c>
      <c r="H257" s="6" t="str">
        <f t="array" ref="H257">INDEX(F:F,SMALL(IF($F$1:$F$500&lt;&gt;"",ROW($1:$500),1000),ROW(F257)))&amp;""</f>
        <v/>
      </c>
      <c r="I257" s="6" t="str">
        <f t="array" ref="I257">INDEX(G:G,SMALL(IF($F$1:$F$500&lt;&gt;"",ROW($1:$500),1000),ROW(G257)))&amp;""</f>
        <v/>
      </c>
      <c r="N257" s="6"/>
      <c r="S257" s="6" t="str">
        <f t="array" ref="S257">INDEX(Q:Q,SMALL(IF($F$1:$F$500&lt;&gt;"",ROW($1:$500),1000),ROW(Q257)))&amp;""</f>
        <v/>
      </c>
      <c r="X257" s="6"/>
      <c r="AC257" s="6" t="str">
        <f t="array" ref="AC257">INDEX(AA:AA,SMALL(IF($F$1:$F$500&lt;&gt;"",ROW($1:$500),1000),ROW(AA257)))&amp;""</f>
        <v/>
      </c>
      <c r="AH257" s="6"/>
      <c r="AM257" s="6" t="str">
        <f t="array" ref="AM257">INDEX(AK:AK,SMALL(IF($F$1:$F$500&lt;&gt;"",ROW($1:$500),1000),ROW(AK257)))&amp;""</f>
        <v/>
      </c>
      <c r="AW257" s="6" t="str">
        <f t="array" ref="AW257">INDEX(AU:AU,SMALL(IF($F$1:$F$500&lt;&gt;"",ROW($1:$500),1000),ROW(AU257)))&amp;""</f>
        <v/>
      </c>
      <c r="BG257" s="6" t="str">
        <f t="array" ref="BG257">INDEX(BE:BE,SMALL(IF($F$1:$F$500&lt;&gt;"",ROW($1:$500),1000),ROW(BE257)))&amp;""</f>
        <v/>
      </c>
      <c r="BL257" s="6"/>
      <c r="BQ257" s="6" t="str">
        <f t="array" ref="BQ257">INDEX(BO:BO,SMALL(IF($F$1:$F$500&lt;&gt;"",ROW($1:$500),1000),ROW(BO257)))&amp;""</f>
        <v/>
      </c>
      <c r="BV257" s="6"/>
      <c r="CA257" s="6" t="str">
        <f t="array" ref="CA257">INDEX(BY:BY,SMALL(IF($F$1:$F$500&lt;&gt;"",ROW($1:$500),1000),ROW(BY257)))&amp;""</f>
        <v/>
      </c>
    </row>
    <row r="258" spans="1:79">
      <c r="A258" s="8" t="s">
        <v>3173</v>
      </c>
      <c r="B258" s="8" t="s">
        <v>1415</v>
      </c>
      <c r="C258" s="8" t="s">
        <v>494</v>
      </c>
      <c r="D258" s="9">
        <v>6</v>
      </c>
      <c r="F258" s="8" t="str">
        <f t="shared" ref="F258:F321" si="20">IF(G258="","",A258)</f>
        <v/>
      </c>
      <c r="G258" s="8" t="str">
        <f>IF(AND(VLOOKUP(C258,查询!$C$8:$E$15,3,FALSE)="启用",$B$1=D258),B258,"")</f>
        <v/>
      </c>
      <c r="H258" s="6" t="str">
        <f t="array" ref="H258">INDEX(F:F,SMALL(IF($F$1:$F$500&lt;&gt;"",ROW($1:$500),1000),ROW(F258)))&amp;""</f>
        <v/>
      </c>
      <c r="I258" s="6" t="str">
        <f t="array" ref="I258">INDEX(G:G,SMALL(IF($F$1:$F$500&lt;&gt;"",ROW($1:$500),1000),ROW(G258)))&amp;""</f>
        <v/>
      </c>
      <c r="N258" s="6"/>
      <c r="S258" s="6" t="str">
        <f t="array" ref="S258">INDEX(Q:Q,SMALL(IF($F$1:$F$500&lt;&gt;"",ROW($1:$500),1000),ROW(Q258)))&amp;""</f>
        <v/>
      </c>
      <c r="X258" s="6"/>
      <c r="AC258" s="6" t="str">
        <f t="array" ref="AC258">INDEX(AA:AA,SMALL(IF($F$1:$F$500&lt;&gt;"",ROW($1:$500),1000),ROW(AA258)))&amp;""</f>
        <v/>
      </c>
      <c r="AH258" s="6"/>
      <c r="AM258" s="6" t="str">
        <f t="array" ref="AM258">INDEX(AK:AK,SMALL(IF($F$1:$F$500&lt;&gt;"",ROW($1:$500),1000),ROW(AK258)))&amp;""</f>
        <v/>
      </c>
      <c r="AW258" s="6" t="str">
        <f t="array" ref="AW258">INDEX(AU:AU,SMALL(IF($F$1:$F$500&lt;&gt;"",ROW($1:$500),1000),ROW(AU258)))&amp;""</f>
        <v/>
      </c>
      <c r="BG258" s="6" t="str">
        <f t="array" ref="BG258">INDEX(BE:BE,SMALL(IF($F$1:$F$500&lt;&gt;"",ROW($1:$500),1000),ROW(BE258)))&amp;""</f>
        <v/>
      </c>
      <c r="BL258" s="6"/>
      <c r="BQ258" s="6" t="str">
        <f t="array" ref="BQ258">INDEX(BO:BO,SMALL(IF($F$1:$F$500&lt;&gt;"",ROW($1:$500),1000),ROW(BO258)))&amp;""</f>
        <v/>
      </c>
      <c r="BV258" s="6"/>
      <c r="CA258" s="6" t="str">
        <f t="array" ref="CA258">INDEX(BY:BY,SMALL(IF($F$1:$F$500&lt;&gt;"",ROW($1:$500),1000),ROW(BY258)))&amp;""</f>
        <v/>
      </c>
    </row>
    <row r="259" spans="1:79">
      <c r="A259" s="8" t="s">
        <v>3177</v>
      </c>
      <c r="B259" s="8" t="s">
        <v>1447</v>
      </c>
      <c r="C259" s="8" t="s">
        <v>494</v>
      </c>
      <c r="D259" s="9">
        <v>6</v>
      </c>
      <c r="F259" s="8" t="str">
        <f t="shared" si="20"/>
        <v/>
      </c>
      <c r="G259" s="8" t="str">
        <f>IF(AND(VLOOKUP(C259,查询!$C$8:$E$15,3,FALSE)="启用",$B$1=D259),B259,"")</f>
        <v/>
      </c>
      <c r="H259" s="6" t="str">
        <f t="array" ref="H259">INDEX(F:F,SMALL(IF($F$1:$F$500&lt;&gt;"",ROW($1:$500),1000),ROW(F259)))&amp;""</f>
        <v/>
      </c>
      <c r="I259" s="6" t="str">
        <f t="array" ref="I259">INDEX(G:G,SMALL(IF($F$1:$F$500&lt;&gt;"",ROW($1:$500),1000),ROW(G259)))&amp;""</f>
        <v/>
      </c>
      <c r="N259" s="6"/>
      <c r="S259" s="6" t="str">
        <f t="array" ref="S259">INDEX(Q:Q,SMALL(IF($F$1:$F$500&lt;&gt;"",ROW($1:$500),1000),ROW(Q259)))&amp;""</f>
        <v/>
      </c>
      <c r="X259" s="6"/>
      <c r="AC259" s="6" t="str">
        <f t="array" ref="AC259">INDEX(AA:AA,SMALL(IF($F$1:$F$500&lt;&gt;"",ROW($1:$500),1000),ROW(AA259)))&amp;""</f>
        <v/>
      </c>
      <c r="AH259" s="6"/>
      <c r="AM259" s="6" t="str">
        <f t="array" ref="AM259">INDEX(AK:AK,SMALL(IF($F$1:$F$500&lt;&gt;"",ROW($1:$500),1000),ROW(AK259)))&amp;""</f>
        <v/>
      </c>
      <c r="AW259" s="6" t="str">
        <f t="array" ref="AW259">INDEX(AU:AU,SMALL(IF($F$1:$F$500&lt;&gt;"",ROW($1:$500),1000),ROW(AU259)))&amp;""</f>
        <v/>
      </c>
      <c r="BG259" s="6" t="str">
        <f t="array" ref="BG259">INDEX(BE:BE,SMALL(IF($F$1:$F$500&lt;&gt;"",ROW($1:$500),1000),ROW(BE259)))&amp;""</f>
        <v/>
      </c>
      <c r="BL259" s="6"/>
      <c r="BQ259" s="6" t="str">
        <f t="array" ref="BQ259">INDEX(BO:BO,SMALL(IF($F$1:$F$500&lt;&gt;"",ROW($1:$500),1000),ROW(BO259)))&amp;""</f>
        <v/>
      </c>
      <c r="BV259" s="6"/>
      <c r="CA259" s="6" t="str">
        <f t="array" ref="CA259">INDEX(BY:BY,SMALL(IF($F$1:$F$500&lt;&gt;"",ROW($1:$500),1000),ROW(BY259)))&amp;""</f>
        <v/>
      </c>
    </row>
    <row r="260" spans="1:79">
      <c r="A260" s="8" t="s">
        <v>3179</v>
      </c>
      <c r="B260" s="8" t="s">
        <v>1455</v>
      </c>
      <c r="C260" s="8" t="s">
        <v>494</v>
      </c>
      <c r="D260" s="9">
        <v>6</v>
      </c>
      <c r="F260" s="8" t="str">
        <f t="shared" si="20"/>
        <v/>
      </c>
      <c r="G260" s="8" t="str">
        <f>IF(AND(VLOOKUP(C260,查询!$C$8:$E$15,3,FALSE)="启用",$B$1=D260),B260,"")</f>
        <v/>
      </c>
      <c r="H260" s="6" t="str">
        <f t="array" ref="H260">INDEX(F:F,SMALL(IF($F$1:$F$500&lt;&gt;"",ROW($1:$500),1000),ROW(F260)))&amp;""</f>
        <v/>
      </c>
      <c r="I260" s="6" t="str">
        <f t="array" ref="I260">INDEX(G:G,SMALL(IF($F$1:$F$500&lt;&gt;"",ROW($1:$500),1000),ROW(G260)))&amp;""</f>
        <v/>
      </c>
      <c r="N260" s="6"/>
      <c r="S260" s="6" t="str">
        <f t="array" ref="S260">INDEX(Q:Q,SMALL(IF($F$1:$F$500&lt;&gt;"",ROW($1:$500),1000),ROW(Q260)))&amp;""</f>
        <v/>
      </c>
      <c r="X260" s="6"/>
      <c r="AC260" s="6" t="str">
        <f t="array" ref="AC260">INDEX(AA:AA,SMALL(IF($F$1:$F$500&lt;&gt;"",ROW($1:$500),1000),ROW(AA260)))&amp;""</f>
        <v/>
      </c>
      <c r="AH260" s="6"/>
      <c r="AM260" s="6" t="str">
        <f t="array" ref="AM260">INDEX(AK:AK,SMALL(IF($F$1:$F$500&lt;&gt;"",ROW($1:$500),1000),ROW(AK260)))&amp;""</f>
        <v/>
      </c>
      <c r="AW260" s="6" t="str">
        <f t="array" ref="AW260">INDEX(AU:AU,SMALL(IF($F$1:$F$500&lt;&gt;"",ROW($1:$500),1000),ROW(AU260)))&amp;""</f>
        <v/>
      </c>
      <c r="BG260" s="6" t="str">
        <f t="array" ref="BG260">INDEX(BE:BE,SMALL(IF($F$1:$F$500&lt;&gt;"",ROW($1:$500),1000),ROW(BE260)))&amp;""</f>
        <v/>
      </c>
      <c r="BL260" s="6"/>
      <c r="BQ260" s="6" t="str">
        <f t="array" ref="BQ260">INDEX(BO:BO,SMALL(IF($F$1:$F$500&lt;&gt;"",ROW($1:$500),1000),ROW(BO260)))&amp;""</f>
        <v/>
      </c>
      <c r="BV260" s="6"/>
      <c r="CA260" s="6" t="str">
        <f t="array" ref="CA260">INDEX(BY:BY,SMALL(IF($F$1:$F$500&lt;&gt;"",ROW($1:$500),1000),ROW(BY260)))&amp;""</f>
        <v/>
      </c>
    </row>
    <row r="261" spans="1:79">
      <c r="A261" s="8" t="s">
        <v>3184</v>
      </c>
      <c r="B261" s="8" t="s">
        <v>1483</v>
      </c>
      <c r="C261" s="8" t="s">
        <v>494</v>
      </c>
      <c r="D261" s="9">
        <v>6</v>
      </c>
      <c r="F261" s="8" t="str">
        <f t="shared" si="20"/>
        <v/>
      </c>
      <c r="G261" s="8" t="str">
        <f>IF(AND(VLOOKUP(C261,查询!$C$8:$E$15,3,FALSE)="启用",$B$1=D261),B261,"")</f>
        <v/>
      </c>
      <c r="H261" s="6" t="str">
        <f t="array" ref="H261">INDEX(F:F,SMALL(IF($F$1:$F$500&lt;&gt;"",ROW($1:$500),1000),ROW(F261)))&amp;""</f>
        <v/>
      </c>
      <c r="I261" s="6" t="str">
        <f t="array" ref="I261">INDEX(G:G,SMALL(IF($F$1:$F$500&lt;&gt;"",ROW($1:$500),1000),ROW(G261)))&amp;""</f>
        <v/>
      </c>
      <c r="N261" s="6"/>
      <c r="S261" s="6" t="str">
        <f t="array" ref="S261">INDEX(Q:Q,SMALL(IF($F$1:$F$500&lt;&gt;"",ROW($1:$500),1000),ROW(Q261)))&amp;""</f>
        <v/>
      </c>
      <c r="X261" s="6"/>
      <c r="AC261" s="6" t="str">
        <f t="array" ref="AC261">INDEX(AA:AA,SMALL(IF($F$1:$F$500&lt;&gt;"",ROW($1:$500),1000),ROW(AA261)))&amp;""</f>
        <v/>
      </c>
      <c r="AH261" s="6"/>
      <c r="AM261" s="6" t="str">
        <f t="array" ref="AM261">INDEX(AK:AK,SMALL(IF($F$1:$F$500&lt;&gt;"",ROW($1:$500),1000),ROW(AK261)))&amp;""</f>
        <v/>
      </c>
      <c r="AW261" s="6" t="str">
        <f t="array" ref="AW261">INDEX(AU:AU,SMALL(IF($F$1:$F$500&lt;&gt;"",ROW($1:$500),1000),ROW(AU261)))&amp;""</f>
        <v/>
      </c>
      <c r="BG261" s="6" t="str">
        <f t="array" ref="BG261">INDEX(BE:BE,SMALL(IF($F$1:$F$500&lt;&gt;"",ROW($1:$500),1000),ROW(BE261)))&amp;""</f>
        <v/>
      </c>
      <c r="BL261" s="6"/>
      <c r="BQ261" s="6" t="str">
        <f t="array" ref="BQ261">INDEX(BO:BO,SMALL(IF($F$1:$F$500&lt;&gt;"",ROW($1:$500),1000),ROW(BO261)))&amp;""</f>
        <v/>
      </c>
      <c r="BV261" s="6"/>
      <c r="CA261" s="6" t="str">
        <f t="array" ref="CA261">INDEX(BY:BY,SMALL(IF($F$1:$F$500&lt;&gt;"",ROW($1:$500),1000),ROW(BY261)))&amp;""</f>
        <v/>
      </c>
    </row>
    <row r="262" spans="1:79">
      <c r="A262" s="8" t="s">
        <v>3194</v>
      </c>
      <c r="B262" s="8" t="s">
        <v>1517</v>
      </c>
      <c r="C262" s="8" t="s">
        <v>494</v>
      </c>
      <c r="D262" s="9">
        <v>6</v>
      </c>
      <c r="F262" s="8" t="str">
        <f t="shared" si="20"/>
        <v/>
      </c>
      <c r="G262" s="8" t="str">
        <f>IF(AND(VLOOKUP(C262,查询!$C$8:$E$15,3,FALSE)="启用",$B$1=D262),B262,"")</f>
        <v/>
      </c>
      <c r="H262" s="6" t="str">
        <f t="array" ref="H262">INDEX(F:F,SMALL(IF($F$1:$F$500&lt;&gt;"",ROW($1:$500),1000),ROW(F262)))&amp;""</f>
        <v/>
      </c>
      <c r="I262" s="6" t="str">
        <f t="array" ref="I262">INDEX(G:G,SMALL(IF($F$1:$F$500&lt;&gt;"",ROW($1:$500),1000),ROW(G262)))&amp;""</f>
        <v/>
      </c>
      <c r="N262" s="6"/>
      <c r="S262" s="6" t="str">
        <f t="array" ref="S262">INDEX(Q:Q,SMALL(IF($F$1:$F$500&lt;&gt;"",ROW($1:$500),1000),ROW(Q262)))&amp;""</f>
        <v/>
      </c>
      <c r="X262" s="6"/>
      <c r="AC262" s="6" t="str">
        <f t="array" ref="AC262">INDEX(AA:AA,SMALL(IF($F$1:$F$500&lt;&gt;"",ROW($1:$500),1000),ROW(AA262)))&amp;""</f>
        <v/>
      </c>
      <c r="AH262" s="6"/>
      <c r="AM262" s="6" t="str">
        <f t="array" ref="AM262">INDEX(AK:AK,SMALL(IF($F$1:$F$500&lt;&gt;"",ROW($1:$500),1000),ROW(AK262)))&amp;""</f>
        <v/>
      </c>
      <c r="AW262" s="6" t="str">
        <f t="array" ref="AW262">INDEX(AU:AU,SMALL(IF($F$1:$F$500&lt;&gt;"",ROW($1:$500),1000),ROW(AU262)))&amp;""</f>
        <v/>
      </c>
      <c r="BG262" s="6" t="str">
        <f t="array" ref="BG262">INDEX(BE:BE,SMALL(IF($F$1:$F$500&lt;&gt;"",ROW($1:$500),1000),ROW(BE262)))&amp;""</f>
        <v/>
      </c>
      <c r="BL262" s="6"/>
      <c r="BQ262" s="6" t="str">
        <f t="array" ref="BQ262">INDEX(BO:BO,SMALL(IF($F$1:$F$500&lt;&gt;"",ROW($1:$500),1000),ROW(BO262)))&amp;""</f>
        <v/>
      </c>
      <c r="BV262" s="6"/>
      <c r="CA262" s="6" t="str">
        <f t="array" ref="CA262">INDEX(BY:BY,SMALL(IF($F$1:$F$500&lt;&gt;"",ROW($1:$500),1000),ROW(BY262)))&amp;""</f>
        <v/>
      </c>
    </row>
    <row r="263" spans="1:79">
      <c r="A263" s="8" t="s">
        <v>3198</v>
      </c>
      <c r="B263" s="8" t="s">
        <v>1526</v>
      </c>
      <c r="C263" s="8" t="s">
        <v>494</v>
      </c>
      <c r="D263" s="9">
        <v>6</v>
      </c>
      <c r="F263" s="8" t="str">
        <f t="shared" si="20"/>
        <v/>
      </c>
      <c r="G263" s="8" t="str">
        <f>IF(AND(VLOOKUP(C263,查询!$C$8:$E$15,3,FALSE)="启用",$B$1=D263),B263,"")</f>
        <v/>
      </c>
      <c r="H263" s="6" t="str">
        <f t="array" ref="H263">INDEX(F:F,SMALL(IF($F$1:$F$500&lt;&gt;"",ROW($1:$500),1000),ROW(F263)))&amp;""</f>
        <v/>
      </c>
      <c r="I263" s="6" t="str">
        <f t="array" ref="I263">INDEX(G:G,SMALL(IF($F$1:$F$500&lt;&gt;"",ROW($1:$500),1000),ROW(G263)))&amp;""</f>
        <v/>
      </c>
      <c r="N263" s="6"/>
      <c r="S263" s="6" t="str">
        <f t="array" ref="S263">INDEX(Q:Q,SMALL(IF($F$1:$F$500&lt;&gt;"",ROW($1:$500),1000),ROW(Q263)))&amp;""</f>
        <v/>
      </c>
      <c r="X263" s="6"/>
      <c r="AC263" s="6" t="str">
        <f t="array" ref="AC263">INDEX(AA:AA,SMALL(IF($F$1:$F$500&lt;&gt;"",ROW($1:$500),1000),ROW(AA263)))&amp;""</f>
        <v/>
      </c>
      <c r="AH263" s="6"/>
      <c r="AM263" s="6" t="str">
        <f t="array" ref="AM263">INDEX(AK:AK,SMALL(IF($F$1:$F$500&lt;&gt;"",ROW($1:$500),1000),ROW(AK263)))&amp;""</f>
        <v/>
      </c>
      <c r="AW263" s="6" t="str">
        <f t="array" ref="AW263">INDEX(AU:AU,SMALL(IF($F$1:$F$500&lt;&gt;"",ROW($1:$500),1000),ROW(AU263)))&amp;""</f>
        <v/>
      </c>
      <c r="BG263" s="6" t="str">
        <f t="array" ref="BG263">INDEX(BE:BE,SMALL(IF($F$1:$F$500&lt;&gt;"",ROW($1:$500),1000),ROW(BE263)))&amp;""</f>
        <v/>
      </c>
      <c r="BL263" s="6"/>
      <c r="BQ263" s="6" t="str">
        <f t="array" ref="BQ263">INDEX(BO:BO,SMALL(IF($F$1:$F$500&lt;&gt;"",ROW($1:$500),1000),ROW(BO263)))&amp;""</f>
        <v/>
      </c>
      <c r="BV263" s="6"/>
      <c r="CA263" s="6" t="str">
        <f t="array" ref="CA263">INDEX(BY:BY,SMALL(IF($F$1:$F$500&lt;&gt;"",ROW($1:$500),1000),ROW(BY263)))&amp;""</f>
        <v/>
      </c>
    </row>
    <row r="264" spans="1:79">
      <c r="A264" s="8" t="s">
        <v>3200</v>
      </c>
      <c r="B264" s="8" t="s">
        <v>1527</v>
      </c>
      <c r="C264" s="8" t="s">
        <v>494</v>
      </c>
      <c r="D264" s="9">
        <v>6</v>
      </c>
      <c r="F264" s="8" t="str">
        <f t="shared" si="20"/>
        <v/>
      </c>
      <c r="G264" s="8" t="str">
        <f>IF(AND(VLOOKUP(C264,查询!$C$8:$E$15,3,FALSE)="启用",$B$1=D264),B264,"")</f>
        <v/>
      </c>
      <c r="H264" s="6" t="str">
        <f t="array" ref="H264">INDEX(F:F,SMALL(IF($F$1:$F$500&lt;&gt;"",ROW($1:$500),1000),ROW(F264)))&amp;""</f>
        <v/>
      </c>
      <c r="I264" s="6" t="str">
        <f t="array" ref="I264">INDEX(G:G,SMALL(IF($F$1:$F$500&lt;&gt;"",ROW($1:$500),1000),ROW(G264)))&amp;""</f>
        <v/>
      </c>
      <c r="N264" s="6"/>
      <c r="S264" s="6" t="str">
        <f t="array" ref="S264">INDEX(Q:Q,SMALL(IF($F$1:$F$500&lt;&gt;"",ROW($1:$500),1000),ROW(Q264)))&amp;""</f>
        <v/>
      </c>
      <c r="X264" s="6"/>
      <c r="AC264" s="6" t="str">
        <f t="array" ref="AC264">INDEX(AA:AA,SMALL(IF($F$1:$F$500&lt;&gt;"",ROW($1:$500),1000),ROW(AA264)))&amp;""</f>
        <v/>
      </c>
      <c r="AH264" s="6"/>
      <c r="AM264" s="6" t="str">
        <f t="array" ref="AM264">INDEX(AK:AK,SMALL(IF($F$1:$F$500&lt;&gt;"",ROW($1:$500),1000),ROW(AK264)))&amp;""</f>
        <v/>
      </c>
      <c r="AW264" s="6" t="str">
        <f t="array" ref="AW264">INDEX(AU:AU,SMALL(IF($F$1:$F$500&lt;&gt;"",ROW($1:$500),1000),ROW(AU264)))&amp;""</f>
        <v/>
      </c>
      <c r="BG264" s="6" t="str">
        <f t="array" ref="BG264">INDEX(BE:BE,SMALL(IF($F$1:$F$500&lt;&gt;"",ROW($1:$500),1000),ROW(BE264)))&amp;""</f>
        <v/>
      </c>
      <c r="BL264" s="6"/>
      <c r="BQ264" s="6" t="str">
        <f t="array" ref="BQ264">INDEX(BO:BO,SMALL(IF($F$1:$F$500&lt;&gt;"",ROW($1:$500),1000),ROW(BO264)))&amp;""</f>
        <v/>
      </c>
      <c r="BV264" s="6"/>
      <c r="CA264" s="6" t="str">
        <f t="array" ref="CA264">INDEX(BY:BY,SMALL(IF($F$1:$F$500&lt;&gt;"",ROW($1:$500),1000),ROW(BY264)))&amp;""</f>
        <v/>
      </c>
    </row>
    <row r="265" spans="1:79">
      <c r="A265" s="8" t="s">
        <v>3205</v>
      </c>
      <c r="B265" s="8" t="s">
        <v>1571</v>
      </c>
      <c r="C265" s="8" t="s">
        <v>494</v>
      </c>
      <c r="D265" s="9">
        <v>6</v>
      </c>
      <c r="F265" s="8" t="str">
        <f t="shared" si="20"/>
        <v/>
      </c>
      <c r="G265" s="8" t="str">
        <f>IF(AND(VLOOKUP(C265,查询!$C$8:$E$15,3,FALSE)="启用",$B$1=D265),B265,"")</f>
        <v/>
      </c>
      <c r="H265" s="6" t="str">
        <f t="array" ref="H265">INDEX(F:F,SMALL(IF($F$1:$F$500&lt;&gt;"",ROW($1:$500),1000),ROW(F265)))&amp;""</f>
        <v/>
      </c>
      <c r="I265" s="6" t="str">
        <f t="array" ref="I265">INDEX(G:G,SMALL(IF($F$1:$F$500&lt;&gt;"",ROW($1:$500),1000),ROW(G265)))&amp;""</f>
        <v/>
      </c>
      <c r="N265" s="6"/>
      <c r="S265" s="6" t="str">
        <f t="array" ref="S265">INDEX(Q:Q,SMALL(IF($F$1:$F$500&lt;&gt;"",ROW($1:$500),1000),ROW(Q265)))&amp;""</f>
        <v/>
      </c>
      <c r="X265" s="6"/>
      <c r="AC265" s="6" t="str">
        <f t="array" ref="AC265">INDEX(AA:AA,SMALL(IF($F$1:$F$500&lt;&gt;"",ROW($1:$500),1000),ROW(AA265)))&amp;""</f>
        <v/>
      </c>
      <c r="AH265" s="6"/>
      <c r="AM265" s="6" t="str">
        <f t="array" ref="AM265">INDEX(AK:AK,SMALL(IF($F$1:$F$500&lt;&gt;"",ROW($1:$500),1000),ROW(AK265)))&amp;""</f>
        <v/>
      </c>
      <c r="AW265" s="6" t="str">
        <f t="array" ref="AW265">INDEX(AU:AU,SMALL(IF($F$1:$F$500&lt;&gt;"",ROW($1:$500),1000),ROW(AU265)))&amp;""</f>
        <v/>
      </c>
      <c r="BG265" s="6" t="str">
        <f t="array" ref="BG265">INDEX(BE:BE,SMALL(IF($F$1:$F$500&lt;&gt;"",ROW($1:$500),1000),ROW(BE265)))&amp;""</f>
        <v/>
      </c>
      <c r="BL265" s="6"/>
      <c r="BQ265" s="6" t="str">
        <f t="array" ref="BQ265">INDEX(BO:BO,SMALL(IF($F$1:$F$500&lt;&gt;"",ROW($1:$500),1000),ROW(BO265)))&amp;""</f>
        <v/>
      </c>
      <c r="BV265" s="6"/>
      <c r="CA265" s="6" t="str">
        <f t="array" ref="CA265">INDEX(BY:BY,SMALL(IF($F$1:$F$500&lt;&gt;"",ROW($1:$500),1000),ROW(BY265)))&amp;""</f>
        <v/>
      </c>
    </row>
    <row r="266" spans="1:79">
      <c r="A266" s="8" t="s">
        <v>3122</v>
      </c>
      <c r="B266" s="8" t="s">
        <v>1315</v>
      </c>
      <c r="C266" s="8" t="s">
        <v>1249</v>
      </c>
      <c r="D266" s="9">
        <v>6</v>
      </c>
      <c r="F266" s="8" t="str">
        <f t="shared" si="20"/>
        <v/>
      </c>
      <c r="G266" s="8" t="str">
        <f>IF(AND(VLOOKUP(C266,查询!$C$8:$E$15,3,FALSE)="启用",$B$1=D266),B266,"")</f>
        <v/>
      </c>
      <c r="H266" s="6" t="str">
        <f t="array" ref="H266">INDEX(F:F,SMALL(IF($F$1:$F$500&lt;&gt;"",ROW($1:$500),1000),ROW(F266)))&amp;""</f>
        <v/>
      </c>
      <c r="I266" s="6" t="str">
        <f t="array" ref="I266">INDEX(G:G,SMALL(IF($F$1:$F$500&lt;&gt;"",ROW($1:$500),1000),ROW(G266)))&amp;""</f>
        <v/>
      </c>
      <c r="N266" s="6"/>
      <c r="S266" s="6" t="str">
        <f t="array" ref="S266">INDEX(Q:Q,SMALL(IF($F$1:$F$500&lt;&gt;"",ROW($1:$500),1000),ROW(Q266)))&amp;""</f>
        <v/>
      </c>
      <c r="X266" s="6"/>
      <c r="AC266" s="6" t="str">
        <f t="array" ref="AC266">INDEX(AA:AA,SMALL(IF($F$1:$F$500&lt;&gt;"",ROW($1:$500),1000),ROW(AA266)))&amp;""</f>
        <v/>
      </c>
      <c r="AH266" s="6"/>
      <c r="AM266" s="6" t="str">
        <f t="array" ref="AM266">INDEX(AK:AK,SMALL(IF($F$1:$F$500&lt;&gt;"",ROW($1:$500),1000),ROW(AK266)))&amp;""</f>
        <v/>
      </c>
      <c r="AW266" s="6" t="str">
        <f t="array" ref="AW266">INDEX(AU:AU,SMALL(IF($F$1:$F$500&lt;&gt;"",ROW($1:$500),1000),ROW(AU266)))&amp;""</f>
        <v/>
      </c>
      <c r="BG266" s="6" t="str">
        <f t="array" ref="BG266">INDEX(BE:BE,SMALL(IF($F$1:$F$500&lt;&gt;"",ROW($1:$500),1000),ROW(BE266)))&amp;""</f>
        <v/>
      </c>
      <c r="BL266" s="6"/>
      <c r="BQ266" s="6" t="str">
        <f t="array" ref="BQ266">INDEX(BO:BO,SMALL(IF($F$1:$F$500&lt;&gt;"",ROW($1:$500),1000),ROW(BO266)))&amp;""</f>
        <v/>
      </c>
      <c r="BV266" s="6"/>
      <c r="CA266" s="6" t="str">
        <f t="array" ref="CA266">INDEX(BY:BY,SMALL(IF($F$1:$F$500&lt;&gt;"",ROW($1:$500),1000),ROW(BY266)))&amp;""</f>
        <v/>
      </c>
    </row>
    <row r="267" spans="1:79">
      <c r="A267" s="8" t="s">
        <v>3230</v>
      </c>
      <c r="B267" s="8" t="s">
        <v>1643</v>
      </c>
      <c r="C267" s="8" t="s">
        <v>494</v>
      </c>
      <c r="D267" s="9">
        <v>6</v>
      </c>
      <c r="F267" s="8" t="str">
        <f t="shared" si="20"/>
        <v/>
      </c>
      <c r="G267" s="8" t="str">
        <f>IF(AND(VLOOKUP(C267,查询!$C$8:$E$15,3,FALSE)="启用",$B$1=D267),B267,"")</f>
        <v/>
      </c>
      <c r="H267" s="6" t="str">
        <f t="array" ref="H267">INDEX(F:F,SMALL(IF($F$1:$F$500&lt;&gt;"",ROW($1:$500),1000),ROW(F267)))&amp;""</f>
        <v/>
      </c>
      <c r="I267" s="6" t="str">
        <f t="array" ref="I267">INDEX(G:G,SMALL(IF($F$1:$F$500&lt;&gt;"",ROW($1:$500),1000),ROW(G267)))&amp;""</f>
        <v/>
      </c>
      <c r="N267" s="6"/>
      <c r="S267" s="6" t="str">
        <f t="array" ref="S267">INDEX(Q:Q,SMALL(IF($F$1:$F$500&lt;&gt;"",ROW($1:$500),1000),ROW(Q267)))&amp;""</f>
        <v/>
      </c>
      <c r="X267" s="6"/>
      <c r="AC267" s="6" t="str">
        <f t="array" ref="AC267">INDEX(AA:AA,SMALL(IF($F$1:$F$500&lt;&gt;"",ROW($1:$500),1000),ROW(AA267)))&amp;""</f>
        <v/>
      </c>
      <c r="AH267" s="6"/>
      <c r="AM267" s="6" t="str">
        <f t="array" ref="AM267">INDEX(AK:AK,SMALL(IF($F$1:$F$500&lt;&gt;"",ROW($1:$500),1000),ROW(AK267)))&amp;""</f>
        <v/>
      </c>
      <c r="AW267" s="6" t="str">
        <f t="array" ref="AW267">INDEX(AU:AU,SMALL(IF($F$1:$F$500&lt;&gt;"",ROW($1:$500),1000),ROW(AU267)))&amp;""</f>
        <v/>
      </c>
      <c r="BG267" s="6" t="str">
        <f t="array" ref="BG267">INDEX(BE:BE,SMALL(IF($F$1:$F$500&lt;&gt;"",ROW($1:$500),1000),ROW(BE267)))&amp;""</f>
        <v/>
      </c>
      <c r="BL267" s="6"/>
      <c r="BQ267" s="6" t="str">
        <f t="array" ref="BQ267">INDEX(BO:BO,SMALL(IF($F$1:$F$500&lt;&gt;"",ROW($1:$500),1000),ROW(BO267)))&amp;""</f>
        <v/>
      </c>
      <c r="BV267" s="6"/>
      <c r="CA267" s="6" t="str">
        <f t="array" ref="CA267">INDEX(BY:BY,SMALL(IF($F$1:$F$500&lt;&gt;"",ROW($1:$500),1000),ROW(BY267)))&amp;""</f>
        <v/>
      </c>
    </row>
    <row r="268" spans="1:79">
      <c r="A268" s="8" t="s">
        <v>3128</v>
      </c>
      <c r="B268" s="8" t="s">
        <v>1318</v>
      </c>
      <c r="C268" s="8" t="s">
        <v>1249</v>
      </c>
      <c r="D268" s="9">
        <v>6</v>
      </c>
      <c r="F268" s="8" t="str">
        <f t="shared" si="20"/>
        <v/>
      </c>
      <c r="G268" s="8" t="str">
        <f>IF(AND(VLOOKUP(C268,查询!$C$8:$E$15,3,FALSE)="启用",$B$1=D268),B268,"")</f>
        <v/>
      </c>
      <c r="H268" s="6" t="str">
        <f t="array" ref="H268">INDEX(F:F,SMALL(IF($F$1:$F$500&lt;&gt;"",ROW($1:$500),1000),ROW(F268)))&amp;""</f>
        <v/>
      </c>
      <c r="I268" s="6" t="str">
        <f t="array" ref="I268">INDEX(G:G,SMALL(IF($F$1:$F$500&lt;&gt;"",ROW($1:$500),1000),ROW(G268)))&amp;""</f>
        <v/>
      </c>
      <c r="N268" s="6"/>
      <c r="S268" s="6" t="str">
        <f t="array" ref="S268">INDEX(Q:Q,SMALL(IF($F$1:$F$500&lt;&gt;"",ROW($1:$500),1000),ROW(Q268)))&amp;""</f>
        <v/>
      </c>
      <c r="X268" s="6"/>
      <c r="AC268" s="6" t="str">
        <f t="array" ref="AC268">INDEX(AA:AA,SMALL(IF($F$1:$F$500&lt;&gt;"",ROW($1:$500),1000),ROW(AA268)))&amp;""</f>
        <v/>
      </c>
      <c r="AH268" s="6"/>
      <c r="AM268" s="6" t="str">
        <f t="array" ref="AM268">INDEX(AK:AK,SMALL(IF($F$1:$F$500&lt;&gt;"",ROW($1:$500),1000),ROW(AK268)))&amp;""</f>
        <v/>
      </c>
      <c r="AW268" s="6" t="str">
        <f t="array" ref="AW268">INDEX(AU:AU,SMALL(IF($F$1:$F$500&lt;&gt;"",ROW($1:$500),1000),ROW(AU268)))&amp;""</f>
        <v/>
      </c>
      <c r="BG268" s="6" t="str">
        <f t="array" ref="BG268">INDEX(BE:BE,SMALL(IF($F$1:$F$500&lt;&gt;"",ROW($1:$500),1000),ROW(BE268)))&amp;""</f>
        <v/>
      </c>
      <c r="BL268" s="6"/>
      <c r="BQ268" s="6" t="str">
        <f t="array" ref="BQ268">INDEX(BO:BO,SMALL(IF($F$1:$F$500&lt;&gt;"",ROW($1:$500),1000),ROW(BO268)))&amp;""</f>
        <v/>
      </c>
      <c r="BV268" s="6"/>
      <c r="CA268" s="6" t="str">
        <f t="array" ref="CA268">INDEX(BY:BY,SMALL(IF($F$1:$F$500&lt;&gt;"",ROW($1:$500),1000),ROW(BY268)))&amp;""</f>
        <v/>
      </c>
    </row>
    <row r="269" spans="1:79">
      <c r="A269" s="8" t="s">
        <v>3234</v>
      </c>
      <c r="B269" s="8" t="s">
        <v>1644</v>
      </c>
      <c r="C269" s="8" t="s">
        <v>494</v>
      </c>
      <c r="D269" s="9">
        <v>6</v>
      </c>
      <c r="F269" s="8" t="str">
        <f t="shared" si="20"/>
        <v/>
      </c>
      <c r="G269" s="8" t="str">
        <f>IF(AND(VLOOKUP(C269,查询!$C$8:$E$15,3,FALSE)="启用",$B$1=D269),B269,"")</f>
        <v/>
      </c>
      <c r="H269" s="6" t="str">
        <f t="array" ref="H269">INDEX(F:F,SMALL(IF($F$1:$F$500&lt;&gt;"",ROW($1:$500),1000),ROW(F269)))&amp;""</f>
        <v/>
      </c>
      <c r="I269" s="6" t="str">
        <f t="array" ref="I269">INDEX(G:G,SMALL(IF($F$1:$F$500&lt;&gt;"",ROW($1:$500),1000),ROW(G269)))&amp;""</f>
        <v/>
      </c>
      <c r="N269" s="6"/>
      <c r="S269" s="6" t="str">
        <f t="array" ref="S269">INDEX(Q:Q,SMALL(IF($F$1:$F$500&lt;&gt;"",ROW($1:$500),1000),ROW(Q269)))&amp;""</f>
        <v/>
      </c>
      <c r="X269" s="6"/>
      <c r="AC269" s="6" t="str">
        <f t="array" ref="AC269">INDEX(AA:AA,SMALL(IF($F$1:$F$500&lt;&gt;"",ROW($1:$500),1000),ROW(AA269)))&amp;""</f>
        <v/>
      </c>
      <c r="AH269" s="6"/>
      <c r="AM269" s="6" t="str">
        <f t="array" ref="AM269">INDEX(AK:AK,SMALL(IF($F$1:$F$500&lt;&gt;"",ROW($1:$500),1000),ROW(AK269)))&amp;""</f>
        <v/>
      </c>
      <c r="AW269" s="6" t="str">
        <f t="array" ref="AW269">INDEX(AU:AU,SMALL(IF($F$1:$F$500&lt;&gt;"",ROW($1:$500),1000),ROW(AU269)))&amp;""</f>
        <v/>
      </c>
      <c r="BG269" s="6" t="str">
        <f t="array" ref="BG269">INDEX(BE:BE,SMALL(IF($F$1:$F$500&lt;&gt;"",ROW($1:$500),1000),ROW(BE269)))&amp;""</f>
        <v/>
      </c>
      <c r="BL269" s="6"/>
      <c r="BQ269" s="6" t="str">
        <f t="array" ref="BQ269">INDEX(BO:BO,SMALL(IF($F$1:$F$500&lt;&gt;"",ROW($1:$500),1000),ROW(BO269)))&amp;""</f>
        <v/>
      </c>
      <c r="BV269" s="6"/>
      <c r="CA269" s="6" t="str">
        <f t="array" ref="CA269">INDEX(BY:BY,SMALL(IF($F$1:$F$500&lt;&gt;"",ROW($1:$500),1000),ROW(BY269)))&amp;""</f>
        <v/>
      </c>
    </row>
    <row r="270" spans="1:79">
      <c r="A270" s="8" t="s">
        <v>3239</v>
      </c>
      <c r="B270" s="8" t="s">
        <v>1652</v>
      </c>
      <c r="C270" s="8" t="s">
        <v>494</v>
      </c>
      <c r="D270" s="9">
        <v>6</v>
      </c>
      <c r="F270" s="8" t="str">
        <f t="shared" si="20"/>
        <v/>
      </c>
      <c r="G270" s="8" t="str">
        <f>IF(AND(VLOOKUP(C270,查询!$C$8:$E$15,3,FALSE)="启用",$B$1=D270),B270,"")</f>
        <v/>
      </c>
      <c r="H270" s="6" t="str">
        <f t="array" ref="H270">INDEX(F:F,SMALL(IF($F$1:$F$500&lt;&gt;"",ROW($1:$500),1000),ROW(F270)))&amp;""</f>
        <v/>
      </c>
      <c r="I270" s="6" t="str">
        <f t="array" ref="I270">INDEX(G:G,SMALL(IF($F$1:$F$500&lt;&gt;"",ROW($1:$500),1000),ROW(G270)))&amp;""</f>
        <v/>
      </c>
      <c r="N270" s="6"/>
      <c r="S270" s="6" t="str">
        <f t="array" ref="S270">INDEX(Q:Q,SMALL(IF($F$1:$F$500&lt;&gt;"",ROW($1:$500),1000),ROW(Q270)))&amp;""</f>
        <v/>
      </c>
      <c r="X270" s="6"/>
      <c r="AC270" s="6" t="str">
        <f t="array" ref="AC270">INDEX(AA:AA,SMALL(IF($F$1:$F$500&lt;&gt;"",ROW($1:$500),1000),ROW(AA270)))&amp;""</f>
        <v/>
      </c>
      <c r="AH270" s="6"/>
      <c r="AM270" s="6" t="str">
        <f t="array" ref="AM270">INDEX(AK:AK,SMALL(IF($F$1:$F$500&lt;&gt;"",ROW($1:$500),1000),ROW(AK270)))&amp;""</f>
        <v/>
      </c>
      <c r="AW270" s="6" t="str">
        <f t="array" ref="AW270">INDEX(AU:AU,SMALL(IF($F$1:$F$500&lt;&gt;"",ROW($1:$500),1000),ROW(AU270)))&amp;""</f>
        <v/>
      </c>
      <c r="BG270" s="6" t="str">
        <f t="array" ref="BG270">INDEX(BE:BE,SMALL(IF($F$1:$F$500&lt;&gt;"",ROW($1:$500),1000),ROW(BE270)))&amp;""</f>
        <v/>
      </c>
      <c r="BL270" s="6"/>
      <c r="BQ270" s="6" t="str">
        <f t="array" ref="BQ270">INDEX(BO:BO,SMALL(IF($F$1:$F$500&lt;&gt;"",ROW($1:$500),1000),ROW(BO270)))&amp;""</f>
        <v/>
      </c>
      <c r="BV270" s="6"/>
      <c r="CA270" s="6" t="str">
        <f t="array" ref="CA270">INDEX(BY:BY,SMALL(IF($F$1:$F$500&lt;&gt;"",ROW($1:$500),1000),ROW(BY270)))&amp;""</f>
        <v/>
      </c>
    </row>
    <row r="271" spans="1:79">
      <c r="A271" s="8" t="s">
        <v>3243</v>
      </c>
      <c r="B271" s="8" t="s">
        <v>1658</v>
      </c>
      <c r="C271" s="8" t="s">
        <v>494</v>
      </c>
      <c r="D271" s="9">
        <v>6</v>
      </c>
      <c r="F271" s="8" t="str">
        <f t="shared" si="20"/>
        <v/>
      </c>
      <c r="G271" s="8" t="str">
        <f>IF(AND(VLOOKUP(C271,查询!$C$8:$E$15,3,FALSE)="启用",$B$1=D271),B271,"")</f>
        <v/>
      </c>
      <c r="H271" s="6" t="str">
        <f t="array" ref="H271">INDEX(F:F,SMALL(IF($F$1:$F$500&lt;&gt;"",ROW($1:$500),1000),ROW(F271)))&amp;""</f>
        <v/>
      </c>
      <c r="I271" s="6" t="str">
        <f t="array" ref="I271">INDEX(G:G,SMALL(IF($F$1:$F$500&lt;&gt;"",ROW($1:$500),1000),ROW(G271)))&amp;""</f>
        <v/>
      </c>
      <c r="N271" s="6"/>
      <c r="S271" s="6" t="str">
        <f t="array" ref="S271">INDEX(Q:Q,SMALL(IF($F$1:$F$500&lt;&gt;"",ROW($1:$500),1000),ROW(Q271)))&amp;""</f>
        <v/>
      </c>
      <c r="X271" s="6"/>
      <c r="AC271" s="6" t="str">
        <f t="array" ref="AC271">INDEX(AA:AA,SMALL(IF($F$1:$F$500&lt;&gt;"",ROW($1:$500),1000),ROW(AA271)))&amp;""</f>
        <v/>
      </c>
      <c r="AH271" s="6"/>
      <c r="AM271" s="6" t="str">
        <f t="array" ref="AM271">INDEX(AK:AK,SMALL(IF($F$1:$F$500&lt;&gt;"",ROW($1:$500),1000),ROW(AK271)))&amp;""</f>
        <v/>
      </c>
      <c r="AW271" s="6" t="str">
        <f t="array" ref="AW271">INDEX(AU:AU,SMALL(IF($F$1:$F$500&lt;&gt;"",ROW($1:$500),1000),ROW(AU271)))&amp;""</f>
        <v/>
      </c>
      <c r="BG271" s="6" t="str">
        <f t="array" ref="BG271">INDEX(BE:BE,SMALL(IF($F$1:$F$500&lt;&gt;"",ROW($1:$500),1000),ROW(BE271)))&amp;""</f>
        <v/>
      </c>
      <c r="BL271" s="6"/>
      <c r="BQ271" s="6" t="str">
        <f t="array" ref="BQ271">INDEX(BO:BO,SMALL(IF($F$1:$F$500&lt;&gt;"",ROW($1:$500),1000),ROW(BO271)))&amp;""</f>
        <v/>
      </c>
      <c r="BV271" s="6"/>
      <c r="CA271" s="6" t="str">
        <f t="array" ref="CA271">INDEX(BY:BY,SMALL(IF($F$1:$F$500&lt;&gt;"",ROW($1:$500),1000),ROW(BY271)))&amp;""</f>
        <v/>
      </c>
    </row>
    <row r="272" spans="1:79">
      <c r="A272" s="8" t="s">
        <v>3133</v>
      </c>
      <c r="B272" s="8" t="s">
        <v>1322</v>
      </c>
      <c r="C272" s="8" t="s">
        <v>1249</v>
      </c>
      <c r="D272" s="9">
        <v>6</v>
      </c>
      <c r="F272" s="8" t="str">
        <f t="shared" si="20"/>
        <v/>
      </c>
      <c r="G272" s="8" t="str">
        <f>IF(AND(VLOOKUP(C272,查询!$C$8:$E$15,3,FALSE)="启用",$B$1=D272),B272,"")</f>
        <v/>
      </c>
      <c r="H272" s="6" t="str">
        <f t="array" ref="H272">INDEX(F:F,SMALL(IF($F$1:$F$500&lt;&gt;"",ROW($1:$500),1000),ROW(F272)))&amp;""</f>
        <v/>
      </c>
      <c r="I272" s="6" t="str">
        <f t="array" ref="I272">INDEX(G:G,SMALL(IF($F$1:$F$500&lt;&gt;"",ROW($1:$500),1000),ROW(G272)))&amp;""</f>
        <v/>
      </c>
      <c r="N272" s="6"/>
      <c r="S272" s="6" t="str">
        <f t="array" ref="S272">INDEX(Q:Q,SMALL(IF($F$1:$F$500&lt;&gt;"",ROW($1:$500),1000),ROW(Q272)))&amp;""</f>
        <v/>
      </c>
      <c r="X272" s="6"/>
      <c r="AC272" s="6" t="str">
        <f t="array" ref="AC272">INDEX(AA:AA,SMALL(IF($F$1:$F$500&lt;&gt;"",ROW($1:$500),1000),ROW(AA272)))&amp;""</f>
        <v/>
      </c>
      <c r="AH272" s="6"/>
      <c r="AM272" s="6" t="str">
        <f t="array" ref="AM272">INDEX(AK:AK,SMALL(IF($F$1:$F$500&lt;&gt;"",ROW($1:$500),1000),ROW(AK272)))&amp;""</f>
        <v/>
      </c>
      <c r="AW272" s="6" t="str">
        <f t="array" ref="AW272">INDEX(AU:AU,SMALL(IF($F$1:$F$500&lt;&gt;"",ROW($1:$500),1000),ROW(AU272)))&amp;""</f>
        <v/>
      </c>
      <c r="BG272" s="6" t="str">
        <f t="array" ref="BG272">INDEX(BE:BE,SMALL(IF($F$1:$F$500&lt;&gt;"",ROW($1:$500),1000),ROW(BE272)))&amp;""</f>
        <v/>
      </c>
      <c r="BL272" s="6"/>
      <c r="BQ272" s="6" t="str">
        <f t="array" ref="BQ272">INDEX(BO:BO,SMALL(IF($F$1:$F$500&lt;&gt;"",ROW($1:$500),1000),ROW(BO272)))&amp;""</f>
        <v/>
      </c>
      <c r="BV272" s="6"/>
      <c r="CA272" s="6" t="str">
        <f t="array" ref="CA272">INDEX(BY:BY,SMALL(IF($F$1:$F$500&lt;&gt;"",ROW($1:$500),1000),ROW(BY272)))&amp;""</f>
        <v/>
      </c>
    </row>
    <row r="273" spans="1:79">
      <c r="A273" s="8" t="s">
        <v>3247</v>
      </c>
      <c r="B273" s="8" t="s">
        <v>1671</v>
      </c>
      <c r="C273" s="8" t="s">
        <v>494</v>
      </c>
      <c r="D273" s="9">
        <v>6</v>
      </c>
      <c r="F273" s="8" t="str">
        <f t="shared" si="20"/>
        <v/>
      </c>
      <c r="G273" s="8" t="str">
        <f>IF(AND(VLOOKUP(C273,查询!$C$8:$E$15,3,FALSE)="启用",$B$1=D273),B273,"")</f>
        <v/>
      </c>
      <c r="H273" s="6" t="str">
        <f t="array" ref="H273">INDEX(F:F,SMALL(IF($F$1:$F$500&lt;&gt;"",ROW($1:$500),1000),ROW(F273)))&amp;""</f>
        <v/>
      </c>
      <c r="I273" s="6" t="str">
        <f t="array" ref="I273">INDEX(G:G,SMALL(IF($F$1:$F$500&lt;&gt;"",ROW($1:$500),1000),ROW(G273)))&amp;""</f>
        <v/>
      </c>
      <c r="N273" s="6"/>
      <c r="S273" s="6" t="str">
        <f t="array" ref="S273">INDEX(Q:Q,SMALL(IF($F$1:$F$500&lt;&gt;"",ROW($1:$500),1000),ROW(Q273)))&amp;""</f>
        <v/>
      </c>
      <c r="X273" s="6"/>
      <c r="AC273" s="6" t="str">
        <f t="array" ref="AC273">INDEX(AA:AA,SMALL(IF($F$1:$F$500&lt;&gt;"",ROW($1:$500),1000),ROW(AA273)))&amp;""</f>
        <v/>
      </c>
      <c r="AH273" s="6"/>
      <c r="AM273" s="6" t="str">
        <f t="array" ref="AM273">INDEX(AK:AK,SMALL(IF($F$1:$F$500&lt;&gt;"",ROW($1:$500),1000),ROW(AK273)))&amp;""</f>
        <v/>
      </c>
      <c r="AW273" s="6" t="str">
        <f t="array" ref="AW273">INDEX(AU:AU,SMALL(IF($F$1:$F$500&lt;&gt;"",ROW($1:$500),1000),ROW(AU273)))&amp;""</f>
        <v/>
      </c>
      <c r="BG273" s="6" t="str">
        <f t="array" ref="BG273">INDEX(BE:BE,SMALL(IF($F$1:$F$500&lt;&gt;"",ROW($1:$500),1000),ROW(BE273)))&amp;""</f>
        <v/>
      </c>
      <c r="BL273" s="6"/>
      <c r="BQ273" s="6" t="str">
        <f t="array" ref="BQ273">INDEX(BO:BO,SMALL(IF($F$1:$F$500&lt;&gt;"",ROW($1:$500),1000),ROW(BO273)))&amp;""</f>
        <v/>
      </c>
      <c r="BV273" s="6"/>
      <c r="CA273" s="6" t="str">
        <f t="array" ref="CA273">INDEX(BY:BY,SMALL(IF($F$1:$F$500&lt;&gt;"",ROW($1:$500),1000),ROW(BY273)))&amp;""</f>
        <v/>
      </c>
    </row>
    <row r="274" spans="1:79">
      <c r="A274" s="8" t="s">
        <v>3137</v>
      </c>
      <c r="B274" s="8" t="s">
        <v>1335</v>
      </c>
      <c r="C274" s="8" t="s">
        <v>1249</v>
      </c>
      <c r="D274" s="9">
        <v>6</v>
      </c>
      <c r="F274" s="8" t="str">
        <f t="shared" si="20"/>
        <v/>
      </c>
      <c r="G274" s="8" t="str">
        <f>IF(AND(VLOOKUP(C274,查询!$C$8:$E$15,3,FALSE)="启用",$B$1=D274),B274,"")</f>
        <v/>
      </c>
      <c r="H274" s="6" t="str">
        <f t="array" ref="H274">INDEX(F:F,SMALL(IF($F$1:$F$500&lt;&gt;"",ROW($1:$500),1000),ROW(F274)))&amp;""</f>
        <v/>
      </c>
      <c r="I274" s="6" t="str">
        <f t="array" ref="I274">INDEX(G:G,SMALL(IF($F$1:$F$500&lt;&gt;"",ROW($1:$500),1000),ROW(G274)))&amp;""</f>
        <v/>
      </c>
      <c r="N274" s="6"/>
      <c r="S274" s="6" t="str">
        <f t="array" ref="S274">INDEX(Q:Q,SMALL(IF($F$1:$F$500&lt;&gt;"",ROW($1:$500),1000),ROW(Q274)))&amp;""</f>
        <v/>
      </c>
      <c r="X274" s="6"/>
      <c r="AC274" s="6" t="str">
        <f t="array" ref="AC274">INDEX(AA:AA,SMALL(IF($F$1:$F$500&lt;&gt;"",ROW($1:$500),1000),ROW(AA274)))&amp;""</f>
        <v/>
      </c>
      <c r="AH274" s="6"/>
      <c r="AM274" s="6" t="str">
        <f t="array" ref="AM274">INDEX(AK:AK,SMALL(IF($F$1:$F$500&lt;&gt;"",ROW($1:$500),1000),ROW(AK274)))&amp;""</f>
        <v/>
      </c>
      <c r="AW274" s="6" t="str">
        <f t="array" ref="AW274">INDEX(AU:AU,SMALL(IF($F$1:$F$500&lt;&gt;"",ROW($1:$500),1000),ROW(AU274)))&amp;""</f>
        <v/>
      </c>
      <c r="BG274" s="6" t="str">
        <f t="array" ref="BG274">INDEX(BE:BE,SMALL(IF($F$1:$F$500&lt;&gt;"",ROW($1:$500),1000),ROW(BE274)))&amp;""</f>
        <v/>
      </c>
      <c r="BL274" s="6"/>
      <c r="BQ274" s="6" t="str">
        <f t="array" ref="BQ274">INDEX(BO:BO,SMALL(IF($F$1:$F$500&lt;&gt;"",ROW($1:$500),1000),ROW(BO274)))&amp;""</f>
        <v/>
      </c>
      <c r="BV274" s="6"/>
      <c r="CA274" s="6" t="str">
        <f t="array" ref="CA274">INDEX(BY:BY,SMALL(IF($F$1:$F$500&lt;&gt;"",ROW($1:$500),1000),ROW(BY274)))&amp;""</f>
        <v/>
      </c>
    </row>
    <row r="275" spans="1:79">
      <c r="A275" s="8" t="s">
        <v>3139</v>
      </c>
      <c r="B275" s="8" t="s">
        <v>1737</v>
      </c>
      <c r="C275" s="8" t="s">
        <v>578</v>
      </c>
      <c r="D275" s="9">
        <v>6</v>
      </c>
      <c r="F275" s="8" t="str">
        <f t="shared" si="20"/>
        <v/>
      </c>
      <c r="G275" s="8" t="str">
        <f>IF(AND(VLOOKUP(C275,查询!$C$8:$E$15,3,FALSE)="启用",$B$1=D275),B275,"")</f>
        <v/>
      </c>
      <c r="H275" s="6" t="str">
        <f t="array" ref="H275">INDEX(F:F,SMALL(IF($F$1:$F$500&lt;&gt;"",ROW($1:$500),1000),ROW(F275)))&amp;""</f>
        <v/>
      </c>
      <c r="I275" s="6" t="str">
        <f t="array" ref="I275">INDEX(G:G,SMALL(IF($F$1:$F$500&lt;&gt;"",ROW($1:$500),1000),ROW(G275)))&amp;""</f>
        <v/>
      </c>
      <c r="N275" s="6"/>
      <c r="S275" s="6" t="str">
        <f t="array" ref="S275">INDEX(Q:Q,SMALL(IF($F$1:$F$500&lt;&gt;"",ROW($1:$500),1000),ROW(Q275)))&amp;""</f>
        <v/>
      </c>
      <c r="X275" s="6"/>
      <c r="AC275" s="6" t="str">
        <f t="array" ref="AC275">INDEX(AA:AA,SMALL(IF($F$1:$F$500&lt;&gt;"",ROW($1:$500),1000),ROW(AA275)))&amp;""</f>
        <v/>
      </c>
      <c r="AH275" s="6"/>
      <c r="AM275" s="6" t="str">
        <f t="array" ref="AM275">INDEX(AK:AK,SMALL(IF($F$1:$F$500&lt;&gt;"",ROW($1:$500),1000),ROW(AK275)))&amp;""</f>
        <v/>
      </c>
      <c r="AW275" s="6" t="str">
        <f t="array" ref="AW275">INDEX(AU:AU,SMALL(IF($F$1:$F$500&lt;&gt;"",ROW($1:$500),1000),ROW(AU275)))&amp;""</f>
        <v/>
      </c>
      <c r="BG275" s="6" t="str">
        <f t="array" ref="BG275">INDEX(BE:BE,SMALL(IF($F$1:$F$500&lt;&gt;"",ROW($1:$500),1000),ROW(BE275)))&amp;""</f>
        <v/>
      </c>
      <c r="BL275" s="6"/>
      <c r="BQ275" s="6" t="str">
        <f t="array" ref="BQ275">INDEX(BO:BO,SMALL(IF($F$1:$F$500&lt;&gt;"",ROW($1:$500),1000),ROW(BO275)))&amp;""</f>
        <v/>
      </c>
      <c r="BV275" s="6"/>
      <c r="CA275" s="6" t="str">
        <f t="array" ref="CA275">INDEX(BY:BY,SMALL(IF($F$1:$F$500&lt;&gt;"",ROW($1:$500),1000),ROW(BY275)))&amp;""</f>
        <v/>
      </c>
    </row>
    <row r="276" spans="1:79">
      <c r="A276" s="8" t="s">
        <v>3139</v>
      </c>
      <c r="B276" s="8" t="s">
        <v>1336</v>
      </c>
      <c r="C276" s="8" t="s">
        <v>1249</v>
      </c>
      <c r="D276" s="9">
        <v>6</v>
      </c>
      <c r="F276" s="8" t="str">
        <f t="shared" si="20"/>
        <v/>
      </c>
      <c r="G276" s="8" t="str">
        <f>IF(AND(VLOOKUP(C276,查询!$C$8:$E$15,3,FALSE)="启用",$B$1=D276),B276,"")</f>
        <v/>
      </c>
      <c r="H276" s="6" t="str">
        <f t="array" ref="H276">INDEX(F:F,SMALL(IF($F$1:$F$500&lt;&gt;"",ROW($1:$500),1000),ROW(F276)))&amp;""</f>
        <v/>
      </c>
      <c r="I276" s="6" t="str">
        <f t="array" ref="I276">INDEX(G:G,SMALL(IF($F$1:$F$500&lt;&gt;"",ROW($1:$500),1000),ROW(G276)))&amp;""</f>
        <v/>
      </c>
      <c r="N276" s="6"/>
      <c r="S276" s="6" t="str">
        <f t="array" ref="S276">INDEX(Q:Q,SMALL(IF($F$1:$F$500&lt;&gt;"",ROW($1:$500),1000),ROW(Q276)))&amp;""</f>
        <v/>
      </c>
      <c r="X276" s="6"/>
      <c r="AC276" s="6" t="str">
        <f t="array" ref="AC276">INDEX(AA:AA,SMALL(IF($F$1:$F$500&lt;&gt;"",ROW($1:$500),1000),ROW(AA276)))&amp;""</f>
        <v/>
      </c>
      <c r="AH276" s="6"/>
      <c r="AM276" s="6" t="str">
        <f t="array" ref="AM276">INDEX(AK:AK,SMALL(IF($F$1:$F$500&lt;&gt;"",ROW($1:$500),1000),ROW(AK276)))&amp;""</f>
        <v/>
      </c>
      <c r="AW276" s="6" t="str">
        <f t="array" ref="AW276">INDEX(AU:AU,SMALL(IF($F$1:$F$500&lt;&gt;"",ROW($1:$500),1000),ROW(AU276)))&amp;""</f>
        <v/>
      </c>
      <c r="BG276" s="6" t="str">
        <f t="array" ref="BG276">INDEX(BE:BE,SMALL(IF($F$1:$F$500&lt;&gt;"",ROW($1:$500),1000),ROW(BE276)))&amp;""</f>
        <v/>
      </c>
      <c r="BL276" s="6"/>
      <c r="BQ276" s="6" t="str">
        <f t="array" ref="BQ276">INDEX(BO:BO,SMALL(IF($F$1:$F$500&lt;&gt;"",ROW($1:$500),1000),ROW(BO276)))&amp;""</f>
        <v/>
      </c>
      <c r="BV276" s="6"/>
      <c r="CA276" s="6" t="str">
        <f t="array" ref="CA276">INDEX(BY:BY,SMALL(IF($F$1:$F$500&lt;&gt;"",ROW($1:$500),1000),ROW(BY276)))&amp;""</f>
        <v/>
      </c>
    </row>
    <row r="277" spans="1:79">
      <c r="A277" s="8" t="s">
        <v>3141</v>
      </c>
      <c r="B277" s="8" t="s">
        <v>1738</v>
      </c>
      <c r="C277" s="8" t="s">
        <v>578</v>
      </c>
      <c r="D277" s="9">
        <v>6</v>
      </c>
      <c r="F277" s="8" t="str">
        <f t="shared" si="20"/>
        <v/>
      </c>
      <c r="G277" s="8" t="str">
        <f>IF(AND(VLOOKUP(C277,查询!$C$8:$E$15,3,FALSE)="启用",$B$1=D277),B277,"")</f>
        <v/>
      </c>
      <c r="H277" s="6" t="str">
        <f t="array" ref="H277">INDEX(F:F,SMALL(IF($F$1:$F$500&lt;&gt;"",ROW($1:$500),1000),ROW(F277)))&amp;""</f>
        <v/>
      </c>
      <c r="I277" s="6" t="str">
        <f t="array" ref="I277">INDEX(G:G,SMALL(IF($F$1:$F$500&lt;&gt;"",ROW($1:$500),1000),ROW(G277)))&amp;""</f>
        <v/>
      </c>
      <c r="N277" s="6"/>
      <c r="S277" s="6" t="str">
        <f t="array" ref="S277">INDEX(Q:Q,SMALL(IF($F$1:$F$500&lt;&gt;"",ROW($1:$500),1000),ROW(Q277)))&amp;""</f>
        <v/>
      </c>
      <c r="X277" s="6"/>
      <c r="AC277" s="6" t="str">
        <f t="array" ref="AC277">INDEX(AA:AA,SMALL(IF($F$1:$F$500&lt;&gt;"",ROW($1:$500),1000),ROW(AA277)))&amp;""</f>
        <v/>
      </c>
      <c r="AH277" s="6"/>
      <c r="AM277" s="6" t="str">
        <f t="array" ref="AM277">INDEX(AK:AK,SMALL(IF($F$1:$F$500&lt;&gt;"",ROW($1:$500),1000),ROW(AK277)))&amp;""</f>
        <v/>
      </c>
      <c r="AW277" s="6" t="str">
        <f t="array" ref="AW277">INDEX(AU:AU,SMALL(IF($F$1:$F$500&lt;&gt;"",ROW($1:$500),1000),ROW(AU277)))&amp;""</f>
        <v/>
      </c>
      <c r="BG277" s="6" t="str">
        <f t="array" ref="BG277">INDEX(BE:BE,SMALL(IF($F$1:$F$500&lt;&gt;"",ROW($1:$500),1000),ROW(BE277)))&amp;""</f>
        <v/>
      </c>
      <c r="BL277" s="6"/>
      <c r="BQ277" s="6" t="str">
        <f t="array" ref="BQ277">INDEX(BO:BO,SMALL(IF($F$1:$F$500&lt;&gt;"",ROW($1:$500),1000),ROW(BO277)))&amp;""</f>
        <v/>
      </c>
      <c r="BV277" s="6"/>
      <c r="CA277" s="6" t="str">
        <f t="array" ref="CA277">INDEX(BY:BY,SMALL(IF($F$1:$F$500&lt;&gt;"",ROW($1:$500),1000),ROW(BY277)))&amp;""</f>
        <v/>
      </c>
    </row>
    <row r="278" spans="1:79">
      <c r="A278" s="8" t="s">
        <v>3141</v>
      </c>
      <c r="B278" s="8" t="s">
        <v>1337</v>
      </c>
      <c r="C278" s="8" t="s">
        <v>1249</v>
      </c>
      <c r="D278" s="9">
        <v>6</v>
      </c>
      <c r="F278" s="8" t="str">
        <f t="shared" si="20"/>
        <v/>
      </c>
      <c r="G278" s="8" t="str">
        <f>IF(AND(VLOOKUP(C278,查询!$C$8:$E$15,3,FALSE)="启用",$B$1=D278),B278,"")</f>
        <v/>
      </c>
      <c r="H278" s="6" t="str">
        <f t="array" ref="H278">INDEX(F:F,SMALL(IF($F$1:$F$500&lt;&gt;"",ROW($1:$500),1000),ROW(F278)))&amp;""</f>
        <v/>
      </c>
      <c r="I278" s="6" t="str">
        <f t="array" ref="I278">INDEX(G:G,SMALL(IF($F$1:$F$500&lt;&gt;"",ROW($1:$500),1000),ROW(G278)))&amp;""</f>
        <v/>
      </c>
      <c r="N278" s="6"/>
      <c r="S278" s="6" t="str">
        <f t="array" ref="S278">INDEX(Q:Q,SMALL(IF($F$1:$F$500&lt;&gt;"",ROW($1:$500),1000),ROW(Q278)))&amp;""</f>
        <v/>
      </c>
      <c r="X278" s="6"/>
      <c r="AC278" s="6" t="str">
        <f t="array" ref="AC278">INDEX(AA:AA,SMALL(IF($F$1:$F$500&lt;&gt;"",ROW($1:$500),1000),ROW(AA278)))&amp;""</f>
        <v/>
      </c>
      <c r="AH278" s="6"/>
      <c r="AM278" s="6" t="str">
        <f t="array" ref="AM278">INDEX(AK:AK,SMALL(IF($F$1:$F$500&lt;&gt;"",ROW($1:$500),1000),ROW(AK278)))&amp;""</f>
        <v/>
      </c>
      <c r="AW278" s="6" t="str">
        <f t="array" ref="AW278">INDEX(AU:AU,SMALL(IF($F$1:$F$500&lt;&gt;"",ROW($1:$500),1000),ROW(AU278)))&amp;""</f>
        <v/>
      </c>
      <c r="BG278" s="6" t="str">
        <f t="array" ref="BG278">INDEX(BE:BE,SMALL(IF($F$1:$F$500&lt;&gt;"",ROW($1:$500),1000),ROW(BE278)))&amp;""</f>
        <v/>
      </c>
      <c r="BL278" s="6"/>
      <c r="BQ278" s="6" t="str">
        <f t="array" ref="BQ278">INDEX(BO:BO,SMALL(IF($F$1:$F$500&lt;&gt;"",ROW($1:$500),1000),ROW(BO278)))&amp;""</f>
        <v/>
      </c>
      <c r="BV278" s="6"/>
      <c r="CA278" s="6" t="str">
        <f t="array" ref="CA278">INDEX(BY:BY,SMALL(IF($F$1:$F$500&lt;&gt;"",ROW($1:$500),1000),ROW(BY278)))&amp;""</f>
        <v/>
      </c>
    </row>
    <row r="279" spans="1:79">
      <c r="A279" s="8" t="s">
        <v>3143</v>
      </c>
      <c r="B279" s="8" t="s">
        <v>1739</v>
      </c>
      <c r="C279" s="8" t="s">
        <v>578</v>
      </c>
      <c r="D279" s="9">
        <v>6</v>
      </c>
      <c r="F279" s="8" t="str">
        <f t="shared" si="20"/>
        <v/>
      </c>
      <c r="G279" s="8" t="str">
        <f>IF(AND(VLOOKUP(C279,查询!$C$8:$E$15,3,FALSE)="启用",$B$1=D279),B279,"")</f>
        <v/>
      </c>
      <c r="H279" s="6" t="str">
        <f t="array" ref="H279">INDEX(F:F,SMALL(IF($F$1:$F$500&lt;&gt;"",ROW($1:$500),1000),ROW(F279)))&amp;""</f>
        <v/>
      </c>
      <c r="I279" s="6" t="str">
        <f t="array" ref="I279">INDEX(G:G,SMALL(IF($F$1:$F$500&lt;&gt;"",ROW($1:$500),1000),ROW(G279)))&amp;""</f>
        <v/>
      </c>
      <c r="N279" s="6"/>
      <c r="S279" s="6" t="str">
        <f t="array" ref="S279">INDEX(Q:Q,SMALL(IF($F$1:$F$500&lt;&gt;"",ROW($1:$500),1000),ROW(Q279)))&amp;""</f>
        <v/>
      </c>
      <c r="X279" s="6"/>
      <c r="AC279" s="6" t="str">
        <f t="array" ref="AC279">INDEX(AA:AA,SMALL(IF($F$1:$F$500&lt;&gt;"",ROW($1:$500),1000),ROW(AA279)))&amp;""</f>
        <v/>
      </c>
      <c r="AH279" s="6"/>
      <c r="AM279" s="6" t="str">
        <f t="array" ref="AM279">INDEX(AK:AK,SMALL(IF($F$1:$F$500&lt;&gt;"",ROW($1:$500),1000),ROW(AK279)))&amp;""</f>
        <v/>
      </c>
      <c r="AW279" s="6" t="str">
        <f t="array" ref="AW279">INDEX(AU:AU,SMALL(IF($F$1:$F$500&lt;&gt;"",ROW($1:$500),1000),ROW(AU279)))&amp;""</f>
        <v/>
      </c>
      <c r="BG279" s="6" t="str">
        <f t="array" ref="BG279">INDEX(BE:BE,SMALL(IF($F$1:$F$500&lt;&gt;"",ROW($1:$500),1000),ROW(BE279)))&amp;""</f>
        <v/>
      </c>
      <c r="BL279" s="6"/>
      <c r="BQ279" s="6" t="str">
        <f t="array" ref="BQ279">INDEX(BO:BO,SMALL(IF($F$1:$F$500&lt;&gt;"",ROW($1:$500),1000),ROW(BO279)))&amp;""</f>
        <v/>
      </c>
      <c r="BV279" s="6"/>
      <c r="CA279" s="6" t="str">
        <f t="array" ref="CA279">INDEX(BY:BY,SMALL(IF($F$1:$F$500&lt;&gt;"",ROW($1:$500),1000),ROW(BY279)))&amp;""</f>
        <v/>
      </c>
    </row>
    <row r="280" spans="1:79">
      <c r="A280" s="8" t="s">
        <v>3143</v>
      </c>
      <c r="B280" s="8" t="s">
        <v>1338</v>
      </c>
      <c r="C280" s="8" t="s">
        <v>1249</v>
      </c>
      <c r="D280" s="9">
        <v>6</v>
      </c>
      <c r="F280" s="8" t="str">
        <f t="shared" si="20"/>
        <v/>
      </c>
      <c r="G280" s="8" t="str">
        <f>IF(AND(VLOOKUP(C280,查询!$C$8:$E$15,3,FALSE)="启用",$B$1=D280),B280,"")</f>
        <v/>
      </c>
      <c r="H280" s="6" t="str">
        <f t="array" ref="H280">INDEX(F:F,SMALL(IF($F$1:$F$500&lt;&gt;"",ROW($1:$500),1000),ROW(F280)))&amp;""</f>
        <v/>
      </c>
      <c r="I280" s="6" t="str">
        <f t="array" ref="I280">INDEX(G:G,SMALL(IF($F$1:$F$500&lt;&gt;"",ROW($1:$500),1000),ROW(G280)))&amp;""</f>
        <v/>
      </c>
      <c r="N280" s="6"/>
      <c r="S280" s="6" t="str">
        <f t="array" ref="S280">INDEX(Q:Q,SMALL(IF($F$1:$F$500&lt;&gt;"",ROW($1:$500),1000),ROW(Q280)))&amp;""</f>
        <v/>
      </c>
      <c r="X280" s="6"/>
      <c r="AC280" s="6" t="str">
        <f t="array" ref="AC280">INDEX(AA:AA,SMALL(IF($F$1:$F$500&lt;&gt;"",ROW($1:$500),1000),ROW(AA280)))&amp;""</f>
        <v/>
      </c>
      <c r="AH280" s="6"/>
      <c r="AM280" s="6" t="str">
        <f t="array" ref="AM280">INDEX(AK:AK,SMALL(IF($F$1:$F$500&lt;&gt;"",ROW($1:$500),1000),ROW(AK280)))&amp;""</f>
        <v/>
      </c>
      <c r="AW280" s="6" t="str">
        <f t="array" ref="AW280">INDEX(AU:AU,SMALL(IF($F$1:$F$500&lt;&gt;"",ROW($1:$500),1000),ROW(AU280)))&amp;""</f>
        <v/>
      </c>
      <c r="BG280" s="6" t="str">
        <f t="array" ref="BG280">INDEX(BE:BE,SMALL(IF($F$1:$F$500&lt;&gt;"",ROW($1:$500),1000),ROW(BE280)))&amp;""</f>
        <v/>
      </c>
      <c r="BL280" s="6"/>
      <c r="BQ280" s="6" t="str">
        <f t="array" ref="BQ280">INDEX(BO:BO,SMALL(IF($F$1:$F$500&lt;&gt;"",ROW($1:$500),1000),ROW(BO280)))&amp;""</f>
        <v/>
      </c>
      <c r="BV280" s="6"/>
      <c r="CA280" s="6" t="str">
        <f t="array" ref="CA280">INDEX(BY:BY,SMALL(IF($F$1:$F$500&lt;&gt;"",ROW($1:$500),1000),ROW(BY280)))&amp;""</f>
        <v/>
      </c>
    </row>
    <row r="281" spans="1:79">
      <c r="A281" s="8" t="s">
        <v>3254</v>
      </c>
      <c r="B281" s="8" t="s">
        <v>1695</v>
      </c>
      <c r="C281" s="8" t="s">
        <v>494</v>
      </c>
      <c r="D281" s="9">
        <v>6</v>
      </c>
      <c r="F281" s="8" t="str">
        <f t="shared" si="20"/>
        <v/>
      </c>
      <c r="G281" s="8" t="str">
        <f>IF(AND(VLOOKUP(C281,查询!$C$8:$E$15,3,FALSE)="启用",$B$1=D281),B281,"")</f>
        <v/>
      </c>
      <c r="H281" s="6" t="str">
        <f t="array" ref="H281">INDEX(F:F,SMALL(IF($F$1:$F$500&lt;&gt;"",ROW($1:$500),1000),ROW(F281)))&amp;""</f>
        <v/>
      </c>
      <c r="I281" s="6" t="str">
        <f t="array" ref="I281">INDEX(G:G,SMALL(IF($F$1:$F$500&lt;&gt;"",ROW($1:$500),1000),ROW(G281)))&amp;""</f>
        <v/>
      </c>
      <c r="N281" s="6"/>
      <c r="S281" s="6" t="str">
        <f t="array" ref="S281">INDEX(Q:Q,SMALL(IF($F$1:$F$500&lt;&gt;"",ROW($1:$500),1000),ROW(Q281)))&amp;""</f>
        <v/>
      </c>
      <c r="X281" s="6"/>
      <c r="AC281" s="6" t="str">
        <f t="array" ref="AC281">INDEX(AA:AA,SMALL(IF($F$1:$F$500&lt;&gt;"",ROW($1:$500),1000),ROW(AA281)))&amp;""</f>
        <v/>
      </c>
      <c r="AH281" s="6"/>
      <c r="AM281" s="6" t="str">
        <f t="array" ref="AM281">INDEX(AK:AK,SMALL(IF($F$1:$F$500&lt;&gt;"",ROW($1:$500),1000),ROW(AK281)))&amp;""</f>
        <v/>
      </c>
      <c r="AW281" s="6" t="str">
        <f t="array" ref="AW281">INDEX(AU:AU,SMALL(IF($F$1:$F$500&lt;&gt;"",ROW($1:$500),1000),ROW(AU281)))&amp;""</f>
        <v/>
      </c>
      <c r="BG281" s="6" t="str">
        <f t="array" ref="BG281">INDEX(BE:BE,SMALL(IF($F$1:$F$500&lt;&gt;"",ROW($1:$500),1000),ROW(BE281)))&amp;""</f>
        <v/>
      </c>
      <c r="BL281" s="6"/>
      <c r="BQ281" s="6" t="str">
        <f t="array" ref="BQ281">INDEX(BO:BO,SMALL(IF($F$1:$F$500&lt;&gt;"",ROW($1:$500),1000),ROW(BO281)))&amp;""</f>
        <v/>
      </c>
      <c r="BV281" s="6"/>
      <c r="CA281" s="6" t="str">
        <f t="array" ref="CA281">INDEX(BY:BY,SMALL(IF($F$1:$F$500&lt;&gt;"",ROW($1:$500),1000),ROW(BY281)))&amp;""</f>
        <v/>
      </c>
    </row>
    <row r="282" spans="1:79">
      <c r="A282" s="8" t="s">
        <v>3259</v>
      </c>
      <c r="B282" s="8" t="s">
        <v>1697</v>
      </c>
      <c r="C282" s="8" t="s">
        <v>494</v>
      </c>
      <c r="D282" s="9">
        <v>6</v>
      </c>
      <c r="F282" s="8" t="str">
        <f t="shared" si="20"/>
        <v/>
      </c>
      <c r="G282" s="8" t="str">
        <f>IF(AND(VLOOKUP(C282,查询!$C$8:$E$15,3,FALSE)="启用",$B$1=D282),B282,"")</f>
        <v/>
      </c>
      <c r="H282" s="6" t="str">
        <f t="array" ref="H282">INDEX(F:F,SMALL(IF($F$1:$F$500&lt;&gt;"",ROW($1:$500),1000),ROW(F282)))&amp;""</f>
        <v/>
      </c>
      <c r="I282" s="6" t="str">
        <f t="array" ref="I282">INDEX(G:G,SMALL(IF($F$1:$F$500&lt;&gt;"",ROW($1:$500),1000),ROW(G282)))&amp;""</f>
        <v/>
      </c>
      <c r="N282" s="6"/>
      <c r="S282" s="6" t="str">
        <f t="array" ref="S282">INDEX(Q:Q,SMALL(IF($F$1:$F$500&lt;&gt;"",ROW($1:$500),1000),ROW(Q282)))&amp;""</f>
        <v/>
      </c>
      <c r="X282" s="6"/>
      <c r="AC282" s="6" t="str">
        <f t="array" ref="AC282">INDEX(AA:AA,SMALL(IF($F$1:$F$500&lt;&gt;"",ROW($1:$500),1000),ROW(AA282)))&amp;""</f>
        <v/>
      </c>
      <c r="AH282" s="6"/>
      <c r="AM282" s="6" t="str">
        <f t="array" ref="AM282">INDEX(AK:AK,SMALL(IF($F$1:$F$500&lt;&gt;"",ROW($1:$500),1000),ROW(AK282)))&amp;""</f>
        <v/>
      </c>
      <c r="AW282" s="6" t="str">
        <f t="array" ref="AW282">INDEX(AU:AU,SMALL(IF($F$1:$F$500&lt;&gt;"",ROW($1:$500),1000),ROW(AU282)))&amp;""</f>
        <v/>
      </c>
      <c r="BG282" s="6" t="str">
        <f t="array" ref="BG282">INDEX(BE:BE,SMALL(IF($F$1:$F$500&lt;&gt;"",ROW($1:$500),1000),ROW(BE282)))&amp;""</f>
        <v/>
      </c>
      <c r="BL282" s="6"/>
      <c r="BQ282" s="6" t="str">
        <f t="array" ref="BQ282">INDEX(BO:BO,SMALL(IF($F$1:$F$500&lt;&gt;"",ROW($1:$500),1000),ROW(BO282)))&amp;""</f>
        <v/>
      </c>
      <c r="BV282" s="6"/>
      <c r="CA282" s="6" t="str">
        <f t="array" ref="CA282">INDEX(BY:BY,SMALL(IF($F$1:$F$500&lt;&gt;"",ROW($1:$500),1000),ROW(BY282)))&amp;""</f>
        <v/>
      </c>
    </row>
    <row r="283" spans="1:79">
      <c r="A283" s="8" t="s">
        <v>3284</v>
      </c>
      <c r="B283" s="8" t="s">
        <v>1267</v>
      </c>
      <c r="C283" s="8" t="s">
        <v>1249</v>
      </c>
      <c r="D283" s="9">
        <v>7</v>
      </c>
      <c r="F283" s="8" t="str">
        <f t="shared" si="20"/>
        <v/>
      </c>
      <c r="G283" s="8" t="str">
        <f>IF(AND(VLOOKUP(C283,查询!$C$8:$E$15,3,FALSE)="启用",$B$1=D283),B283,"")</f>
        <v/>
      </c>
      <c r="H283" s="6" t="str">
        <f t="array" ref="H283">INDEX(F:F,SMALL(IF($F$1:$F$500&lt;&gt;"",ROW($1:$500),1000),ROW(F283)))&amp;""</f>
        <v/>
      </c>
      <c r="I283" s="6" t="str">
        <f t="array" ref="I283">INDEX(G:G,SMALL(IF($F$1:$F$500&lt;&gt;"",ROW($1:$500),1000),ROW(G283)))&amp;""</f>
        <v/>
      </c>
      <c r="N283" s="6"/>
      <c r="S283" s="6" t="str">
        <f t="array" ref="S283">INDEX(Q:Q,SMALL(IF($F$1:$F$500&lt;&gt;"",ROW($1:$500),1000),ROW(Q283)))&amp;""</f>
        <v/>
      </c>
      <c r="X283" s="6"/>
      <c r="AC283" s="6" t="str">
        <f t="array" ref="AC283">INDEX(AA:AA,SMALL(IF($F$1:$F$500&lt;&gt;"",ROW($1:$500),1000),ROW(AA283)))&amp;""</f>
        <v/>
      </c>
      <c r="AH283" s="6"/>
      <c r="AM283" s="6" t="str">
        <f t="array" ref="AM283">INDEX(AK:AK,SMALL(IF($F$1:$F$500&lt;&gt;"",ROW($1:$500),1000),ROW(AK283)))&amp;""</f>
        <v/>
      </c>
      <c r="AW283" s="6" t="str">
        <f t="array" ref="AW283">INDEX(AU:AU,SMALL(IF($F$1:$F$500&lt;&gt;"",ROW($1:$500),1000),ROW(AU283)))&amp;""</f>
        <v/>
      </c>
      <c r="BG283" s="6" t="str">
        <f t="array" ref="BG283">INDEX(BE:BE,SMALL(IF($F$1:$F$500&lt;&gt;"",ROW($1:$500),1000),ROW(BE283)))&amp;""</f>
        <v/>
      </c>
      <c r="BL283" s="6"/>
      <c r="BQ283" s="6" t="str">
        <f t="array" ref="BQ283">INDEX(BO:BO,SMALL(IF($F$1:$F$500&lt;&gt;"",ROW($1:$500),1000),ROW(BO283)))&amp;""</f>
        <v/>
      </c>
      <c r="BV283" s="6"/>
      <c r="CA283" s="6" t="str">
        <f t="array" ref="CA283">INDEX(BY:BY,SMALL(IF($F$1:$F$500&lt;&gt;"",ROW($1:$500),1000),ROW(BY283)))&amp;""</f>
        <v/>
      </c>
    </row>
    <row r="284" spans="1:79">
      <c r="A284" s="8" t="s">
        <v>3287</v>
      </c>
      <c r="B284" s="8" t="s">
        <v>1272</v>
      </c>
      <c r="C284" s="8" t="s">
        <v>1249</v>
      </c>
      <c r="D284" s="9">
        <v>7</v>
      </c>
      <c r="F284" s="8" t="str">
        <f t="shared" si="20"/>
        <v/>
      </c>
      <c r="G284" s="8" t="str">
        <f>IF(AND(VLOOKUP(C284,查询!$C$8:$E$15,3,FALSE)="启用",$B$1=D284),B284,"")</f>
        <v/>
      </c>
      <c r="H284" s="6" t="str">
        <f t="array" ref="H284">INDEX(F:F,SMALL(IF($F$1:$F$500&lt;&gt;"",ROW($1:$500),1000),ROW(F284)))&amp;""</f>
        <v/>
      </c>
      <c r="I284" s="6" t="str">
        <f t="array" ref="I284">INDEX(G:G,SMALL(IF($F$1:$F$500&lt;&gt;"",ROW($1:$500),1000),ROW(G284)))&amp;""</f>
        <v/>
      </c>
      <c r="N284" s="6"/>
      <c r="S284" s="6" t="str">
        <f t="array" ref="S284">INDEX(Q:Q,SMALL(IF($F$1:$F$500&lt;&gt;"",ROW($1:$500),1000),ROW(Q284)))&amp;""</f>
        <v/>
      </c>
      <c r="X284" s="6"/>
      <c r="AC284" s="6" t="str">
        <f t="array" ref="AC284">INDEX(AA:AA,SMALL(IF($F$1:$F$500&lt;&gt;"",ROW($1:$500),1000),ROW(AA284)))&amp;""</f>
        <v/>
      </c>
      <c r="AH284" s="6"/>
      <c r="AM284" s="6" t="str">
        <f t="array" ref="AM284">INDEX(AK:AK,SMALL(IF($F$1:$F$500&lt;&gt;"",ROW($1:$500),1000),ROW(AK284)))&amp;""</f>
        <v/>
      </c>
      <c r="AW284" s="6" t="str">
        <f t="array" ref="AW284">INDEX(AU:AU,SMALL(IF($F$1:$F$500&lt;&gt;"",ROW($1:$500),1000),ROW(AU284)))&amp;""</f>
        <v/>
      </c>
      <c r="BG284" s="6" t="str">
        <f t="array" ref="BG284">INDEX(BE:BE,SMALL(IF($F$1:$F$500&lt;&gt;"",ROW($1:$500),1000),ROW(BE284)))&amp;""</f>
        <v/>
      </c>
      <c r="BL284" s="6"/>
      <c r="BQ284" s="6" t="str">
        <f t="array" ref="BQ284">INDEX(BO:BO,SMALL(IF($F$1:$F$500&lt;&gt;"",ROW($1:$500),1000),ROW(BO284)))&amp;""</f>
        <v/>
      </c>
      <c r="BV284" s="6"/>
      <c r="CA284" s="6" t="str">
        <f t="array" ref="CA284">INDEX(BY:BY,SMALL(IF($F$1:$F$500&lt;&gt;"",ROW($1:$500),1000),ROW(BY284)))&amp;""</f>
        <v/>
      </c>
    </row>
    <row r="285" spans="1:79">
      <c r="A285" s="8" t="s">
        <v>3299</v>
      </c>
      <c r="B285" s="8" t="s">
        <v>1392</v>
      </c>
      <c r="C285" s="8" t="s">
        <v>494</v>
      </c>
      <c r="D285" s="9">
        <v>7</v>
      </c>
      <c r="F285" s="8" t="str">
        <f t="shared" si="20"/>
        <v/>
      </c>
      <c r="G285" s="8" t="str">
        <f>IF(AND(VLOOKUP(C285,查询!$C$8:$E$15,3,FALSE)="启用",$B$1=D285),B285,"")</f>
        <v/>
      </c>
      <c r="H285" s="6" t="str">
        <f t="array" ref="H285">INDEX(F:F,SMALL(IF($F$1:$F$500&lt;&gt;"",ROW($1:$500),1000),ROW(F285)))&amp;""</f>
        <v/>
      </c>
      <c r="I285" s="6" t="str">
        <f t="array" ref="I285">INDEX(G:G,SMALL(IF($F$1:$F$500&lt;&gt;"",ROW($1:$500),1000),ROW(G285)))&amp;""</f>
        <v/>
      </c>
      <c r="N285" s="6"/>
      <c r="S285" s="6" t="str">
        <f t="array" ref="S285">INDEX(Q:Q,SMALL(IF($F$1:$F$500&lt;&gt;"",ROW($1:$500),1000),ROW(Q285)))&amp;""</f>
        <v/>
      </c>
      <c r="X285" s="6"/>
      <c r="AC285" s="6" t="str">
        <f t="array" ref="AC285">INDEX(AA:AA,SMALL(IF($F$1:$F$500&lt;&gt;"",ROW($1:$500),1000),ROW(AA285)))&amp;""</f>
        <v/>
      </c>
      <c r="AH285" s="6"/>
      <c r="AM285" s="6" t="str">
        <f t="array" ref="AM285">INDEX(AK:AK,SMALL(IF($F$1:$F$500&lt;&gt;"",ROW($1:$500),1000),ROW(AK285)))&amp;""</f>
        <v/>
      </c>
      <c r="AW285" s="6" t="str">
        <f t="array" ref="AW285">INDEX(AU:AU,SMALL(IF($F$1:$F$500&lt;&gt;"",ROW($1:$500),1000),ROW(AU285)))&amp;""</f>
        <v/>
      </c>
      <c r="BG285" s="6" t="str">
        <f t="array" ref="BG285">INDEX(BE:BE,SMALL(IF($F$1:$F$500&lt;&gt;"",ROW($1:$500),1000),ROW(BE285)))&amp;""</f>
        <v/>
      </c>
      <c r="BL285" s="6"/>
      <c r="BQ285" s="6" t="str">
        <f t="array" ref="BQ285">INDEX(BO:BO,SMALL(IF($F$1:$F$500&lt;&gt;"",ROW($1:$500),1000),ROW(BO285)))&amp;""</f>
        <v/>
      </c>
      <c r="BV285" s="6"/>
      <c r="CA285" s="6" t="str">
        <f t="array" ref="CA285">INDEX(BY:BY,SMALL(IF($F$1:$F$500&lt;&gt;"",ROW($1:$500),1000),ROW(BY285)))&amp;""</f>
        <v/>
      </c>
    </row>
    <row r="286" spans="1:79">
      <c r="A286" s="8" t="s">
        <v>3302</v>
      </c>
      <c r="B286" s="8" t="s">
        <v>1409</v>
      </c>
      <c r="C286" s="8" t="s">
        <v>494</v>
      </c>
      <c r="D286" s="9">
        <v>7</v>
      </c>
      <c r="F286" s="8" t="str">
        <f t="shared" si="20"/>
        <v/>
      </c>
      <c r="G286" s="8" t="str">
        <f>IF(AND(VLOOKUP(C286,查询!$C$8:$E$15,3,FALSE)="启用",$B$1=D286),B286,"")</f>
        <v/>
      </c>
      <c r="H286" s="6" t="str">
        <f t="array" ref="H286">INDEX(F:F,SMALL(IF($F$1:$F$500&lt;&gt;"",ROW($1:$500),1000),ROW(F286)))&amp;""</f>
        <v/>
      </c>
      <c r="I286" s="6" t="str">
        <f t="array" ref="I286">INDEX(G:G,SMALL(IF($F$1:$F$500&lt;&gt;"",ROW($1:$500),1000),ROW(G286)))&amp;""</f>
        <v/>
      </c>
      <c r="N286" s="6"/>
      <c r="S286" s="6" t="str">
        <f t="array" ref="S286">INDEX(Q:Q,SMALL(IF($F$1:$F$500&lt;&gt;"",ROW($1:$500),1000),ROW(Q286)))&amp;""</f>
        <v/>
      </c>
      <c r="X286" s="6"/>
      <c r="AC286" s="6" t="str">
        <f t="array" ref="AC286">INDEX(AA:AA,SMALL(IF($F$1:$F$500&lt;&gt;"",ROW($1:$500),1000),ROW(AA286)))&amp;""</f>
        <v/>
      </c>
      <c r="AH286" s="6"/>
      <c r="AM286" s="6" t="str">
        <f t="array" ref="AM286">INDEX(AK:AK,SMALL(IF($F$1:$F$500&lt;&gt;"",ROW($1:$500),1000),ROW(AK286)))&amp;""</f>
        <v/>
      </c>
      <c r="AW286" s="6" t="str">
        <f t="array" ref="AW286">INDEX(AU:AU,SMALL(IF($F$1:$F$500&lt;&gt;"",ROW($1:$500),1000),ROW(AU286)))&amp;""</f>
        <v/>
      </c>
      <c r="BG286" s="6" t="str">
        <f t="array" ref="BG286">INDEX(BE:BE,SMALL(IF($F$1:$F$500&lt;&gt;"",ROW($1:$500),1000),ROW(BE286)))&amp;""</f>
        <v/>
      </c>
      <c r="BL286" s="6"/>
      <c r="BQ286" s="6" t="str">
        <f t="array" ref="BQ286">INDEX(BO:BO,SMALL(IF($F$1:$F$500&lt;&gt;"",ROW($1:$500),1000),ROW(BO286)))&amp;""</f>
        <v/>
      </c>
      <c r="BV286" s="6"/>
      <c r="CA286" s="6" t="str">
        <f t="array" ref="CA286">INDEX(BY:BY,SMALL(IF($F$1:$F$500&lt;&gt;"",ROW($1:$500),1000),ROW(BY286)))&amp;""</f>
        <v/>
      </c>
    </row>
    <row r="287" spans="1:79">
      <c r="A287" s="8" t="s">
        <v>3306</v>
      </c>
      <c r="B287" s="8" t="s">
        <v>1423</v>
      </c>
      <c r="C287" s="8" t="s">
        <v>494</v>
      </c>
      <c r="D287" s="9">
        <v>7</v>
      </c>
      <c r="F287" s="8" t="str">
        <f t="shared" si="20"/>
        <v/>
      </c>
      <c r="G287" s="8" t="str">
        <f>IF(AND(VLOOKUP(C287,查询!$C$8:$E$15,3,FALSE)="启用",$B$1=D287),B287,"")</f>
        <v/>
      </c>
      <c r="H287" s="6" t="str">
        <f t="array" ref="H287">INDEX(F:F,SMALL(IF($F$1:$F$500&lt;&gt;"",ROW($1:$500),1000),ROW(F287)))&amp;""</f>
        <v/>
      </c>
      <c r="I287" s="6" t="str">
        <f t="array" ref="I287">INDEX(G:G,SMALL(IF($F$1:$F$500&lt;&gt;"",ROW($1:$500),1000),ROW(G287)))&amp;""</f>
        <v/>
      </c>
      <c r="N287" s="6"/>
      <c r="S287" s="6" t="str">
        <f t="array" ref="S287">INDEX(Q:Q,SMALL(IF($F$1:$F$500&lt;&gt;"",ROW($1:$500),1000),ROW(Q287)))&amp;""</f>
        <v/>
      </c>
      <c r="X287" s="6"/>
      <c r="AC287" s="6" t="str">
        <f t="array" ref="AC287">INDEX(AA:AA,SMALL(IF($F$1:$F$500&lt;&gt;"",ROW($1:$500),1000),ROW(AA287)))&amp;""</f>
        <v/>
      </c>
      <c r="AH287" s="6"/>
      <c r="AM287" s="6" t="str">
        <f t="array" ref="AM287">INDEX(AK:AK,SMALL(IF($F$1:$F$500&lt;&gt;"",ROW($1:$500),1000),ROW(AK287)))&amp;""</f>
        <v/>
      </c>
      <c r="AW287" s="6" t="str">
        <f t="array" ref="AW287">INDEX(AU:AU,SMALL(IF($F$1:$F$500&lt;&gt;"",ROW($1:$500),1000),ROW(AU287)))&amp;""</f>
        <v/>
      </c>
      <c r="BG287" s="6" t="str">
        <f t="array" ref="BG287">INDEX(BE:BE,SMALL(IF($F$1:$F$500&lt;&gt;"",ROW($1:$500),1000),ROW(BE287)))&amp;""</f>
        <v/>
      </c>
      <c r="BL287" s="6"/>
      <c r="BQ287" s="6" t="str">
        <f t="array" ref="BQ287">INDEX(BO:BO,SMALL(IF($F$1:$F$500&lt;&gt;"",ROW($1:$500),1000),ROW(BO287)))&amp;""</f>
        <v/>
      </c>
      <c r="BV287" s="6"/>
      <c r="CA287" s="6" t="str">
        <f t="array" ref="CA287">INDEX(BY:BY,SMALL(IF($F$1:$F$500&lt;&gt;"",ROW($1:$500),1000),ROW(BY287)))&amp;""</f>
        <v/>
      </c>
    </row>
    <row r="288" spans="1:79">
      <c r="A288" s="8" t="s">
        <v>3308</v>
      </c>
      <c r="B288" s="8" t="s">
        <v>1435</v>
      </c>
      <c r="C288" s="8" t="s">
        <v>494</v>
      </c>
      <c r="D288" s="9">
        <v>7</v>
      </c>
      <c r="F288" s="8" t="str">
        <f t="shared" si="20"/>
        <v/>
      </c>
      <c r="G288" s="8" t="str">
        <f>IF(AND(VLOOKUP(C288,查询!$C$8:$E$15,3,FALSE)="启用",$B$1=D288),B288,"")</f>
        <v/>
      </c>
      <c r="H288" s="6" t="str">
        <f t="array" ref="H288">INDEX(F:F,SMALL(IF($F$1:$F$500&lt;&gt;"",ROW($1:$500),1000),ROW(F288)))&amp;""</f>
        <v/>
      </c>
      <c r="I288" s="6" t="str">
        <f t="array" ref="I288">INDEX(G:G,SMALL(IF($F$1:$F$500&lt;&gt;"",ROW($1:$500),1000),ROW(G288)))&amp;""</f>
        <v/>
      </c>
      <c r="N288" s="6"/>
      <c r="S288" s="6" t="str">
        <f t="array" ref="S288">INDEX(Q:Q,SMALL(IF($F$1:$F$500&lt;&gt;"",ROW($1:$500),1000),ROW(Q288)))&amp;""</f>
        <v/>
      </c>
      <c r="X288" s="6"/>
      <c r="AC288" s="6" t="str">
        <f t="array" ref="AC288">INDEX(AA:AA,SMALL(IF($F$1:$F$500&lt;&gt;"",ROW($1:$500),1000),ROW(AA288)))&amp;""</f>
        <v/>
      </c>
      <c r="AH288" s="6"/>
      <c r="AM288" s="6" t="str">
        <f t="array" ref="AM288">INDEX(AK:AK,SMALL(IF($F$1:$F$500&lt;&gt;"",ROW($1:$500),1000),ROW(AK288)))&amp;""</f>
        <v/>
      </c>
      <c r="AW288" s="6" t="str">
        <f t="array" ref="AW288">INDEX(AU:AU,SMALL(IF($F$1:$F$500&lt;&gt;"",ROW($1:$500),1000),ROW(AU288)))&amp;""</f>
        <v/>
      </c>
      <c r="BG288" s="6" t="str">
        <f t="array" ref="BG288">INDEX(BE:BE,SMALL(IF($F$1:$F$500&lt;&gt;"",ROW($1:$500),1000),ROW(BE288)))&amp;""</f>
        <v/>
      </c>
      <c r="BL288" s="6"/>
      <c r="BQ288" s="6" t="str">
        <f t="array" ref="BQ288">INDEX(BO:BO,SMALL(IF($F$1:$F$500&lt;&gt;"",ROW($1:$500),1000),ROW(BO288)))&amp;""</f>
        <v/>
      </c>
      <c r="BV288" s="6"/>
      <c r="CA288" s="6" t="str">
        <f t="array" ref="CA288">INDEX(BY:BY,SMALL(IF($F$1:$F$500&lt;&gt;"",ROW($1:$500),1000),ROW(BY288)))&amp;""</f>
        <v/>
      </c>
    </row>
    <row r="289" spans="1:79">
      <c r="A289" s="8" t="s">
        <v>3313</v>
      </c>
      <c r="B289" s="8" t="s">
        <v>1477</v>
      </c>
      <c r="C289" s="8" t="s">
        <v>494</v>
      </c>
      <c r="D289" s="9">
        <v>7</v>
      </c>
      <c r="F289" s="8" t="str">
        <f t="shared" si="20"/>
        <v/>
      </c>
      <c r="G289" s="8" t="str">
        <f>IF(AND(VLOOKUP(C289,查询!$C$8:$E$15,3,FALSE)="启用",$B$1=D289),B289,"")</f>
        <v/>
      </c>
      <c r="H289" s="6" t="str">
        <f t="array" ref="H289">INDEX(F:F,SMALL(IF($F$1:$F$500&lt;&gt;"",ROW($1:$500),1000),ROW(F289)))&amp;""</f>
        <v/>
      </c>
      <c r="I289" s="6" t="str">
        <f t="array" ref="I289">INDEX(G:G,SMALL(IF($F$1:$F$500&lt;&gt;"",ROW($1:$500),1000),ROW(G289)))&amp;""</f>
        <v/>
      </c>
      <c r="N289" s="6"/>
      <c r="S289" s="6" t="str">
        <f t="array" ref="S289">INDEX(Q:Q,SMALL(IF($F$1:$F$500&lt;&gt;"",ROW($1:$500),1000),ROW(Q289)))&amp;""</f>
        <v/>
      </c>
      <c r="X289" s="6"/>
      <c r="AC289" s="6" t="str">
        <f t="array" ref="AC289">INDEX(AA:AA,SMALL(IF($F$1:$F$500&lt;&gt;"",ROW($1:$500),1000),ROW(AA289)))&amp;""</f>
        <v/>
      </c>
      <c r="AH289" s="6"/>
      <c r="AM289" s="6" t="str">
        <f t="array" ref="AM289">INDEX(AK:AK,SMALL(IF($F$1:$F$500&lt;&gt;"",ROW($1:$500),1000),ROW(AK289)))&amp;""</f>
        <v/>
      </c>
      <c r="AW289" s="6" t="str">
        <f t="array" ref="AW289">INDEX(AU:AU,SMALL(IF($F$1:$F$500&lt;&gt;"",ROW($1:$500),1000),ROW(AU289)))&amp;""</f>
        <v/>
      </c>
      <c r="BG289" s="6" t="str">
        <f t="array" ref="BG289">INDEX(BE:BE,SMALL(IF($F$1:$F$500&lt;&gt;"",ROW($1:$500),1000),ROW(BE289)))&amp;""</f>
        <v/>
      </c>
      <c r="BL289" s="6"/>
      <c r="BQ289" s="6" t="str">
        <f t="array" ref="BQ289">INDEX(BO:BO,SMALL(IF($F$1:$F$500&lt;&gt;"",ROW($1:$500),1000),ROW(BO289)))&amp;""</f>
        <v/>
      </c>
      <c r="BV289" s="6"/>
      <c r="CA289" s="6" t="str">
        <f t="array" ref="CA289">INDEX(BY:BY,SMALL(IF($F$1:$F$500&lt;&gt;"",ROW($1:$500),1000),ROW(BY289)))&amp;""</f>
        <v/>
      </c>
    </row>
    <row r="290" spans="1:79">
      <c r="A290" s="8" t="s">
        <v>3315</v>
      </c>
      <c r="B290" s="8" t="s">
        <v>1481</v>
      </c>
      <c r="C290" s="8" t="s">
        <v>494</v>
      </c>
      <c r="D290" s="9">
        <v>7</v>
      </c>
      <c r="F290" s="8" t="str">
        <f t="shared" si="20"/>
        <v/>
      </c>
      <c r="G290" s="8" t="str">
        <f>IF(AND(VLOOKUP(C290,查询!$C$8:$E$15,3,FALSE)="启用",$B$1=D290),B290,"")</f>
        <v/>
      </c>
      <c r="H290" s="6" t="str">
        <f t="array" ref="H290">INDEX(F:F,SMALL(IF($F$1:$F$500&lt;&gt;"",ROW($1:$500),1000),ROW(F290)))&amp;""</f>
        <v/>
      </c>
      <c r="I290" s="6" t="str">
        <f t="array" ref="I290">INDEX(G:G,SMALL(IF($F$1:$F$500&lt;&gt;"",ROW($1:$500),1000),ROW(G290)))&amp;""</f>
        <v/>
      </c>
      <c r="N290" s="6"/>
      <c r="S290" s="6" t="str">
        <f t="array" ref="S290">INDEX(Q:Q,SMALL(IF($F$1:$F$500&lt;&gt;"",ROW($1:$500),1000),ROW(Q290)))&amp;""</f>
        <v/>
      </c>
      <c r="X290" s="6"/>
      <c r="AC290" s="6" t="str">
        <f t="array" ref="AC290">INDEX(AA:AA,SMALL(IF($F$1:$F$500&lt;&gt;"",ROW($1:$500),1000),ROW(AA290)))&amp;""</f>
        <v/>
      </c>
      <c r="AH290" s="6"/>
      <c r="AM290" s="6" t="str">
        <f t="array" ref="AM290">INDEX(AK:AK,SMALL(IF($F$1:$F$500&lt;&gt;"",ROW($1:$500),1000),ROW(AK290)))&amp;""</f>
        <v/>
      </c>
      <c r="AW290" s="6" t="str">
        <f t="array" ref="AW290">INDEX(AU:AU,SMALL(IF($F$1:$F$500&lt;&gt;"",ROW($1:$500),1000),ROW(AU290)))&amp;""</f>
        <v/>
      </c>
      <c r="BG290" s="6" t="str">
        <f t="array" ref="BG290">INDEX(BE:BE,SMALL(IF($F$1:$F$500&lt;&gt;"",ROW($1:$500),1000),ROW(BE290)))&amp;""</f>
        <v/>
      </c>
      <c r="BL290" s="6"/>
      <c r="BQ290" s="6" t="str">
        <f t="array" ref="BQ290">INDEX(BO:BO,SMALL(IF($F$1:$F$500&lt;&gt;"",ROW($1:$500),1000),ROW(BO290)))&amp;""</f>
        <v/>
      </c>
      <c r="BV290" s="6"/>
      <c r="CA290" s="6" t="str">
        <f t="array" ref="CA290">INDEX(BY:BY,SMALL(IF($F$1:$F$500&lt;&gt;"",ROW($1:$500),1000),ROW(BY290)))&amp;""</f>
        <v/>
      </c>
    </row>
    <row r="291" spans="1:79">
      <c r="A291" s="8" t="s">
        <v>3319</v>
      </c>
      <c r="B291" s="8" t="s">
        <v>1493</v>
      </c>
      <c r="C291" s="8" t="s">
        <v>494</v>
      </c>
      <c r="D291" s="9">
        <v>7</v>
      </c>
      <c r="F291" s="8" t="str">
        <f t="shared" si="20"/>
        <v/>
      </c>
      <c r="G291" s="8" t="str">
        <f>IF(AND(VLOOKUP(C291,查询!$C$8:$E$15,3,FALSE)="启用",$B$1=D291),B291,"")</f>
        <v/>
      </c>
      <c r="H291" s="6" t="str">
        <f t="array" ref="H291">INDEX(F:F,SMALL(IF($F$1:$F$500&lt;&gt;"",ROW($1:$500),1000),ROW(F291)))&amp;""</f>
        <v/>
      </c>
      <c r="I291" s="6" t="str">
        <f t="array" ref="I291">INDEX(G:G,SMALL(IF($F$1:$F$500&lt;&gt;"",ROW($1:$500),1000),ROW(G291)))&amp;""</f>
        <v/>
      </c>
      <c r="N291" s="6"/>
      <c r="S291" s="6" t="str">
        <f t="array" ref="S291">INDEX(Q:Q,SMALL(IF($F$1:$F$500&lt;&gt;"",ROW($1:$500),1000),ROW(Q291)))&amp;""</f>
        <v/>
      </c>
      <c r="X291" s="6"/>
      <c r="AC291" s="6" t="str">
        <f t="array" ref="AC291">INDEX(AA:AA,SMALL(IF($F$1:$F$500&lt;&gt;"",ROW($1:$500),1000),ROW(AA291)))&amp;""</f>
        <v/>
      </c>
      <c r="AH291" s="6"/>
      <c r="AM291" s="6" t="str">
        <f t="array" ref="AM291">INDEX(AK:AK,SMALL(IF($F$1:$F$500&lt;&gt;"",ROW($1:$500),1000),ROW(AK291)))&amp;""</f>
        <v/>
      </c>
      <c r="AW291" s="6" t="str">
        <f t="array" ref="AW291">INDEX(AU:AU,SMALL(IF($F$1:$F$500&lt;&gt;"",ROW($1:$500),1000),ROW(AU291)))&amp;""</f>
        <v/>
      </c>
      <c r="BG291" s="6" t="str">
        <f t="array" ref="BG291">INDEX(BE:BE,SMALL(IF($F$1:$F$500&lt;&gt;"",ROW($1:$500),1000),ROW(BE291)))&amp;""</f>
        <v/>
      </c>
      <c r="BL291" s="6"/>
      <c r="BQ291" s="6" t="str">
        <f t="array" ref="BQ291">INDEX(BO:BO,SMALL(IF($F$1:$F$500&lt;&gt;"",ROW($1:$500),1000),ROW(BO291)))&amp;""</f>
        <v/>
      </c>
      <c r="BV291" s="6"/>
      <c r="CA291" s="6" t="str">
        <f t="array" ref="CA291">INDEX(BY:BY,SMALL(IF($F$1:$F$500&lt;&gt;"",ROW($1:$500),1000),ROW(BY291)))&amp;""</f>
        <v/>
      </c>
    </row>
    <row r="292" spans="1:79">
      <c r="A292" s="8" t="s">
        <v>3333</v>
      </c>
      <c r="B292" s="8" t="s">
        <v>1524</v>
      </c>
      <c r="C292" s="8" t="s">
        <v>494</v>
      </c>
      <c r="D292" s="9">
        <v>7</v>
      </c>
      <c r="F292" s="8" t="str">
        <f t="shared" si="20"/>
        <v/>
      </c>
      <c r="G292" s="8" t="str">
        <f>IF(AND(VLOOKUP(C292,查询!$C$8:$E$15,3,FALSE)="启用",$B$1=D292),B292,"")</f>
        <v/>
      </c>
      <c r="H292" s="6" t="str">
        <f t="array" ref="H292">INDEX(F:F,SMALL(IF($F$1:$F$500&lt;&gt;"",ROW($1:$500),1000),ROW(F292)))&amp;""</f>
        <v/>
      </c>
      <c r="I292" s="6" t="str">
        <f t="array" ref="I292">INDEX(G:G,SMALL(IF($F$1:$F$500&lt;&gt;"",ROW($1:$500),1000),ROW(G292)))&amp;""</f>
        <v/>
      </c>
      <c r="N292" s="6"/>
      <c r="S292" s="6" t="str">
        <f t="array" ref="S292">INDEX(Q:Q,SMALL(IF($F$1:$F$500&lt;&gt;"",ROW($1:$500),1000),ROW(Q292)))&amp;""</f>
        <v/>
      </c>
      <c r="X292" s="6"/>
      <c r="AC292" s="6" t="str">
        <f t="array" ref="AC292">INDEX(AA:AA,SMALL(IF($F$1:$F$500&lt;&gt;"",ROW($1:$500),1000),ROW(AA292)))&amp;""</f>
        <v/>
      </c>
      <c r="AH292" s="6"/>
      <c r="AM292" s="6" t="str">
        <f t="array" ref="AM292">INDEX(AK:AK,SMALL(IF($F$1:$F$500&lt;&gt;"",ROW($1:$500),1000),ROW(AK292)))&amp;""</f>
        <v/>
      </c>
      <c r="AW292" s="6" t="str">
        <f t="array" ref="AW292">INDEX(AU:AU,SMALL(IF($F$1:$F$500&lt;&gt;"",ROW($1:$500),1000),ROW(AU292)))&amp;""</f>
        <v/>
      </c>
      <c r="BG292" s="6" t="str">
        <f t="array" ref="BG292">INDEX(BE:BE,SMALL(IF($F$1:$F$500&lt;&gt;"",ROW($1:$500),1000),ROW(BE292)))&amp;""</f>
        <v/>
      </c>
      <c r="BL292" s="6"/>
      <c r="BQ292" s="6" t="str">
        <f t="array" ref="BQ292">INDEX(BO:BO,SMALL(IF($F$1:$F$500&lt;&gt;"",ROW($1:$500),1000),ROW(BO292)))&amp;""</f>
        <v/>
      </c>
      <c r="BV292" s="6"/>
      <c r="CA292" s="6" t="str">
        <f t="array" ref="CA292">INDEX(BY:BY,SMALL(IF($F$1:$F$500&lt;&gt;"",ROW($1:$500),1000),ROW(BY292)))&amp;""</f>
        <v/>
      </c>
    </row>
    <row r="293" spans="1:79">
      <c r="A293" s="8" t="s">
        <v>3337</v>
      </c>
      <c r="B293" s="8" t="s">
        <v>1525</v>
      </c>
      <c r="C293" s="8" t="s">
        <v>494</v>
      </c>
      <c r="D293" s="9">
        <v>7</v>
      </c>
      <c r="F293" s="8" t="str">
        <f t="shared" si="20"/>
        <v/>
      </c>
      <c r="G293" s="8" t="str">
        <f>IF(AND(VLOOKUP(C293,查询!$C$8:$E$15,3,FALSE)="启用",$B$1=D293),B293,"")</f>
        <v/>
      </c>
      <c r="H293" s="6" t="str">
        <f t="array" ref="H293">INDEX(F:F,SMALL(IF($F$1:$F$500&lt;&gt;"",ROW($1:$500),1000),ROW(F293)))&amp;""</f>
        <v/>
      </c>
      <c r="I293" s="6" t="str">
        <f t="array" ref="I293">INDEX(G:G,SMALL(IF($F$1:$F$500&lt;&gt;"",ROW($1:$500),1000),ROW(G293)))&amp;""</f>
        <v/>
      </c>
      <c r="N293" s="6"/>
      <c r="S293" s="6" t="str">
        <f t="array" ref="S293">INDEX(Q:Q,SMALL(IF($F$1:$F$500&lt;&gt;"",ROW($1:$500),1000),ROW(Q293)))&amp;""</f>
        <v/>
      </c>
      <c r="X293" s="6"/>
      <c r="AC293" s="6" t="str">
        <f t="array" ref="AC293">INDEX(AA:AA,SMALL(IF($F$1:$F$500&lt;&gt;"",ROW($1:$500),1000),ROW(AA293)))&amp;""</f>
        <v/>
      </c>
      <c r="AH293" s="6"/>
      <c r="AM293" s="6" t="str">
        <f t="array" ref="AM293">INDEX(AK:AK,SMALL(IF($F$1:$F$500&lt;&gt;"",ROW($1:$500),1000),ROW(AK293)))&amp;""</f>
        <v/>
      </c>
      <c r="AW293" s="6" t="str">
        <f t="array" ref="AW293">INDEX(AU:AU,SMALL(IF($F$1:$F$500&lt;&gt;"",ROW($1:$500),1000),ROW(AU293)))&amp;""</f>
        <v/>
      </c>
      <c r="BG293" s="6" t="str">
        <f t="array" ref="BG293">INDEX(BE:BE,SMALL(IF($F$1:$F$500&lt;&gt;"",ROW($1:$500),1000),ROW(BE293)))&amp;""</f>
        <v/>
      </c>
      <c r="BL293" s="6"/>
      <c r="BQ293" s="6" t="str">
        <f t="array" ref="BQ293">INDEX(BO:BO,SMALL(IF($F$1:$F$500&lt;&gt;"",ROW($1:$500),1000),ROW(BO293)))&amp;""</f>
        <v/>
      </c>
      <c r="BV293" s="6"/>
      <c r="CA293" s="6" t="str">
        <f t="array" ref="CA293">INDEX(BY:BY,SMALL(IF($F$1:$F$500&lt;&gt;"",ROW($1:$500),1000),ROW(BY293)))&amp;""</f>
        <v/>
      </c>
    </row>
    <row r="294" spans="1:79">
      <c r="A294" s="8" t="s">
        <v>3341</v>
      </c>
      <c r="B294" s="8" t="s">
        <v>1528</v>
      </c>
      <c r="C294" s="8" t="s">
        <v>494</v>
      </c>
      <c r="D294" s="9">
        <v>7</v>
      </c>
      <c r="F294" s="8" t="str">
        <f t="shared" si="20"/>
        <v/>
      </c>
      <c r="G294" s="8" t="str">
        <f>IF(AND(VLOOKUP(C294,查询!$C$8:$E$15,3,FALSE)="启用",$B$1=D294),B294,"")</f>
        <v/>
      </c>
      <c r="H294" s="6" t="str">
        <f t="array" ref="H294">INDEX(F:F,SMALL(IF($F$1:$F$500&lt;&gt;"",ROW($1:$500),1000),ROW(F294)))&amp;""</f>
        <v/>
      </c>
      <c r="I294" s="6" t="str">
        <f t="array" ref="I294">INDEX(G:G,SMALL(IF($F$1:$F$500&lt;&gt;"",ROW($1:$500),1000),ROW(G294)))&amp;""</f>
        <v/>
      </c>
      <c r="N294" s="6"/>
      <c r="S294" s="6" t="str">
        <f t="array" ref="S294">INDEX(Q:Q,SMALL(IF($F$1:$F$500&lt;&gt;"",ROW($1:$500),1000),ROW(Q294)))&amp;""</f>
        <v/>
      </c>
      <c r="X294" s="6"/>
      <c r="AC294" s="6" t="str">
        <f t="array" ref="AC294">INDEX(AA:AA,SMALL(IF($F$1:$F$500&lt;&gt;"",ROW($1:$500),1000),ROW(AA294)))&amp;""</f>
        <v/>
      </c>
      <c r="AH294" s="6"/>
      <c r="AM294" s="6" t="str">
        <f t="array" ref="AM294">INDEX(AK:AK,SMALL(IF($F$1:$F$500&lt;&gt;"",ROW($1:$500),1000),ROW(AK294)))&amp;""</f>
        <v/>
      </c>
      <c r="AW294" s="6" t="str">
        <f t="array" ref="AW294">INDEX(AU:AU,SMALL(IF($F$1:$F$500&lt;&gt;"",ROW($1:$500),1000),ROW(AU294)))&amp;""</f>
        <v/>
      </c>
      <c r="BG294" s="6" t="str">
        <f t="array" ref="BG294">INDEX(BE:BE,SMALL(IF($F$1:$F$500&lt;&gt;"",ROW($1:$500),1000),ROW(BE294)))&amp;""</f>
        <v/>
      </c>
      <c r="BL294" s="6"/>
      <c r="BQ294" s="6" t="str">
        <f t="array" ref="BQ294">INDEX(BO:BO,SMALL(IF($F$1:$F$500&lt;&gt;"",ROW($1:$500),1000),ROW(BO294)))&amp;""</f>
        <v/>
      </c>
      <c r="BV294" s="6"/>
      <c r="CA294" s="6" t="str">
        <f t="array" ref="CA294">INDEX(BY:BY,SMALL(IF($F$1:$F$500&lt;&gt;"",ROW($1:$500),1000),ROW(BY294)))&amp;""</f>
        <v/>
      </c>
    </row>
    <row r="295" spans="1:79">
      <c r="A295" s="8" t="s">
        <v>3347</v>
      </c>
      <c r="B295" s="8" t="s">
        <v>1544</v>
      </c>
      <c r="C295" s="8" t="s">
        <v>494</v>
      </c>
      <c r="D295" s="9">
        <v>7</v>
      </c>
      <c r="F295" s="8" t="str">
        <f t="shared" si="20"/>
        <v/>
      </c>
      <c r="G295" s="8" t="str">
        <f>IF(AND(VLOOKUP(C295,查询!$C$8:$E$15,3,FALSE)="启用",$B$1=D295),B295,"")</f>
        <v/>
      </c>
      <c r="H295" s="6" t="str">
        <f t="array" ref="H295">INDEX(F:F,SMALL(IF($F$1:$F$500&lt;&gt;"",ROW($1:$500),1000),ROW(F295)))&amp;""</f>
        <v/>
      </c>
      <c r="I295" s="6" t="str">
        <f t="array" ref="I295">INDEX(G:G,SMALL(IF($F$1:$F$500&lt;&gt;"",ROW($1:$500),1000),ROW(G295)))&amp;""</f>
        <v/>
      </c>
      <c r="N295" s="6"/>
      <c r="S295" s="6" t="str">
        <f t="array" ref="S295">INDEX(Q:Q,SMALL(IF($F$1:$F$500&lt;&gt;"",ROW($1:$500),1000),ROW(Q295)))&amp;""</f>
        <v/>
      </c>
      <c r="X295" s="6"/>
      <c r="AC295" s="6" t="str">
        <f t="array" ref="AC295">INDEX(AA:AA,SMALL(IF($F$1:$F$500&lt;&gt;"",ROW($1:$500),1000),ROW(AA295)))&amp;""</f>
        <v/>
      </c>
      <c r="AH295" s="6"/>
      <c r="AM295" s="6" t="str">
        <f t="array" ref="AM295">INDEX(AK:AK,SMALL(IF($F$1:$F$500&lt;&gt;"",ROW($1:$500),1000),ROW(AK295)))&amp;""</f>
        <v/>
      </c>
      <c r="AW295" s="6" t="str">
        <f t="array" ref="AW295">INDEX(AU:AU,SMALL(IF($F$1:$F$500&lt;&gt;"",ROW($1:$500),1000),ROW(AU295)))&amp;""</f>
        <v/>
      </c>
      <c r="BG295" s="6" t="str">
        <f t="array" ref="BG295">INDEX(BE:BE,SMALL(IF($F$1:$F$500&lt;&gt;"",ROW($1:$500),1000),ROW(BE295)))&amp;""</f>
        <v/>
      </c>
      <c r="BL295" s="6"/>
      <c r="BQ295" s="6" t="str">
        <f t="array" ref="BQ295">INDEX(BO:BO,SMALL(IF($F$1:$F$500&lt;&gt;"",ROW($1:$500),1000),ROW(BO295)))&amp;""</f>
        <v/>
      </c>
      <c r="BV295" s="6"/>
      <c r="CA295" s="6" t="str">
        <f t="array" ref="CA295">INDEX(BY:BY,SMALL(IF($F$1:$F$500&lt;&gt;"",ROW($1:$500),1000),ROW(BY295)))&amp;""</f>
        <v/>
      </c>
    </row>
    <row r="296" spans="1:79">
      <c r="A296" s="8" t="s">
        <v>3349</v>
      </c>
      <c r="B296" s="8" t="s">
        <v>1593</v>
      </c>
      <c r="C296" s="8" t="s">
        <v>494</v>
      </c>
      <c r="D296" s="9">
        <v>7</v>
      </c>
      <c r="F296" s="8" t="str">
        <f t="shared" si="20"/>
        <v/>
      </c>
      <c r="G296" s="8" t="str">
        <f>IF(AND(VLOOKUP(C296,查询!$C$8:$E$15,3,FALSE)="启用",$B$1=D296),B296,"")</f>
        <v/>
      </c>
      <c r="H296" s="6" t="str">
        <f t="array" ref="H296">INDEX(F:F,SMALL(IF($F$1:$F$500&lt;&gt;"",ROW($1:$500),1000),ROW(F296)))&amp;""</f>
        <v/>
      </c>
      <c r="I296" s="6" t="str">
        <f t="array" ref="I296">INDEX(G:G,SMALL(IF($F$1:$F$500&lt;&gt;"",ROW($1:$500),1000),ROW(G296)))&amp;""</f>
        <v/>
      </c>
      <c r="N296" s="6"/>
      <c r="S296" s="6" t="str">
        <f t="array" ref="S296">INDEX(Q:Q,SMALL(IF($F$1:$F$500&lt;&gt;"",ROW($1:$500),1000),ROW(Q296)))&amp;""</f>
        <v/>
      </c>
      <c r="X296" s="6"/>
      <c r="AC296" s="6" t="str">
        <f t="array" ref="AC296">INDEX(AA:AA,SMALL(IF($F$1:$F$500&lt;&gt;"",ROW($1:$500),1000),ROW(AA296)))&amp;""</f>
        <v/>
      </c>
      <c r="AH296" s="6"/>
      <c r="AM296" s="6" t="str">
        <f t="array" ref="AM296">INDEX(AK:AK,SMALL(IF($F$1:$F$500&lt;&gt;"",ROW($1:$500),1000),ROW(AK296)))&amp;""</f>
        <v/>
      </c>
      <c r="AW296" s="6" t="str">
        <f t="array" ref="AW296">INDEX(AU:AU,SMALL(IF($F$1:$F$500&lt;&gt;"",ROW($1:$500),1000),ROW(AU296)))&amp;""</f>
        <v/>
      </c>
      <c r="BG296" s="6" t="str">
        <f t="array" ref="BG296">INDEX(BE:BE,SMALL(IF($F$1:$F$500&lt;&gt;"",ROW($1:$500),1000),ROW(BE296)))&amp;""</f>
        <v/>
      </c>
      <c r="BL296" s="6"/>
      <c r="BQ296" s="6" t="str">
        <f t="array" ref="BQ296">INDEX(BO:BO,SMALL(IF($F$1:$F$500&lt;&gt;"",ROW($1:$500),1000),ROW(BO296)))&amp;""</f>
        <v/>
      </c>
      <c r="BV296" s="6"/>
      <c r="CA296" s="6" t="str">
        <f t="array" ref="CA296">INDEX(BY:BY,SMALL(IF($F$1:$F$500&lt;&gt;"",ROW($1:$500),1000),ROW(BY296)))&amp;""</f>
        <v/>
      </c>
    </row>
    <row r="297" spans="1:79">
      <c r="A297" s="8" t="s">
        <v>3360</v>
      </c>
      <c r="B297" s="8" t="s">
        <v>1666</v>
      </c>
      <c r="C297" s="8" t="s">
        <v>494</v>
      </c>
      <c r="D297" s="9">
        <v>7</v>
      </c>
      <c r="F297" s="8" t="str">
        <f t="shared" si="20"/>
        <v/>
      </c>
      <c r="G297" s="8" t="str">
        <f>IF(AND(VLOOKUP(C297,查询!$C$8:$E$15,3,FALSE)="启用",$B$1=D297),B297,"")</f>
        <v/>
      </c>
      <c r="H297" s="6" t="str">
        <f t="array" ref="H297">INDEX(F:F,SMALL(IF($F$1:$F$500&lt;&gt;"",ROW($1:$500),1000),ROW(F297)))&amp;""</f>
        <v/>
      </c>
      <c r="I297" s="6" t="str">
        <f t="array" ref="I297">INDEX(G:G,SMALL(IF($F$1:$F$500&lt;&gt;"",ROW($1:$500),1000),ROW(G297)))&amp;""</f>
        <v/>
      </c>
      <c r="N297" s="6"/>
      <c r="S297" s="6" t="str">
        <f t="array" ref="S297">INDEX(Q:Q,SMALL(IF($F$1:$F$500&lt;&gt;"",ROW($1:$500),1000),ROW(Q297)))&amp;""</f>
        <v/>
      </c>
      <c r="X297" s="6"/>
      <c r="AC297" s="6" t="str">
        <f t="array" ref="AC297">INDEX(AA:AA,SMALL(IF($F$1:$F$500&lt;&gt;"",ROW($1:$500),1000),ROW(AA297)))&amp;""</f>
        <v/>
      </c>
      <c r="AH297" s="6"/>
      <c r="AM297" s="6" t="str">
        <f t="array" ref="AM297">INDEX(AK:AK,SMALL(IF($F$1:$F$500&lt;&gt;"",ROW($1:$500),1000),ROW(AK297)))&amp;""</f>
        <v/>
      </c>
      <c r="AW297" s="6" t="str">
        <f t="array" ref="AW297">INDEX(AU:AU,SMALL(IF($F$1:$F$500&lt;&gt;"",ROW($1:$500),1000),ROW(AU297)))&amp;""</f>
        <v/>
      </c>
      <c r="BG297" s="6" t="str">
        <f t="array" ref="BG297">INDEX(BE:BE,SMALL(IF($F$1:$F$500&lt;&gt;"",ROW($1:$500),1000),ROW(BE297)))&amp;""</f>
        <v/>
      </c>
      <c r="BL297" s="6"/>
      <c r="BQ297" s="6" t="str">
        <f t="array" ref="BQ297">INDEX(BO:BO,SMALL(IF($F$1:$F$500&lt;&gt;"",ROW($1:$500),1000),ROW(BO297)))&amp;""</f>
        <v/>
      </c>
      <c r="BV297" s="6"/>
      <c r="CA297" s="6" t="str">
        <f t="array" ref="CA297">INDEX(BY:BY,SMALL(IF($F$1:$F$500&lt;&gt;"",ROW($1:$500),1000),ROW(BY297)))&amp;""</f>
        <v/>
      </c>
    </row>
    <row r="298" spans="1:79">
      <c r="A298" s="8" t="s">
        <v>3364</v>
      </c>
      <c r="B298" s="8" t="s">
        <v>1667</v>
      </c>
      <c r="C298" s="8" t="s">
        <v>494</v>
      </c>
      <c r="D298" s="9">
        <v>7</v>
      </c>
      <c r="F298" s="8" t="str">
        <f t="shared" si="20"/>
        <v/>
      </c>
      <c r="G298" s="8" t="str">
        <f>IF(AND(VLOOKUP(C298,查询!$C$8:$E$15,3,FALSE)="启用",$B$1=D298),B298,"")</f>
        <v/>
      </c>
      <c r="H298" s="6" t="str">
        <f t="array" ref="H298">INDEX(F:F,SMALL(IF($F$1:$F$500&lt;&gt;"",ROW($1:$500),1000),ROW(F298)))&amp;""</f>
        <v/>
      </c>
      <c r="I298" s="6" t="str">
        <f t="array" ref="I298">INDEX(G:G,SMALL(IF($F$1:$F$500&lt;&gt;"",ROW($1:$500),1000),ROW(G298)))&amp;""</f>
        <v/>
      </c>
      <c r="N298" s="6"/>
      <c r="S298" s="6" t="str">
        <f t="array" ref="S298">INDEX(Q:Q,SMALL(IF($F$1:$F$500&lt;&gt;"",ROW($1:$500),1000),ROW(Q298)))&amp;""</f>
        <v/>
      </c>
      <c r="X298" s="6"/>
      <c r="AC298" s="6" t="str">
        <f t="array" ref="AC298">INDEX(AA:AA,SMALL(IF($F$1:$F$500&lt;&gt;"",ROW($1:$500),1000),ROW(AA298)))&amp;""</f>
        <v/>
      </c>
      <c r="AH298" s="6"/>
      <c r="AM298" s="6" t="str">
        <f t="array" ref="AM298">INDEX(AK:AK,SMALL(IF($F$1:$F$500&lt;&gt;"",ROW($1:$500),1000),ROW(AK298)))&amp;""</f>
        <v/>
      </c>
      <c r="AW298" s="6" t="str">
        <f t="array" ref="AW298">INDEX(AU:AU,SMALL(IF($F$1:$F$500&lt;&gt;"",ROW($1:$500),1000),ROW(AU298)))&amp;""</f>
        <v/>
      </c>
      <c r="BG298" s="6" t="str">
        <f t="array" ref="BG298">INDEX(BE:BE,SMALL(IF($F$1:$F$500&lt;&gt;"",ROW($1:$500),1000),ROW(BE298)))&amp;""</f>
        <v/>
      </c>
      <c r="BL298" s="6"/>
      <c r="BQ298" s="6" t="str">
        <f t="array" ref="BQ298">INDEX(BO:BO,SMALL(IF($F$1:$F$500&lt;&gt;"",ROW($1:$500),1000),ROW(BO298)))&amp;""</f>
        <v/>
      </c>
      <c r="BV298" s="6"/>
      <c r="CA298" s="6" t="str">
        <f t="array" ref="CA298">INDEX(BY:BY,SMALL(IF($F$1:$F$500&lt;&gt;"",ROW($1:$500),1000),ROW(BY298)))&amp;""</f>
        <v/>
      </c>
    </row>
    <row r="299" spans="1:79">
      <c r="A299" s="8" t="s">
        <v>3295</v>
      </c>
      <c r="B299" s="8" t="s">
        <v>1750</v>
      </c>
      <c r="C299" s="8" t="s">
        <v>578</v>
      </c>
      <c r="D299" s="9">
        <v>7</v>
      </c>
      <c r="F299" s="8" t="str">
        <f t="shared" si="20"/>
        <v/>
      </c>
      <c r="G299" s="8" t="str">
        <f>IF(AND(VLOOKUP(C299,查询!$C$8:$E$15,3,FALSE)="启用",$B$1=D299),B299,"")</f>
        <v/>
      </c>
      <c r="H299" s="6" t="str">
        <f t="array" ref="H299">INDEX(F:F,SMALL(IF($F$1:$F$500&lt;&gt;"",ROW($1:$500),1000),ROW(F299)))&amp;""</f>
        <v/>
      </c>
      <c r="I299" s="6" t="str">
        <f t="array" ref="I299">INDEX(G:G,SMALL(IF($F$1:$F$500&lt;&gt;"",ROW($1:$500),1000),ROW(G299)))&amp;""</f>
        <v/>
      </c>
      <c r="N299" s="6"/>
      <c r="S299" s="6" t="str">
        <f t="array" ref="S299">INDEX(Q:Q,SMALL(IF($F$1:$F$500&lt;&gt;"",ROW($1:$500),1000),ROW(Q299)))&amp;""</f>
        <v/>
      </c>
      <c r="X299" s="6"/>
      <c r="AC299" s="6" t="str">
        <f t="array" ref="AC299">INDEX(AA:AA,SMALL(IF($F$1:$F$500&lt;&gt;"",ROW($1:$500),1000),ROW(AA299)))&amp;""</f>
        <v/>
      </c>
      <c r="AH299" s="6"/>
      <c r="AM299" s="6" t="str">
        <f t="array" ref="AM299">INDEX(AK:AK,SMALL(IF($F$1:$F$500&lt;&gt;"",ROW($1:$500),1000),ROW(AK299)))&amp;""</f>
        <v/>
      </c>
      <c r="AW299" s="6" t="str">
        <f t="array" ref="AW299">INDEX(AU:AU,SMALL(IF($F$1:$F$500&lt;&gt;"",ROW($1:$500),1000),ROW(AU299)))&amp;""</f>
        <v/>
      </c>
      <c r="BG299" s="6" t="str">
        <f t="array" ref="BG299">INDEX(BE:BE,SMALL(IF($F$1:$F$500&lt;&gt;"",ROW($1:$500),1000),ROW(BE299)))&amp;""</f>
        <v/>
      </c>
      <c r="BL299" s="6"/>
      <c r="BQ299" s="6" t="str">
        <f t="array" ref="BQ299">INDEX(BO:BO,SMALL(IF($F$1:$F$500&lt;&gt;"",ROW($1:$500),1000),ROW(BO299)))&amp;""</f>
        <v/>
      </c>
      <c r="BV299" s="6"/>
      <c r="CA299" s="6" t="str">
        <f t="array" ref="CA299">INDEX(BY:BY,SMALL(IF($F$1:$F$500&lt;&gt;"",ROW($1:$500),1000),ROW(BY299)))&amp;""</f>
        <v/>
      </c>
    </row>
    <row r="300" spans="1:79">
      <c r="A300" s="8" t="s">
        <v>3295</v>
      </c>
      <c r="B300" s="8" t="s">
        <v>1349</v>
      </c>
      <c r="C300" s="8" t="s">
        <v>1249</v>
      </c>
      <c r="D300" s="9">
        <v>7</v>
      </c>
      <c r="F300" s="8" t="str">
        <f t="shared" si="20"/>
        <v/>
      </c>
      <c r="G300" s="8" t="str">
        <f>IF(AND(VLOOKUP(C300,查询!$C$8:$E$15,3,FALSE)="启用",$B$1=D300),B300,"")</f>
        <v/>
      </c>
      <c r="H300" s="6" t="str">
        <f t="array" ref="H300">INDEX(F:F,SMALL(IF($F$1:$F$500&lt;&gt;"",ROW($1:$500),1000),ROW(F300)))&amp;""</f>
        <v/>
      </c>
      <c r="I300" s="6" t="str">
        <f t="array" ref="I300">INDEX(G:G,SMALL(IF($F$1:$F$500&lt;&gt;"",ROW($1:$500),1000),ROW(G300)))&amp;""</f>
        <v/>
      </c>
      <c r="N300" s="6"/>
      <c r="S300" s="6" t="str">
        <f t="array" ref="S300">INDEX(Q:Q,SMALL(IF($F$1:$F$500&lt;&gt;"",ROW($1:$500),1000),ROW(Q300)))&amp;""</f>
        <v/>
      </c>
      <c r="X300" s="6"/>
      <c r="AC300" s="6" t="str">
        <f t="array" ref="AC300">INDEX(AA:AA,SMALL(IF($F$1:$F$500&lt;&gt;"",ROW($1:$500),1000),ROW(AA300)))&amp;""</f>
        <v/>
      </c>
      <c r="AH300" s="6"/>
      <c r="AM300" s="6" t="str">
        <f t="array" ref="AM300">INDEX(AK:AK,SMALL(IF($F$1:$F$500&lt;&gt;"",ROW($1:$500),1000),ROW(AK300)))&amp;""</f>
        <v/>
      </c>
      <c r="AW300" s="6" t="str">
        <f t="array" ref="AW300">INDEX(AU:AU,SMALL(IF($F$1:$F$500&lt;&gt;"",ROW($1:$500),1000),ROW(AU300)))&amp;""</f>
        <v/>
      </c>
      <c r="BG300" s="6" t="str">
        <f t="array" ref="BG300">INDEX(BE:BE,SMALL(IF($F$1:$F$500&lt;&gt;"",ROW($1:$500),1000),ROW(BE300)))&amp;""</f>
        <v/>
      </c>
      <c r="BL300" s="6"/>
      <c r="BQ300" s="6" t="str">
        <f t="array" ref="BQ300">INDEX(BO:BO,SMALL(IF($F$1:$F$500&lt;&gt;"",ROW($1:$500),1000),ROW(BO300)))&amp;""</f>
        <v/>
      </c>
      <c r="BV300" s="6"/>
      <c r="CA300" s="6" t="str">
        <f t="array" ref="CA300">INDEX(BY:BY,SMALL(IF($F$1:$F$500&lt;&gt;"",ROW($1:$500),1000),ROW(BY300)))&amp;""</f>
        <v/>
      </c>
    </row>
    <row r="301" spans="1:79">
      <c r="A301" s="8" t="s">
        <v>3369</v>
      </c>
      <c r="B301" s="8" t="s">
        <v>1721</v>
      </c>
      <c r="C301" s="8" t="s">
        <v>494</v>
      </c>
      <c r="D301" s="9">
        <v>7</v>
      </c>
      <c r="F301" s="8" t="str">
        <f t="shared" si="20"/>
        <v/>
      </c>
      <c r="G301" s="8" t="str">
        <f>IF(AND(VLOOKUP(C301,查询!$C$8:$E$15,3,FALSE)="启用",$B$1=D301),B301,"")</f>
        <v/>
      </c>
      <c r="H301" s="6" t="str">
        <f t="array" ref="H301">INDEX(F:F,SMALL(IF($F$1:$F$500&lt;&gt;"",ROW($1:$500),1000),ROW(F301)))&amp;""</f>
        <v/>
      </c>
      <c r="I301" s="6" t="str">
        <f t="array" ref="I301">INDEX(G:G,SMALL(IF($F$1:$F$500&lt;&gt;"",ROW($1:$500),1000),ROW(G301)))&amp;""</f>
        <v/>
      </c>
      <c r="N301" s="6"/>
      <c r="S301" s="6" t="str">
        <f t="array" ref="S301">INDEX(Q:Q,SMALL(IF($F$1:$F$500&lt;&gt;"",ROW($1:$500),1000),ROW(Q301)))&amp;""</f>
        <v/>
      </c>
      <c r="X301" s="6"/>
      <c r="AC301" s="6" t="str">
        <f t="array" ref="AC301">INDEX(AA:AA,SMALL(IF($F$1:$F$500&lt;&gt;"",ROW($1:$500),1000),ROW(AA301)))&amp;""</f>
        <v/>
      </c>
      <c r="AH301" s="6"/>
      <c r="AM301" s="6" t="str">
        <f t="array" ref="AM301">INDEX(AK:AK,SMALL(IF($F$1:$F$500&lt;&gt;"",ROW($1:$500),1000),ROW(AK301)))&amp;""</f>
        <v/>
      </c>
      <c r="AW301" s="6" t="str">
        <f t="array" ref="AW301">INDEX(AU:AU,SMALL(IF($F$1:$F$500&lt;&gt;"",ROW($1:$500),1000),ROW(AU301)))&amp;""</f>
        <v/>
      </c>
      <c r="BG301" s="6" t="str">
        <f t="array" ref="BG301">INDEX(BE:BE,SMALL(IF($F$1:$F$500&lt;&gt;"",ROW($1:$500),1000),ROW(BE301)))&amp;""</f>
        <v/>
      </c>
      <c r="BL301" s="6"/>
      <c r="BQ301" s="6" t="str">
        <f t="array" ref="BQ301">INDEX(BO:BO,SMALL(IF($F$1:$F$500&lt;&gt;"",ROW($1:$500),1000),ROW(BO301)))&amp;""</f>
        <v/>
      </c>
      <c r="BV301" s="6"/>
      <c r="CA301" s="6" t="str">
        <f t="array" ref="CA301">INDEX(BY:BY,SMALL(IF($F$1:$F$500&lt;&gt;"",ROW($1:$500),1000),ROW(BY301)))&amp;""</f>
        <v/>
      </c>
    </row>
    <row r="302" spans="1:79">
      <c r="A302" s="8" t="s">
        <v>3393</v>
      </c>
      <c r="B302" s="8" t="s">
        <v>1373</v>
      </c>
      <c r="C302" s="8" t="s">
        <v>494</v>
      </c>
      <c r="D302" s="9">
        <v>8</v>
      </c>
      <c r="F302" s="8" t="str">
        <f t="shared" si="20"/>
        <v/>
      </c>
      <c r="G302" s="8" t="str">
        <f>IF(AND(VLOOKUP(C302,查询!$C$8:$E$15,3,FALSE)="启用",$B$1=D302),B302,"")</f>
        <v/>
      </c>
      <c r="H302" s="6" t="str">
        <f t="array" ref="H302">INDEX(F:F,SMALL(IF($F$1:$F$500&lt;&gt;"",ROW($1:$500),1000),ROW(F302)))&amp;""</f>
        <v/>
      </c>
      <c r="I302" s="6" t="str">
        <f t="array" ref="I302">INDEX(G:G,SMALL(IF($F$1:$F$500&lt;&gt;"",ROW($1:$500),1000),ROW(G302)))&amp;""</f>
        <v/>
      </c>
      <c r="N302" s="6"/>
      <c r="S302" s="6" t="str">
        <f t="array" ref="S302">INDEX(Q:Q,SMALL(IF($F$1:$F$500&lt;&gt;"",ROW($1:$500),1000),ROW(Q302)))&amp;""</f>
        <v/>
      </c>
      <c r="X302" s="6"/>
      <c r="AC302" s="6" t="str">
        <f t="array" ref="AC302">INDEX(AA:AA,SMALL(IF($F$1:$F$500&lt;&gt;"",ROW($1:$500),1000),ROW(AA302)))&amp;""</f>
        <v/>
      </c>
      <c r="AH302" s="6"/>
      <c r="AM302" s="6" t="str">
        <f t="array" ref="AM302">INDEX(AK:AK,SMALL(IF($F$1:$F$500&lt;&gt;"",ROW($1:$500),1000),ROW(AK302)))&amp;""</f>
        <v/>
      </c>
      <c r="AW302" s="6" t="str">
        <f t="array" ref="AW302">INDEX(AU:AU,SMALL(IF($F$1:$F$500&lt;&gt;"",ROW($1:$500),1000),ROW(AU302)))&amp;""</f>
        <v/>
      </c>
      <c r="BG302" s="6" t="str">
        <f t="array" ref="BG302">INDEX(BE:BE,SMALL(IF($F$1:$F$500&lt;&gt;"",ROW($1:$500),1000),ROW(BE302)))&amp;""</f>
        <v/>
      </c>
      <c r="BL302" s="6"/>
      <c r="BQ302" s="6" t="str">
        <f t="array" ref="BQ302">INDEX(BO:BO,SMALL(IF($F$1:$F$500&lt;&gt;"",ROW($1:$500),1000),ROW(BO302)))&amp;""</f>
        <v/>
      </c>
      <c r="BV302" s="6"/>
      <c r="CA302" s="6" t="str">
        <f t="array" ref="CA302">INDEX(BY:BY,SMALL(IF($F$1:$F$500&lt;&gt;"",ROW($1:$500),1000),ROW(BY302)))&amp;""</f>
        <v/>
      </c>
    </row>
    <row r="303" spans="1:79">
      <c r="A303" s="8" t="s">
        <v>3375</v>
      </c>
      <c r="B303" s="8" t="s">
        <v>1279</v>
      </c>
      <c r="C303" s="8" t="s">
        <v>1249</v>
      </c>
      <c r="D303" s="9">
        <v>8</v>
      </c>
      <c r="F303" s="8" t="str">
        <f t="shared" si="20"/>
        <v/>
      </c>
      <c r="G303" s="8" t="str">
        <f>IF(AND(VLOOKUP(C303,查询!$C$8:$E$15,3,FALSE)="启用",$B$1=D303),B303,"")</f>
        <v/>
      </c>
      <c r="H303" s="6" t="str">
        <f t="array" ref="H303">INDEX(F:F,SMALL(IF($F$1:$F$500&lt;&gt;"",ROW($1:$500),1000),ROW(F303)))&amp;""</f>
        <v/>
      </c>
      <c r="I303" s="6" t="str">
        <f t="array" ref="I303">INDEX(G:G,SMALL(IF($F$1:$F$500&lt;&gt;"",ROW($1:$500),1000),ROW(G303)))&amp;""</f>
        <v/>
      </c>
      <c r="N303" s="6"/>
      <c r="S303" s="6" t="str">
        <f t="array" ref="S303">INDEX(Q:Q,SMALL(IF($F$1:$F$500&lt;&gt;"",ROW($1:$500),1000),ROW(Q303)))&amp;""</f>
        <v/>
      </c>
      <c r="X303" s="6"/>
      <c r="AC303" s="6" t="str">
        <f t="array" ref="AC303">INDEX(AA:AA,SMALL(IF($F$1:$F$500&lt;&gt;"",ROW($1:$500),1000),ROW(AA303)))&amp;""</f>
        <v/>
      </c>
      <c r="AH303" s="6"/>
      <c r="AM303" s="6" t="str">
        <f t="array" ref="AM303">INDEX(AK:AK,SMALL(IF($F$1:$F$500&lt;&gt;"",ROW($1:$500),1000),ROW(AK303)))&amp;""</f>
        <v/>
      </c>
      <c r="AW303" s="6" t="str">
        <f t="array" ref="AW303">INDEX(AU:AU,SMALL(IF($F$1:$F$500&lt;&gt;"",ROW($1:$500),1000),ROW(AU303)))&amp;""</f>
        <v/>
      </c>
      <c r="BG303" s="6" t="str">
        <f t="array" ref="BG303">INDEX(BE:BE,SMALL(IF($F$1:$F$500&lt;&gt;"",ROW($1:$500),1000),ROW(BE303)))&amp;""</f>
        <v/>
      </c>
      <c r="BL303" s="6"/>
      <c r="BQ303" s="6" t="str">
        <f t="array" ref="BQ303">INDEX(BO:BO,SMALL(IF($F$1:$F$500&lt;&gt;"",ROW($1:$500),1000),ROW(BO303)))&amp;""</f>
        <v/>
      </c>
      <c r="BV303" s="6"/>
      <c r="CA303" s="6" t="str">
        <f t="array" ref="CA303">INDEX(BY:BY,SMALL(IF($F$1:$F$500&lt;&gt;"",ROW($1:$500),1000),ROW(BY303)))&amp;""</f>
        <v/>
      </c>
    </row>
    <row r="304" spans="1:79">
      <c r="A304" s="8" t="s">
        <v>3375</v>
      </c>
      <c r="B304" s="8" t="s">
        <v>1728</v>
      </c>
      <c r="C304" s="8" t="s">
        <v>578</v>
      </c>
      <c r="D304" s="9">
        <v>8</v>
      </c>
      <c r="F304" s="8" t="str">
        <f t="shared" si="20"/>
        <v/>
      </c>
      <c r="G304" s="8" t="str">
        <f>IF(AND(VLOOKUP(C304,查询!$C$8:$E$15,3,FALSE)="启用",$B$1=D304),B304,"")</f>
        <v/>
      </c>
      <c r="H304" s="6" t="str">
        <f t="array" ref="H304">INDEX(F:F,SMALL(IF($F$1:$F$500&lt;&gt;"",ROW($1:$500),1000),ROW(F304)))&amp;""</f>
        <v/>
      </c>
      <c r="I304" s="6" t="str">
        <f t="array" ref="I304">INDEX(G:G,SMALL(IF($F$1:$F$500&lt;&gt;"",ROW($1:$500),1000),ROW(G304)))&amp;""</f>
        <v/>
      </c>
      <c r="N304" s="6"/>
      <c r="S304" s="6" t="str">
        <f t="array" ref="S304">INDEX(Q:Q,SMALL(IF($F$1:$F$500&lt;&gt;"",ROW($1:$500),1000),ROW(Q304)))&amp;""</f>
        <v/>
      </c>
      <c r="X304" s="6"/>
      <c r="AC304" s="6" t="str">
        <f t="array" ref="AC304">INDEX(AA:AA,SMALL(IF($F$1:$F$500&lt;&gt;"",ROW($1:$500),1000),ROW(AA304)))&amp;""</f>
        <v/>
      </c>
      <c r="AH304" s="6"/>
      <c r="AM304" s="6" t="str">
        <f t="array" ref="AM304">INDEX(AK:AK,SMALL(IF($F$1:$F$500&lt;&gt;"",ROW($1:$500),1000),ROW(AK304)))&amp;""</f>
        <v/>
      </c>
      <c r="AW304" s="6" t="str">
        <f t="array" ref="AW304">INDEX(AU:AU,SMALL(IF($F$1:$F$500&lt;&gt;"",ROW($1:$500),1000),ROW(AU304)))&amp;""</f>
        <v/>
      </c>
      <c r="BG304" s="6" t="str">
        <f t="array" ref="BG304">INDEX(BE:BE,SMALL(IF($F$1:$F$500&lt;&gt;"",ROW($1:$500),1000),ROW(BE304)))&amp;""</f>
        <v/>
      </c>
      <c r="BL304" s="6"/>
      <c r="BQ304" s="6" t="str">
        <f t="array" ref="BQ304">INDEX(BO:BO,SMALL(IF($F$1:$F$500&lt;&gt;"",ROW($1:$500),1000),ROW(BO304)))&amp;""</f>
        <v/>
      </c>
      <c r="BV304" s="6"/>
      <c r="CA304" s="6" t="str">
        <f t="array" ref="CA304">INDEX(BY:BY,SMALL(IF($F$1:$F$500&lt;&gt;"",ROW($1:$500),1000),ROW(BY304)))&amp;""</f>
        <v/>
      </c>
    </row>
    <row r="305" spans="1:79">
      <c r="A305" s="8" t="s">
        <v>3395</v>
      </c>
      <c r="B305" s="8" t="s">
        <v>1417</v>
      </c>
      <c r="C305" s="8" t="s">
        <v>494</v>
      </c>
      <c r="D305" s="9">
        <v>8</v>
      </c>
      <c r="F305" s="8" t="str">
        <f t="shared" si="20"/>
        <v/>
      </c>
      <c r="G305" s="8" t="str">
        <f>IF(AND(VLOOKUP(C305,查询!$C$8:$E$15,3,FALSE)="启用",$B$1=D305),B305,"")</f>
        <v/>
      </c>
      <c r="H305" s="6" t="str">
        <f t="array" ref="H305">INDEX(F:F,SMALL(IF($F$1:$F$500&lt;&gt;"",ROW($1:$500),1000),ROW(F305)))&amp;""</f>
        <v/>
      </c>
      <c r="I305" s="6" t="str">
        <f t="array" ref="I305">INDEX(G:G,SMALL(IF($F$1:$F$500&lt;&gt;"",ROW($1:$500),1000),ROW(G305)))&amp;""</f>
        <v/>
      </c>
      <c r="N305" s="6"/>
      <c r="S305" s="6" t="str">
        <f t="array" ref="S305">INDEX(Q:Q,SMALL(IF($F$1:$F$500&lt;&gt;"",ROW($1:$500),1000),ROW(Q305)))&amp;""</f>
        <v/>
      </c>
      <c r="X305" s="6"/>
      <c r="AC305" s="6" t="str">
        <f t="array" ref="AC305">INDEX(AA:AA,SMALL(IF($F$1:$F$500&lt;&gt;"",ROW($1:$500),1000),ROW(AA305)))&amp;""</f>
        <v/>
      </c>
      <c r="AH305" s="6"/>
      <c r="AM305" s="6" t="str">
        <f t="array" ref="AM305">INDEX(AK:AK,SMALL(IF($F$1:$F$500&lt;&gt;"",ROW($1:$500),1000),ROW(AK305)))&amp;""</f>
        <v/>
      </c>
      <c r="AW305" s="6" t="str">
        <f t="array" ref="AW305">INDEX(AU:AU,SMALL(IF($F$1:$F$500&lt;&gt;"",ROW($1:$500),1000),ROW(AU305)))&amp;""</f>
        <v/>
      </c>
      <c r="BG305" s="6" t="str">
        <f t="array" ref="BG305">INDEX(BE:BE,SMALL(IF($F$1:$F$500&lt;&gt;"",ROW($1:$500),1000),ROW(BE305)))&amp;""</f>
        <v/>
      </c>
      <c r="BL305" s="6"/>
      <c r="BQ305" s="6" t="str">
        <f t="array" ref="BQ305">INDEX(BO:BO,SMALL(IF($F$1:$F$500&lt;&gt;"",ROW($1:$500),1000),ROW(BO305)))&amp;""</f>
        <v/>
      </c>
      <c r="BV305" s="6"/>
      <c r="CA305" s="6" t="str">
        <f t="array" ref="CA305">INDEX(BY:BY,SMALL(IF($F$1:$F$500&lt;&gt;"",ROW($1:$500),1000),ROW(BY305)))&amp;""</f>
        <v/>
      </c>
    </row>
    <row r="306" spans="1:79">
      <c r="A306" s="8" t="s">
        <v>3400</v>
      </c>
      <c r="B306" s="8" t="s">
        <v>1446</v>
      </c>
      <c r="C306" s="8" t="s">
        <v>494</v>
      </c>
      <c r="D306" s="9">
        <v>8</v>
      </c>
      <c r="F306" s="8" t="str">
        <f t="shared" si="20"/>
        <v/>
      </c>
      <c r="G306" s="8" t="str">
        <f>IF(AND(VLOOKUP(C306,查询!$C$8:$E$15,3,FALSE)="启用",$B$1=D306),B306,"")</f>
        <v/>
      </c>
      <c r="H306" s="6" t="str">
        <f t="array" ref="H306">INDEX(F:F,SMALL(IF($F$1:$F$500&lt;&gt;"",ROW($1:$500),1000),ROW(F306)))&amp;""</f>
        <v/>
      </c>
      <c r="I306" s="6" t="str">
        <f t="array" ref="I306">INDEX(G:G,SMALL(IF($F$1:$F$500&lt;&gt;"",ROW($1:$500),1000),ROW(G306)))&amp;""</f>
        <v/>
      </c>
      <c r="N306" s="6"/>
      <c r="S306" s="6" t="str">
        <f t="array" ref="S306">INDEX(Q:Q,SMALL(IF($F$1:$F$500&lt;&gt;"",ROW($1:$500),1000),ROW(Q306)))&amp;""</f>
        <v/>
      </c>
      <c r="X306" s="6"/>
      <c r="AC306" s="6" t="str">
        <f t="array" ref="AC306">INDEX(AA:AA,SMALL(IF($F$1:$F$500&lt;&gt;"",ROW($1:$500),1000),ROW(AA306)))&amp;""</f>
        <v/>
      </c>
      <c r="AH306" s="6"/>
      <c r="AM306" s="6" t="str">
        <f t="array" ref="AM306">INDEX(AK:AK,SMALL(IF($F$1:$F$500&lt;&gt;"",ROW($1:$500),1000),ROW(AK306)))&amp;""</f>
        <v/>
      </c>
      <c r="AW306" s="6" t="str">
        <f t="array" ref="AW306">INDEX(AU:AU,SMALL(IF($F$1:$F$500&lt;&gt;"",ROW($1:$500),1000),ROW(AU306)))&amp;""</f>
        <v/>
      </c>
      <c r="BG306" s="6" t="str">
        <f t="array" ref="BG306">INDEX(BE:BE,SMALL(IF($F$1:$F$500&lt;&gt;"",ROW($1:$500),1000),ROW(BE306)))&amp;""</f>
        <v/>
      </c>
      <c r="BL306" s="6"/>
      <c r="BQ306" s="6" t="str">
        <f t="array" ref="BQ306">INDEX(BO:BO,SMALL(IF($F$1:$F$500&lt;&gt;"",ROW($1:$500),1000),ROW(BO306)))&amp;""</f>
        <v/>
      </c>
      <c r="BV306" s="6"/>
      <c r="CA306" s="6" t="str">
        <f t="array" ref="CA306">INDEX(BY:BY,SMALL(IF($F$1:$F$500&lt;&gt;"",ROW($1:$500),1000),ROW(BY306)))&amp;""</f>
        <v/>
      </c>
    </row>
    <row r="307" spans="1:79">
      <c r="A307" s="8" t="s">
        <v>3403</v>
      </c>
      <c r="B307" s="8" t="s">
        <v>1458</v>
      </c>
      <c r="C307" s="8" t="s">
        <v>494</v>
      </c>
      <c r="D307" s="9">
        <v>8</v>
      </c>
      <c r="F307" s="8" t="str">
        <f t="shared" si="20"/>
        <v/>
      </c>
      <c r="G307" s="8" t="str">
        <f>IF(AND(VLOOKUP(C307,查询!$C$8:$E$15,3,FALSE)="启用",$B$1=D307),B307,"")</f>
        <v/>
      </c>
      <c r="H307" s="6" t="str">
        <f t="array" ref="H307">INDEX(F:F,SMALL(IF($F$1:$F$500&lt;&gt;"",ROW($1:$500),1000),ROW(F307)))&amp;""</f>
        <v/>
      </c>
      <c r="I307" s="6" t="str">
        <f t="array" ref="I307">INDEX(G:G,SMALL(IF($F$1:$F$500&lt;&gt;"",ROW($1:$500),1000),ROW(G307)))&amp;""</f>
        <v/>
      </c>
      <c r="N307" s="6"/>
      <c r="S307" s="6" t="str">
        <f t="array" ref="S307">INDEX(Q:Q,SMALL(IF($F$1:$F$500&lt;&gt;"",ROW($1:$500),1000),ROW(Q307)))&amp;""</f>
        <v/>
      </c>
      <c r="X307" s="6"/>
      <c r="AC307" s="6" t="str">
        <f t="array" ref="AC307">INDEX(AA:AA,SMALL(IF($F$1:$F$500&lt;&gt;"",ROW($1:$500),1000),ROW(AA307)))&amp;""</f>
        <v/>
      </c>
      <c r="AH307" s="6"/>
      <c r="AM307" s="6" t="str">
        <f t="array" ref="AM307">INDEX(AK:AK,SMALL(IF($F$1:$F$500&lt;&gt;"",ROW($1:$500),1000),ROW(AK307)))&amp;""</f>
        <v/>
      </c>
      <c r="AW307" s="6" t="str">
        <f t="array" ref="AW307">INDEX(AU:AU,SMALL(IF($F$1:$F$500&lt;&gt;"",ROW($1:$500),1000),ROW(AU307)))&amp;""</f>
        <v/>
      </c>
      <c r="BG307" s="6" t="str">
        <f t="array" ref="BG307">INDEX(BE:BE,SMALL(IF($F$1:$F$500&lt;&gt;"",ROW($1:$500),1000),ROW(BE307)))&amp;""</f>
        <v/>
      </c>
      <c r="BL307" s="6"/>
      <c r="BQ307" s="6" t="str">
        <f t="array" ref="BQ307">INDEX(BO:BO,SMALL(IF($F$1:$F$500&lt;&gt;"",ROW($1:$500),1000),ROW(BO307)))&amp;""</f>
        <v/>
      </c>
      <c r="BV307" s="6"/>
      <c r="CA307" s="6" t="str">
        <f t="array" ref="CA307">INDEX(BY:BY,SMALL(IF($F$1:$F$500&lt;&gt;"",ROW($1:$500),1000),ROW(BY307)))&amp;""</f>
        <v/>
      </c>
    </row>
    <row r="308" spans="1:79">
      <c r="A308" s="8" t="s">
        <v>3405</v>
      </c>
      <c r="B308" s="8" t="s">
        <v>1521</v>
      </c>
      <c r="C308" s="8" t="s">
        <v>494</v>
      </c>
      <c r="D308" s="9">
        <v>8</v>
      </c>
      <c r="F308" s="8" t="str">
        <f t="shared" si="20"/>
        <v/>
      </c>
      <c r="G308" s="8" t="str">
        <f>IF(AND(VLOOKUP(C308,查询!$C$8:$E$15,3,FALSE)="启用",$B$1=D308),B308,"")</f>
        <v/>
      </c>
      <c r="H308" s="6" t="str">
        <f t="array" ref="H308">INDEX(F:F,SMALL(IF($F$1:$F$500&lt;&gt;"",ROW($1:$500),1000),ROW(F308)))&amp;""</f>
        <v/>
      </c>
      <c r="I308" s="6" t="str">
        <f t="array" ref="I308">INDEX(G:G,SMALL(IF($F$1:$F$500&lt;&gt;"",ROW($1:$500),1000),ROW(G308)))&amp;""</f>
        <v/>
      </c>
      <c r="N308" s="6"/>
      <c r="S308" s="6" t="str">
        <f t="array" ref="S308">INDEX(Q:Q,SMALL(IF($F$1:$F$500&lt;&gt;"",ROW($1:$500),1000),ROW(Q308)))&amp;""</f>
        <v/>
      </c>
      <c r="X308" s="6"/>
      <c r="AC308" s="6" t="str">
        <f t="array" ref="AC308">INDEX(AA:AA,SMALL(IF($F$1:$F$500&lt;&gt;"",ROW($1:$500),1000),ROW(AA308)))&amp;""</f>
        <v/>
      </c>
      <c r="AH308" s="6"/>
      <c r="AM308" s="6" t="str">
        <f t="array" ref="AM308">INDEX(AK:AK,SMALL(IF($F$1:$F$500&lt;&gt;"",ROW($1:$500),1000),ROW(AK308)))&amp;""</f>
        <v/>
      </c>
      <c r="AW308" s="6" t="str">
        <f t="array" ref="AW308">INDEX(AU:AU,SMALL(IF($F$1:$F$500&lt;&gt;"",ROW($1:$500),1000),ROW(AU308)))&amp;""</f>
        <v/>
      </c>
      <c r="BG308" s="6" t="str">
        <f t="array" ref="BG308">INDEX(BE:BE,SMALL(IF($F$1:$F$500&lt;&gt;"",ROW($1:$500),1000),ROW(BE308)))&amp;""</f>
        <v/>
      </c>
      <c r="BL308" s="6"/>
      <c r="BQ308" s="6" t="str">
        <f t="array" ref="BQ308">INDEX(BO:BO,SMALL(IF($F$1:$F$500&lt;&gt;"",ROW($1:$500),1000),ROW(BO308)))&amp;""</f>
        <v/>
      </c>
      <c r="BV308" s="6"/>
      <c r="CA308" s="6" t="str">
        <f t="array" ref="CA308">INDEX(BY:BY,SMALL(IF($F$1:$F$500&lt;&gt;"",ROW($1:$500),1000),ROW(BY308)))&amp;""</f>
        <v/>
      </c>
    </row>
    <row r="309" spans="1:79">
      <c r="A309" s="8" t="s">
        <v>3408</v>
      </c>
      <c r="B309" s="8" t="s">
        <v>1537</v>
      </c>
      <c r="C309" s="8" t="s">
        <v>494</v>
      </c>
      <c r="D309" s="9">
        <v>8</v>
      </c>
      <c r="F309" s="8" t="str">
        <f t="shared" si="20"/>
        <v/>
      </c>
      <c r="G309" s="8" t="str">
        <f>IF(AND(VLOOKUP(C309,查询!$C$8:$E$15,3,FALSE)="启用",$B$1=D309),B309,"")</f>
        <v/>
      </c>
      <c r="H309" s="6" t="str">
        <f t="array" ref="H309">INDEX(F:F,SMALL(IF($F$1:$F$500&lt;&gt;"",ROW($1:$500),1000),ROW(F309)))&amp;""</f>
        <v/>
      </c>
      <c r="I309" s="6" t="str">
        <f t="array" ref="I309">INDEX(G:G,SMALL(IF($F$1:$F$500&lt;&gt;"",ROW($1:$500),1000),ROW(G309)))&amp;""</f>
        <v/>
      </c>
      <c r="N309" s="6"/>
      <c r="S309" s="6" t="str">
        <f t="array" ref="S309">INDEX(Q:Q,SMALL(IF($F$1:$F$500&lt;&gt;"",ROW($1:$500),1000),ROW(Q309)))&amp;""</f>
        <v/>
      </c>
      <c r="X309" s="6"/>
      <c r="AC309" s="6" t="str">
        <f t="array" ref="AC309">INDEX(AA:AA,SMALL(IF($F$1:$F$500&lt;&gt;"",ROW($1:$500),1000),ROW(AA309)))&amp;""</f>
        <v/>
      </c>
      <c r="AH309" s="6"/>
      <c r="AM309" s="6" t="str">
        <f t="array" ref="AM309">INDEX(AK:AK,SMALL(IF($F$1:$F$500&lt;&gt;"",ROW($1:$500),1000),ROW(AK309)))&amp;""</f>
        <v/>
      </c>
      <c r="AW309" s="6" t="str">
        <f t="array" ref="AW309">INDEX(AU:AU,SMALL(IF($F$1:$F$500&lt;&gt;"",ROW($1:$500),1000),ROW(AU309)))&amp;""</f>
        <v/>
      </c>
      <c r="BG309" s="6" t="str">
        <f t="array" ref="BG309">INDEX(BE:BE,SMALL(IF($F$1:$F$500&lt;&gt;"",ROW($1:$500),1000),ROW(BE309)))&amp;""</f>
        <v/>
      </c>
      <c r="BL309" s="6"/>
      <c r="BQ309" s="6" t="str">
        <f t="array" ref="BQ309">INDEX(BO:BO,SMALL(IF($F$1:$F$500&lt;&gt;"",ROW($1:$500),1000),ROW(BO309)))&amp;""</f>
        <v/>
      </c>
      <c r="BV309" s="6"/>
      <c r="CA309" s="6" t="str">
        <f t="array" ref="CA309">INDEX(BY:BY,SMALL(IF($F$1:$F$500&lt;&gt;"",ROW($1:$500),1000),ROW(BY309)))&amp;""</f>
        <v/>
      </c>
    </row>
    <row r="310" spans="1:79">
      <c r="A310" s="8" t="s">
        <v>3412</v>
      </c>
      <c r="B310" s="8" t="s">
        <v>1587</v>
      </c>
      <c r="C310" s="8" t="s">
        <v>494</v>
      </c>
      <c r="D310" s="9">
        <v>8</v>
      </c>
      <c r="F310" s="8" t="str">
        <f t="shared" si="20"/>
        <v/>
      </c>
      <c r="G310" s="8" t="str">
        <f>IF(AND(VLOOKUP(C310,查询!$C$8:$E$15,3,FALSE)="启用",$B$1=D310),B310,"")</f>
        <v/>
      </c>
      <c r="H310" s="6" t="str">
        <f t="array" ref="H310">INDEX(F:F,SMALL(IF($F$1:$F$500&lt;&gt;"",ROW($1:$500),1000),ROW(F310)))&amp;""</f>
        <v/>
      </c>
      <c r="I310" s="6" t="str">
        <f t="array" ref="I310">INDEX(G:G,SMALL(IF($F$1:$F$500&lt;&gt;"",ROW($1:$500),1000),ROW(G310)))&amp;""</f>
        <v/>
      </c>
      <c r="N310" s="6"/>
      <c r="S310" s="6" t="str">
        <f t="array" ref="S310">INDEX(Q:Q,SMALL(IF($F$1:$F$500&lt;&gt;"",ROW($1:$500),1000),ROW(Q310)))&amp;""</f>
        <v/>
      </c>
      <c r="X310" s="6"/>
      <c r="AC310" s="6" t="str">
        <f t="array" ref="AC310">INDEX(AA:AA,SMALL(IF($F$1:$F$500&lt;&gt;"",ROW($1:$500),1000),ROW(AA310)))&amp;""</f>
        <v/>
      </c>
      <c r="AH310" s="6"/>
      <c r="AM310" s="6" t="str">
        <f t="array" ref="AM310">INDEX(AK:AK,SMALL(IF($F$1:$F$500&lt;&gt;"",ROW($1:$500),1000),ROW(AK310)))&amp;""</f>
        <v/>
      </c>
      <c r="AW310" s="6" t="str">
        <f t="array" ref="AW310">INDEX(AU:AU,SMALL(IF($F$1:$F$500&lt;&gt;"",ROW($1:$500),1000),ROW(AU310)))&amp;""</f>
        <v/>
      </c>
      <c r="BG310" s="6" t="str">
        <f t="array" ref="BG310">INDEX(BE:BE,SMALL(IF($F$1:$F$500&lt;&gt;"",ROW($1:$500),1000),ROW(BE310)))&amp;""</f>
        <v/>
      </c>
      <c r="BL310" s="6"/>
      <c r="BQ310" s="6" t="str">
        <f t="array" ref="BQ310">INDEX(BO:BO,SMALL(IF($F$1:$F$500&lt;&gt;"",ROW($1:$500),1000),ROW(BO310)))&amp;""</f>
        <v/>
      </c>
      <c r="BV310" s="6"/>
      <c r="CA310" s="6" t="str">
        <f t="array" ref="CA310">INDEX(BY:BY,SMALL(IF($F$1:$F$500&lt;&gt;"",ROW($1:$500),1000),ROW(BY310)))&amp;""</f>
        <v/>
      </c>
    </row>
    <row r="311" spans="1:79">
      <c r="A311" s="8" t="s">
        <v>3421</v>
      </c>
      <c r="B311" s="8" t="s">
        <v>1602</v>
      </c>
      <c r="C311" s="8" t="s">
        <v>494</v>
      </c>
      <c r="D311" s="9">
        <v>8</v>
      </c>
      <c r="F311" s="8" t="str">
        <f t="shared" si="20"/>
        <v/>
      </c>
      <c r="G311" s="8" t="str">
        <f>IF(AND(VLOOKUP(C311,查询!$C$8:$E$15,3,FALSE)="启用",$B$1=D311),B311,"")</f>
        <v/>
      </c>
      <c r="H311" s="6" t="str">
        <f t="array" ref="H311">INDEX(F:F,SMALL(IF($F$1:$F$500&lt;&gt;"",ROW($1:$500),1000),ROW(F311)))&amp;""</f>
        <v/>
      </c>
      <c r="I311" s="6" t="str">
        <f t="array" ref="I311">INDEX(G:G,SMALL(IF($F$1:$F$500&lt;&gt;"",ROW($1:$500),1000),ROW(G311)))&amp;""</f>
        <v/>
      </c>
      <c r="N311" s="6"/>
      <c r="S311" s="6" t="str">
        <f t="array" ref="S311">INDEX(Q:Q,SMALL(IF($F$1:$F$500&lt;&gt;"",ROW($1:$500),1000),ROW(Q311)))&amp;""</f>
        <v/>
      </c>
      <c r="X311" s="6"/>
      <c r="AC311" s="6" t="str">
        <f t="array" ref="AC311">INDEX(AA:AA,SMALL(IF($F$1:$F$500&lt;&gt;"",ROW($1:$500),1000),ROW(AA311)))&amp;""</f>
        <v/>
      </c>
      <c r="AH311" s="6"/>
      <c r="AM311" s="6" t="str">
        <f t="array" ref="AM311">INDEX(AK:AK,SMALL(IF($F$1:$F$500&lt;&gt;"",ROW($1:$500),1000),ROW(AK311)))&amp;""</f>
        <v/>
      </c>
      <c r="AW311" s="6" t="str">
        <f t="array" ref="AW311">INDEX(AU:AU,SMALL(IF($F$1:$F$500&lt;&gt;"",ROW($1:$500),1000),ROW(AU311)))&amp;""</f>
        <v/>
      </c>
      <c r="BG311" s="6" t="str">
        <f t="array" ref="BG311">INDEX(BE:BE,SMALL(IF($F$1:$F$500&lt;&gt;"",ROW($1:$500),1000),ROW(BE311)))&amp;""</f>
        <v/>
      </c>
      <c r="BL311" s="6"/>
      <c r="BQ311" s="6" t="str">
        <f t="array" ref="BQ311">INDEX(BO:BO,SMALL(IF($F$1:$F$500&lt;&gt;"",ROW($1:$500),1000),ROW(BO311)))&amp;""</f>
        <v/>
      </c>
      <c r="BV311" s="6"/>
      <c r="CA311" s="6" t="str">
        <f t="array" ref="CA311">INDEX(BY:BY,SMALL(IF($F$1:$F$500&lt;&gt;"",ROW($1:$500),1000),ROW(BY311)))&amp;""</f>
        <v/>
      </c>
    </row>
    <row r="312" spans="1:79">
      <c r="A312" s="8" t="s">
        <v>3380</v>
      </c>
      <c r="B312" s="8" t="s">
        <v>1313</v>
      </c>
      <c r="C312" s="8" t="s">
        <v>1249</v>
      </c>
      <c r="D312" s="9">
        <v>8</v>
      </c>
      <c r="F312" s="8" t="str">
        <f t="shared" si="20"/>
        <v/>
      </c>
      <c r="G312" s="8" t="str">
        <f>IF(AND(VLOOKUP(C312,查询!$C$8:$E$15,3,FALSE)="启用",$B$1=D312),B312,"")</f>
        <v/>
      </c>
      <c r="H312" s="6" t="str">
        <f t="array" ref="H312">INDEX(F:F,SMALL(IF($F$1:$F$500&lt;&gt;"",ROW($1:$500),1000),ROW(F312)))&amp;""</f>
        <v/>
      </c>
      <c r="I312" s="6" t="str">
        <f t="array" ref="I312">INDEX(G:G,SMALL(IF($F$1:$F$500&lt;&gt;"",ROW($1:$500),1000),ROW(G312)))&amp;""</f>
        <v/>
      </c>
      <c r="N312" s="6"/>
      <c r="S312" s="6" t="str">
        <f t="array" ref="S312">INDEX(Q:Q,SMALL(IF($F$1:$F$500&lt;&gt;"",ROW($1:$500),1000),ROW(Q312)))&amp;""</f>
        <v/>
      </c>
      <c r="X312" s="6"/>
      <c r="AC312" s="6" t="str">
        <f t="array" ref="AC312">INDEX(AA:AA,SMALL(IF($F$1:$F$500&lt;&gt;"",ROW($1:$500),1000),ROW(AA312)))&amp;""</f>
        <v/>
      </c>
      <c r="AH312" s="6"/>
      <c r="AM312" s="6" t="str">
        <f t="array" ref="AM312">INDEX(AK:AK,SMALL(IF($F$1:$F$500&lt;&gt;"",ROW($1:$500),1000),ROW(AK312)))&amp;""</f>
        <v/>
      </c>
      <c r="AW312" s="6" t="str">
        <f t="array" ref="AW312">INDEX(AU:AU,SMALL(IF($F$1:$F$500&lt;&gt;"",ROW($1:$500),1000),ROW(AU312)))&amp;""</f>
        <v/>
      </c>
      <c r="BG312" s="6" t="str">
        <f t="array" ref="BG312">INDEX(BE:BE,SMALL(IF($F$1:$F$500&lt;&gt;"",ROW($1:$500),1000),ROW(BE312)))&amp;""</f>
        <v/>
      </c>
      <c r="BL312" s="6"/>
      <c r="BQ312" s="6" t="str">
        <f t="array" ref="BQ312">INDEX(BO:BO,SMALL(IF($F$1:$F$500&lt;&gt;"",ROW($1:$500),1000),ROW(BO312)))&amp;""</f>
        <v/>
      </c>
      <c r="BV312" s="6"/>
      <c r="CA312" s="6" t="str">
        <f t="array" ref="CA312">INDEX(BY:BY,SMALL(IF($F$1:$F$500&lt;&gt;"",ROW($1:$500),1000),ROW(BY312)))&amp;""</f>
        <v/>
      </c>
    </row>
    <row r="313" spans="1:79">
      <c r="A313" s="8" t="s">
        <v>3430</v>
      </c>
      <c r="B313" s="8" t="s">
        <v>1642</v>
      </c>
      <c r="C313" s="8" t="s">
        <v>494</v>
      </c>
      <c r="D313" s="9">
        <v>8</v>
      </c>
      <c r="F313" s="8" t="str">
        <f t="shared" si="20"/>
        <v/>
      </c>
      <c r="G313" s="8" t="str">
        <f>IF(AND(VLOOKUP(C313,查询!$C$8:$E$15,3,FALSE)="启用",$B$1=D313),B313,"")</f>
        <v/>
      </c>
      <c r="H313" s="6" t="str">
        <f t="array" ref="H313">INDEX(F:F,SMALL(IF($F$1:$F$500&lt;&gt;"",ROW($1:$500),1000),ROW(F313)))&amp;""</f>
        <v/>
      </c>
      <c r="I313" s="6" t="str">
        <f t="array" ref="I313">INDEX(G:G,SMALL(IF($F$1:$F$500&lt;&gt;"",ROW($1:$500),1000),ROW(G313)))&amp;""</f>
        <v/>
      </c>
      <c r="N313" s="6"/>
      <c r="S313" s="6" t="str">
        <f t="array" ref="S313">INDEX(Q:Q,SMALL(IF($F$1:$F$500&lt;&gt;"",ROW($1:$500),1000),ROW(Q313)))&amp;""</f>
        <v/>
      </c>
      <c r="X313" s="6"/>
      <c r="AC313" s="6" t="str">
        <f t="array" ref="AC313">INDEX(AA:AA,SMALL(IF($F$1:$F$500&lt;&gt;"",ROW($1:$500),1000),ROW(AA313)))&amp;""</f>
        <v/>
      </c>
      <c r="AH313" s="6"/>
      <c r="AM313" s="6" t="str">
        <f t="array" ref="AM313">INDEX(AK:AK,SMALL(IF($F$1:$F$500&lt;&gt;"",ROW($1:$500),1000),ROW(AK313)))&amp;""</f>
        <v/>
      </c>
      <c r="AW313" s="6" t="str">
        <f t="array" ref="AW313">INDEX(AU:AU,SMALL(IF($F$1:$F$500&lt;&gt;"",ROW($1:$500),1000),ROW(AU313)))&amp;""</f>
        <v/>
      </c>
      <c r="BG313" s="6" t="str">
        <f t="array" ref="BG313">INDEX(BE:BE,SMALL(IF($F$1:$F$500&lt;&gt;"",ROW($1:$500),1000),ROW(BE313)))&amp;""</f>
        <v/>
      </c>
      <c r="BL313" s="6"/>
      <c r="BQ313" s="6" t="str">
        <f t="array" ref="BQ313">INDEX(BO:BO,SMALL(IF($F$1:$F$500&lt;&gt;"",ROW($1:$500),1000),ROW(BO313)))&amp;""</f>
        <v/>
      </c>
      <c r="BV313" s="6"/>
      <c r="CA313" s="6" t="str">
        <f t="array" ref="CA313">INDEX(BY:BY,SMALL(IF($F$1:$F$500&lt;&gt;"",ROW($1:$500),1000),ROW(BY313)))&amp;""</f>
        <v/>
      </c>
    </row>
    <row r="314" spans="1:79">
      <c r="A314" s="8" t="s">
        <v>3385</v>
      </c>
      <c r="B314" s="8" t="s">
        <v>1319</v>
      </c>
      <c r="C314" s="8" t="s">
        <v>1249</v>
      </c>
      <c r="D314" s="9">
        <v>8</v>
      </c>
      <c r="F314" s="8" t="str">
        <f t="shared" si="20"/>
        <v/>
      </c>
      <c r="G314" s="8" t="str">
        <f>IF(AND(VLOOKUP(C314,查询!$C$8:$E$15,3,FALSE)="启用",$B$1=D314),B314,"")</f>
        <v/>
      </c>
      <c r="H314" s="6" t="str">
        <f t="array" ref="H314">INDEX(F:F,SMALL(IF($F$1:$F$500&lt;&gt;"",ROW($1:$500),1000),ROW(F314)))&amp;""</f>
        <v/>
      </c>
      <c r="I314" s="6" t="str">
        <f t="array" ref="I314">INDEX(G:G,SMALL(IF($F$1:$F$500&lt;&gt;"",ROW($1:$500),1000),ROW(G314)))&amp;""</f>
        <v/>
      </c>
      <c r="N314" s="6"/>
      <c r="S314" s="6" t="str">
        <f t="array" ref="S314">INDEX(Q:Q,SMALL(IF($F$1:$F$500&lt;&gt;"",ROW($1:$500),1000),ROW(Q314)))&amp;""</f>
        <v/>
      </c>
      <c r="X314" s="6"/>
      <c r="AC314" s="6" t="str">
        <f t="array" ref="AC314">INDEX(AA:AA,SMALL(IF($F$1:$F$500&lt;&gt;"",ROW($1:$500),1000),ROW(AA314)))&amp;""</f>
        <v/>
      </c>
      <c r="AH314" s="6"/>
      <c r="AM314" s="6" t="str">
        <f t="array" ref="AM314">INDEX(AK:AK,SMALL(IF($F$1:$F$500&lt;&gt;"",ROW($1:$500),1000),ROW(AK314)))&amp;""</f>
        <v/>
      </c>
      <c r="AW314" s="6" t="str">
        <f t="array" ref="AW314">INDEX(AU:AU,SMALL(IF($F$1:$F$500&lt;&gt;"",ROW($1:$500),1000),ROW(AU314)))&amp;""</f>
        <v/>
      </c>
      <c r="BG314" s="6" t="str">
        <f t="array" ref="BG314">INDEX(BE:BE,SMALL(IF($F$1:$F$500&lt;&gt;"",ROW($1:$500),1000),ROW(BE314)))&amp;""</f>
        <v/>
      </c>
      <c r="BL314" s="6"/>
      <c r="BQ314" s="6" t="str">
        <f t="array" ref="BQ314">INDEX(BO:BO,SMALL(IF($F$1:$F$500&lt;&gt;"",ROW($1:$500),1000),ROW(BO314)))&amp;""</f>
        <v/>
      </c>
      <c r="BV314" s="6"/>
      <c r="CA314" s="6" t="str">
        <f t="array" ref="CA314">INDEX(BY:BY,SMALL(IF($F$1:$F$500&lt;&gt;"",ROW($1:$500),1000),ROW(BY314)))&amp;""</f>
        <v/>
      </c>
    </row>
    <row r="315" spans="1:79">
      <c r="A315" s="8" t="s">
        <v>3434</v>
      </c>
      <c r="B315" s="8" t="s">
        <v>1653</v>
      </c>
      <c r="C315" s="8" t="s">
        <v>494</v>
      </c>
      <c r="D315" s="9">
        <v>8</v>
      </c>
      <c r="F315" s="8" t="str">
        <f t="shared" si="20"/>
        <v/>
      </c>
      <c r="G315" s="8" t="str">
        <f>IF(AND(VLOOKUP(C315,查询!$C$8:$E$15,3,FALSE)="启用",$B$1=D315),B315,"")</f>
        <v/>
      </c>
      <c r="H315" s="6" t="str">
        <f t="array" ref="H315">INDEX(F:F,SMALL(IF($F$1:$F$500&lt;&gt;"",ROW($1:$500),1000),ROW(F315)))&amp;""</f>
        <v/>
      </c>
      <c r="I315" s="6" t="str">
        <f t="array" ref="I315">INDEX(G:G,SMALL(IF($F$1:$F$500&lt;&gt;"",ROW($1:$500),1000),ROW(G315)))&amp;""</f>
        <v/>
      </c>
      <c r="N315" s="6"/>
      <c r="S315" s="6" t="str">
        <f t="array" ref="S315">INDEX(Q:Q,SMALL(IF($F$1:$F$500&lt;&gt;"",ROW($1:$500),1000),ROW(Q315)))&amp;""</f>
        <v/>
      </c>
      <c r="X315" s="6"/>
      <c r="AC315" s="6" t="str">
        <f t="array" ref="AC315">INDEX(AA:AA,SMALL(IF($F$1:$F$500&lt;&gt;"",ROW($1:$500),1000),ROW(AA315)))&amp;""</f>
        <v/>
      </c>
      <c r="AH315" s="6"/>
      <c r="AM315" s="6" t="str">
        <f t="array" ref="AM315">INDEX(AK:AK,SMALL(IF($F$1:$F$500&lt;&gt;"",ROW($1:$500),1000),ROW(AK315)))&amp;""</f>
        <v/>
      </c>
      <c r="AW315" s="6" t="str">
        <f t="array" ref="AW315">INDEX(AU:AU,SMALL(IF($F$1:$F$500&lt;&gt;"",ROW($1:$500),1000),ROW(AU315)))&amp;""</f>
        <v/>
      </c>
      <c r="BG315" s="6" t="str">
        <f t="array" ref="BG315">INDEX(BE:BE,SMALL(IF($F$1:$F$500&lt;&gt;"",ROW($1:$500),1000),ROW(BE315)))&amp;""</f>
        <v/>
      </c>
      <c r="BL315" s="6"/>
      <c r="BQ315" s="6" t="str">
        <f t="array" ref="BQ315">INDEX(BO:BO,SMALL(IF($F$1:$F$500&lt;&gt;"",ROW($1:$500),1000),ROW(BO315)))&amp;""</f>
        <v/>
      </c>
      <c r="BV315" s="6"/>
      <c r="CA315" s="6" t="str">
        <f t="array" ref="CA315">INDEX(BY:BY,SMALL(IF($F$1:$F$500&lt;&gt;"",ROW($1:$500),1000),ROW(BY315)))&amp;""</f>
        <v/>
      </c>
    </row>
    <row r="316" spans="1:79">
      <c r="A316" s="8" t="s">
        <v>3388</v>
      </c>
      <c r="B316" s="8" t="s">
        <v>1321</v>
      </c>
      <c r="C316" s="8" t="s">
        <v>1249</v>
      </c>
      <c r="D316" s="9">
        <v>8</v>
      </c>
      <c r="F316" s="8" t="str">
        <f t="shared" si="20"/>
        <v/>
      </c>
      <c r="G316" s="8" t="str">
        <f>IF(AND(VLOOKUP(C316,查询!$C$8:$E$15,3,FALSE)="启用",$B$1=D316),B316,"")</f>
        <v/>
      </c>
      <c r="H316" s="6" t="str">
        <f t="array" ref="H316">INDEX(F:F,SMALL(IF($F$1:$F$500&lt;&gt;"",ROW($1:$500),1000),ROW(F316)))&amp;""</f>
        <v/>
      </c>
      <c r="I316" s="6" t="str">
        <f t="array" ref="I316">INDEX(G:G,SMALL(IF($F$1:$F$500&lt;&gt;"",ROW($1:$500),1000),ROW(G316)))&amp;""</f>
        <v/>
      </c>
      <c r="N316" s="6"/>
      <c r="S316" s="6" t="str">
        <f t="array" ref="S316">INDEX(Q:Q,SMALL(IF($F$1:$F$500&lt;&gt;"",ROW($1:$500),1000),ROW(Q316)))&amp;""</f>
        <v/>
      </c>
      <c r="X316" s="6"/>
      <c r="AC316" s="6" t="str">
        <f t="array" ref="AC316">INDEX(AA:AA,SMALL(IF($F$1:$F$500&lt;&gt;"",ROW($1:$500),1000),ROW(AA316)))&amp;""</f>
        <v/>
      </c>
      <c r="AH316" s="6"/>
      <c r="AM316" s="6" t="str">
        <f t="array" ref="AM316">INDEX(AK:AK,SMALL(IF($F$1:$F$500&lt;&gt;"",ROW($1:$500),1000),ROW(AK316)))&amp;""</f>
        <v/>
      </c>
      <c r="AW316" s="6" t="str">
        <f t="array" ref="AW316">INDEX(AU:AU,SMALL(IF($F$1:$F$500&lt;&gt;"",ROW($1:$500),1000),ROW(AU316)))&amp;""</f>
        <v/>
      </c>
      <c r="BG316" s="6" t="str">
        <f t="array" ref="BG316">INDEX(BE:BE,SMALL(IF($F$1:$F$500&lt;&gt;"",ROW($1:$500),1000),ROW(BE316)))&amp;""</f>
        <v/>
      </c>
      <c r="BL316" s="6"/>
      <c r="BQ316" s="6" t="str">
        <f t="array" ref="BQ316">INDEX(BO:BO,SMALL(IF($F$1:$F$500&lt;&gt;"",ROW($1:$500),1000),ROW(BO316)))&amp;""</f>
        <v/>
      </c>
      <c r="BV316" s="6"/>
      <c r="CA316" s="6" t="str">
        <f t="array" ref="CA316">INDEX(BY:BY,SMALL(IF($F$1:$F$500&lt;&gt;"",ROW($1:$500),1000),ROW(BY316)))&amp;""</f>
        <v/>
      </c>
    </row>
    <row r="317" spans="1:79">
      <c r="A317" s="8" t="s">
        <v>3436</v>
      </c>
      <c r="B317" s="8" t="s">
        <v>1668</v>
      </c>
      <c r="C317" s="8" t="s">
        <v>494</v>
      </c>
      <c r="D317" s="9">
        <v>8</v>
      </c>
      <c r="F317" s="8" t="str">
        <f t="shared" si="20"/>
        <v/>
      </c>
      <c r="G317" s="8" t="str">
        <f>IF(AND(VLOOKUP(C317,查询!$C$8:$E$15,3,FALSE)="启用",$B$1=D317),B317,"")</f>
        <v/>
      </c>
      <c r="H317" s="6" t="str">
        <f t="array" ref="H317">INDEX(F:F,SMALL(IF($F$1:$F$500&lt;&gt;"",ROW($1:$500),1000),ROW(F317)))&amp;""</f>
        <v/>
      </c>
      <c r="I317" s="6" t="str">
        <f t="array" ref="I317">INDEX(G:G,SMALL(IF($F$1:$F$500&lt;&gt;"",ROW($1:$500),1000),ROW(G317)))&amp;""</f>
        <v/>
      </c>
      <c r="N317" s="6"/>
      <c r="S317" s="6" t="str">
        <f t="array" ref="S317">INDEX(Q:Q,SMALL(IF($F$1:$F$500&lt;&gt;"",ROW($1:$500),1000),ROW(Q317)))&amp;""</f>
        <v/>
      </c>
      <c r="X317" s="6"/>
      <c r="AC317" s="6" t="str">
        <f t="array" ref="AC317">INDEX(AA:AA,SMALL(IF($F$1:$F$500&lt;&gt;"",ROW($1:$500),1000),ROW(AA317)))&amp;""</f>
        <v/>
      </c>
      <c r="AH317" s="6"/>
      <c r="AM317" s="6" t="str">
        <f t="array" ref="AM317">INDEX(AK:AK,SMALL(IF($F$1:$F$500&lt;&gt;"",ROW($1:$500),1000),ROW(AK317)))&amp;""</f>
        <v/>
      </c>
      <c r="AW317" s="6" t="str">
        <f t="array" ref="AW317">INDEX(AU:AU,SMALL(IF($F$1:$F$500&lt;&gt;"",ROW($1:$500),1000),ROW(AU317)))&amp;""</f>
        <v/>
      </c>
      <c r="BG317" s="6" t="str">
        <f t="array" ref="BG317">INDEX(BE:BE,SMALL(IF($F$1:$F$500&lt;&gt;"",ROW($1:$500),1000),ROW(BE317)))&amp;""</f>
        <v/>
      </c>
      <c r="BL317" s="6"/>
      <c r="BQ317" s="6" t="str">
        <f t="array" ref="BQ317">INDEX(BO:BO,SMALL(IF($F$1:$F$500&lt;&gt;"",ROW($1:$500),1000),ROW(BO317)))&amp;""</f>
        <v/>
      </c>
      <c r="BV317" s="6"/>
      <c r="CA317" s="6" t="str">
        <f t="array" ref="CA317">INDEX(BY:BY,SMALL(IF($F$1:$F$500&lt;&gt;"",ROW($1:$500),1000),ROW(BY317)))&amp;""</f>
        <v/>
      </c>
    </row>
    <row r="318" spans="1:79">
      <c r="A318" s="8" t="s">
        <v>3440</v>
      </c>
      <c r="B318" s="8" t="s">
        <v>1698</v>
      </c>
      <c r="C318" s="8" t="s">
        <v>494</v>
      </c>
      <c r="D318" s="9">
        <v>8</v>
      </c>
      <c r="F318" s="8" t="str">
        <f t="shared" si="20"/>
        <v/>
      </c>
      <c r="G318" s="8" t="str">
        <f>IF(AND(VLOOKUP(C318,查询!$C$8:$E$15,3,FALSE)="启用",$B$1=D318),B318,"")</f>
        <v/>
      </c>
      <c r="H318" s="6" t="str">
        <f t="array" ref="H318">INDEX(F:F,SMALL(IF($F$1:$F$500&lt;&gt;"",ROW($1:$500),1000),ROW(F318)))&amp;""</f>
        <v/>
      </c>
      <c r="I318" s="6" t="str">
        <f t="array" ref="I318">INDEX(G:G,SMALL(IF($F$1:$F$500&lt;&gt;"",ROW($1:$500),1000),ROW(G318)))&amp;""</f>
        <v/>
      </c>
      <c r="N318" s="6"/>
      <c r="S318" s="6" t="str">
        <f t="array" ref="S318">INDEX(Q:Q,SMALL(IF($F$1:$F$500&lt;&gt;"",ROW($1:$500),1000),ROW(Q318)))&amp;""</f>
        <v/>
      </c>
      <c r="X318" s="6"/>
      <c r="AC318" s="6" t="str">
        <f t="array" ref="AC318">INDEX(AA:AA,SMALL(IF($F$1:$F$500&lt;&gt;"",ROW($1:$500),1000),ROW(AA318)))&amp;""</f>
        <v/>
      </c>
      <c r="AH318" s="6"/>
      <c r="AM318" s="6" t="str">
        <f t="array" ref="AM318">INDEX(AK:AK,SMALL(IF($F$1:$F$500&lt;&gt;"",ROW($1:$500),1000),ROW(AK318)))&amp;""</f>
        <v/>
      </c>
      <c r="AW318" s="6" t="str">
        <f t="array" ref="AW318">INDEX(AU:AU,SMALL(IF($F$1:$F$500&lt;&gt;"",ROW($1:$500),1000),ROW(AU318)))&amp;""</f>
        <v/>
      </c>
      <c r="BG318" s="6" t="str">
        <f t="array" ref="BG318">INDEX(BE:BE,SMALL(IF($F$1:$F$500&lt;&gt;"",ROW($1:$500),1000),ROW(BE318)))&amp;""</f>
        <v/>
      </c>
      <c r="BL318" s="6"/>
      <c r="BQ318" s="6" t="str">
        <f t="array" ref="BQ318">INDEX(BO:BO,SMALL(IF($F$1:$F$500&lt;&gt;"",ROW($1:$500),1000),ROW(BO318)))&amp;""</f>
        <v/>
      </c>
      <c r="BV318" s="6"/>
      <c r="CA318" s="6" t="str">
        <f t="array" ref="CA318">INDEX(BY:BY,SMALL(IF($F$1:$F$500&lt;&gt;"",ROW($1:$500),1000),ROW(BY318)))&amp;""</f>
        <v/>
      </c>
    </row>
    <row r="319" spans="1:79">
      <c r="A319" s="8" t="s">
        <v>3447</v>
      </c>
      <c r="B319" s="8" t="s">
        <v>1703</v>
      </c>
      <c r="C319" s="8" t="s">
        <v>494</v>
      </c>
      <c r="D319" s="9">
        <v>8</v>
      </c>
      <c r="F319" s="8" t="str">
        <f t="shared" si="20"/>
        <v/>
      </c>
      <c r="G319" s="8" t="str">
        <f>IF(AND(VLOOKUP(C319,查询!$C$8:$E$15,3,FALSE)="启用",$B$1=D319),B319,"")</f>
        <v/>
      </c>
      <c r="H319" s="6" t="str">
        <f t="array" ref="H319">INDEX(F:F,SMALL(IF($F$1:$F$500&lt;&gt;"",ROW($1:$500),1000),ROW(F319)))&amp;""</f>
        <v/>
      </c>
      <c r="I319" s="6" t="str">
        <f t="array" ref="I319">INDEX(G:G,SMALL(IF($F$1:$F$500&lt;&gt;"",ROW($1:$500),1000),ROW(G319)))&amp;""</f>
        <v/>
      </c>
      <c r="N319" s="6"/>
      <c r="S319" s="6" t="str">
        <f t="array" ref="S319">INDEX(Q:Q,SMALL(IF($F$1:$F$500&lt;&gt;"",ROW($1:$500),1000),ROW(Q319)))&amp;""</f>
        <v/>
      </c>
      <c r="X319" s="6"/>
      <c r="AC319" s="6" t="str">
        <f t="array" ref="AC319">INDEX(AA:AA,SMALL(IF($F$1:$F$500&lt;&gt;"",ROW($1:$500),1000),ROW(AA319)))&amp;""</f>
        <v/>
      </c>
      <c r="AH319" s="6"/>
      <c r="AM319" s="6" t="str">
        <f t="array" ref="AM319">INDEX(AK:AK,SMALL(IF($F$1:$F$500&lt;&gt;"",ROW($1:$500),1000),ROW(AK319)))&amp;""</f>
        <v/>
      </c>
      <c r="AW319" s="6" t="str">
        <f t="array" ref="AW319">INDEX(AU:AU,SMALL(IF($F$1:$F$500&lt;&gt;"",ROW($1:$500),1000),ROW(AU319)))&amp;""</f>
        <v/>
      </c>
      <c r="BG319" s="6" t="str">
        <f t="array" ref="BG319">INDEX(BE:BE,SMALL(IF($F$1:$F$500&lt;&gt;"",ROW($1:$500),1000),ROW(BE319)))&amp;""</f>
        <v/>
      </c>
      <c r="BL319" s="6"/>
      <c r="BQ319" s="6" t="str">
        <f t="array" ref="BQ319">INDEX(BO:BO,SMALL(IF($F$1:$F$500&lt;&gt;"",ROW($1:$500),1000),ROW(BO319)))&amp;""</f>
        <v/>
      </c>
      <c r="BV319" s="6"/>
      <c r="CA319" s="6" t="str">
        <f t="array" ref="CA319">INDEX(BY:BY,SMALL(IF($F$1:$F$500&lt;&gt;"",ROW($1:$500),1000),ROW(BY319)))&amp;""</f>
        <v/>
      </c>
    </row>
    <row r="320" spans="1:79">
      <c r="A320" s="8" t="s">
        <v>3470</v>
      </c>
      <c r="B320" s="8" t="s">
        <v>1375</v>
      </c>
      <c r="C320" s="8" t="s">
        <v>494</v>
      </c>
      <c r="D320" s="9">
        <v>9</v>
      </c>
      <c r="F320" s="8" t="str">
        <f t="shared" si="20"/>
        <v/>
      </c>
      <c r="G320" s="8" t="str">
        <f>IF(AND(VLOOKUP(C320,查询!$C$8:$E$15,3,FALSE)="启用",$B$1=D320),B320,"")</f>
        <v/>
      </c>
      <c r="H320" s="6" t="str">
        <f t="array" ref="H320">INDEX(F:F,SMALL(IF($F$1:$F$500&lt;&gt;"",ROW($1:$500),1000),ROW(F320)))&amp;""</f>
        <v/>
      </c>
      <c r="I320" s="6" t="str">
        <f t="array" ref="I320">INDEX(G:G,SMALL(IF($F$1:$F$500&lt;&gt;"",ROW($1:$500),1000),ROW(G320)))&amp;""</f>
        <v/>
      </c>
      <c r="N320" s="6"/>
      <c r="S320" s="6" t="str">
        <f t="array" ref="S320">INDEX(Q:Q,SMALL(IF($F$1:$F$500&lt;&gt;"",ROW($1:$500),1000),ROW(Q320)))&amp;""</f>
        <v/>
      </c>
      <c r="X320" s="6"/>
      <c r="AC320" s="6" t="str">
        <f t="array" ref="AC320">INDEX(AA:AA,SMALL(IF($F$1:$F$500&lt;&gt;"",ROW($1:$500),1000),ROW(AA320)))&amp;""</f>
        <v/>
      </c>
      <c r="AH320" s="6"/>
      <c r="AM320" s="6" t="str">
        <f t="array" ref="AM320">INDEX(AK:AK,SMALL(IF($F$1:$F$500&lt;&gt;"",ROW($1:$500),1000),ROW(AK320)))&amp;""</f>
        <v/>
      </c>
      <c r="AW320" s="6" t="str">
        <f t="array" ref="AW320">INDEX(AU:AU,SMALL(IF($F$1:$F$500&lt;&gt;"",ROW($1:$500),1000),ROW(AU320)))&amp;""</f>
        <v/>
      </c>
      <c r="BG320" s="6" t="str">
        <f t="array" ref="BG320">INDEX(BE:BE,SMALL(IF($F$1:$F$500&lt;&gt;"",ROW($1:$500),1000),ROW(BE320)))&amp;""</f>
        <v/>
      </c>
      <c r="BL320" s="6"/>
      <c r="BQ320" s="6" t="str">
        <f t="array" ref="BQ320">INDEX(BO:BO,SMALL(IF($F$1:$F$500&lt;&gt;"",ROW($1:$500),1000),ROW(BO320)))&amp;""</f>
        <v/>
      </c>
      <c r="BV320" s="6"/>
      <c r="CA320" s="6" t="str">
        <f t="array" ref="CA320">INDEX(BY:BY,SMALL(IF($F$1:$F$500&lt;&gt;"",ROW($1:$500),1000),ROW(BY320)))&amp;""</f>
        <v/>
      </c>
    </row>
    <row r="321" spans="1:79">
      <c r="A321" s="8" t="s">
        <v>3457</v>
      </c>
      <c r="B321" s="8" t="s">
        <v>1273</v>
      </c>
      <c r="C321" s="8" t="s">
        <v>1249</v>
      </c>
      <c r="D321" s="9">
        <v>9</v>
      </c>
      <c r="F321" s="8" t="str">
        <f t="shared" si="20"/>
        <v/>
      </c>
      <c r="G321" s="8" t="str">
        <f>IF(AND(VLOOKUP(C321,查询!$C$8:$E$15,3,FALSE)="启用",$B$1=D321),B321,"")</f>
        <v/>
      </c>
      <c r="H321" s="6" t="str">
        <f t="array" ref="H321">INDEX(F:F,SMALL(IF($F$1:$F$500&lt;&gt;"",ROW($1:$500),1000),ROW(F321)))&amp;""</f>
        <v/>
      </c>
      <c r="I321" s="6" t="str">
        <f t="array" ref="I321">INDEX(G:G,SMALL(IF($F$1:$F$500&lt;&gt;"",ROW($1:$500),1000),ROW(G321)))&amp;""</f>
        <v/>
      </c>
      <c r="N321" s="6"/>
      <c r="S321" s="6" t="str">
        <f t="array" ref="S321">INDEX(Q:Q,SMALL(IF($F$1:$F$500&lt;&gt;"",ROW($1:$500),1000),ROW(Q321)))&amp;""</f>
        <v/>
      </c>
      <c r="X321" s="6"/>
      <c r="AC321" s="6" t="str">
        <f t="array" ref="AC321">INDEX(AA:AA,SMALL(IF($F$1:$F$500&lt;&gt;"",ROW($1:$500),1000),ROW(AA321)))&amp;""</f>
        <v/>
      </c>
      <c r="AH321" s="6"/>
      <c r="AM321" s="6" t="str">
        <f t="array" ref="AM321">INDEX(AK:AK,SMALL(IF($F$1:$F$500&lt;&gt;"",ROW($1:$500),1000),ROW(AK321)))&amp;""</f>
        <v/>
      </c>
      <c r="AW321" s="6" t="str">
        <f t="array" ref="AW321">INDEX(AU:AU,SMALL(IF($F$1:$F$500&lt;&gt;"",ROW($1:$500),1000),ROW(AU321)))&amp;""</f>
        <v/>
      </c>
      <c r="BG321" s="6" t="str">
        <f t="array" ref="BG321">INDEX(BE:BE,SMALL(IF($F$1:$F$500&lt;&gt;"",ROW($1:$500),1000),ROW(BE321)))&amp;""</f>
        <v/>
      </c>
      <c r="BL321" s="6"/>
      <c r="BQ321" s="6" t="str">
        <f t="array" ref="BQ321">INDEX(BO:BO,SMALL(IF($F$1:$F$500&lt;&gt;"",ROW($1:$500),1000),ROW(BO321)))&amp;""</f>
        <v/>
      </c>
      <c r="BV321" s="6"/>
      <c r="CA321" s="6" t="str">
        <f t="array" ref="CA321">INDEX(BY:BY,SMALL(IF($F$1:$F$500&lt;&gt;"",ROW($1:$500),1000),ROW(BY321)))&amp;""</f>
        <v/>
      </c>
    </row>
    <row r="322" spans="1:79">
      <c r="A322" s="8" t="s">
        <v>3474</v>
      </c>
      <c r="B322" s="8" t="s">
        <v>1422</v>
      </c>
      <c r="C322" s="8" t="s">
        <v>494</v>
      </c>
      <c r="D322" s="9">
        <v>9</v>
      </c>
      <c r="F322" s="8" t="str">
        <f t="shared" ref="F322:F334" si="21">IF(G322="","",A322)</f>
        <v/>
      </c>
      <c r="G322" s="8" t="str">
        <f>IF(AND(VLOOKUP(C322,查询!$C$8:$E$15,3,FALSE)="启用",$B$1=D322),B322,"")</f>
        <v/>
      </c>
      <c r="H322" s="6" t="str">
        <f t="array" ref="H322">INDEX(F:F,SMALL(IF($F$1:$F$500&lt;&gt;"",ROW($1:$500),1000),ROW(F322)))&amp;""</f>
        <v/>
      </c>
      <c r="I322" s="6" t="str">
        <f t="array" ref="I322">INDEX(G:G,SMALL(IF($F$1:$F$500&lt;&gt;"",ROW($1:$500),1000),ROW(G322)))&amp;""</f>
        <v/>
      </c>
      <c r="N322" s="6"/>
      <c r="S322" s="6" t="str">
        <f t="array" ref="S322">INDEX(Q:Q,SMALL(IF($F$1:$F$500&lt;&gt;"",ROW($1:$500),1000),ROW(Q322)))&amp;""</f>
        <v/>
      </c>
      <c r="X322" s="6"/>
      <c r="AC322" s="6" t="str">
        <f t="array" ref="AC322">INDEX(AA:AA,SMALL(IF($F$1:$F$500&lt;&gt;"",ROW($1:$500),1000),ROW(AA322)))&amp;""</f>
        <v/>
      </c>
      <c r="AH322" s="6"/>
      <c r="AM322" s="6" t="str">
        <f t="array" ref="AM322">INDEX(AK:AK,SMALL(IF($F$1:$F$500&lt;&gt;"",ROW($1:$500),1000),ROW(AK322)))&amp;""</f>
        <v/>
      </c>
      <c r="AW322" s="6" t="str">
        <f t="array" ref="AW322">INDEX(AU:AU,SMALL(IF($F$1:$F$500&lt;&gt;"",ROW($1:$500),1000),ROW(AU322)))&amp;""</f>
        <v/>
      </c>
      <c r="BG322" s="6" t="str">
        <f t="array" ref="BG322">INDEX(BE:BE,SMALL(IF($F$1:$F$500&lt;&gt;"",ROW($1:$500),1000),ROW(BE322)))&amp;""</f>
        <v/>
      </c>
      <c r="BL322" s="6"/>
      <c r="BQ322" s="6" t="str">
        <f t="array" ref="BQ322">INDEX(BO:BO,SMALL(IF($F$1:$F$500&lt;&gt;"",ROW($1:$500),1000),ROW(BO322)))&amp;""</f>
        <v/>
      </c>
      <c r="BV322" s="6"/>
      <c r="CA322" s="6" t="str">
        <f t="array" ref="CA322">INDEX(BY:BY,SMALL(IF($F$1:$F$500&lt;&gt;"",ROW($1:$500),1000),ROW(BY322)))&amp;""</f>
        <v/>
      </c>
    </row>
    <row r="323" spans="1:79">
      <c r="A323" s="8" t="s">
        <v>3477</v>
      </c>
      <c r="B323" s="8" t="s">
        <v>1430</v>
      </c>
      <c r="C323" s="8" t="s">
        <v>494</v>
      </c>
      <c r="D323" s="9">
        <v>9</v>
      </c>
      <c r="F323" s="8" t="str">
        <f t="shared" si="21"/>
        <v/>
      </c>
      <c r="G323" s="8" t="str">
        <f>IF(AND(VLOOKUP(C323,查询!$C$8:$E$15,3,FALSE)="启用",$B$1=D323),B323,"")</f>
        <v/>
      </c>
      <c r="H323" s="6" t="str">
        <f t="array" ref="H323">INDEX(F:F,SMALL(IF($F$1:$F$500&lt;&gt;"",ROW($1:$500),1000),ROW(F323)))&amp;""</f>
        <v/>
      </c>
      <c r="I323" s="6" t="str">
        <f t="array" ref="I323">INDEX(G:G,SMALL(IF($F$1:$F$500&lt;&gt;"",ROW($1:$500),1000),ROW(G323)))&amp;""</f>
        <v/>
      </c>
      <c r="N323" s="6"/>
      <c r="S323" s="6" t="str">
        <f t="array" ref="S323">INDEX(Q:Q,SMALL(IF($F$1:$F$500&lt;&gt;"",ROW($1:$500),1000),ROW(Q323)))&amp;""</f>
        <v/>
      </c>
      <c r="X323" s="6"/>
      <c r="AC323" s="6" t="str">
        <f t="array" ref="AC323">INDEX(AA:AA,SMALL(IF($F$1:$F$500&lt;&gt;"",ROW($1:$500),1000),ROW(AA323)))&amp;""</f>
        <v/>
      </c>
      <c r="AH323" s="6"/>
      <c r="AM323" s="6" t="str">
        <f t="array" ref="AM323">INDEX(AK:AK,SMALL(IF($F$1:$F$500&lt;&gt;"",ROW($1:$500),1000),ROW(AK323)))&amp;""</f>
        <v/>
      </c>
      <c r="AW323" s="6" t="str">
        <f t="array" ref="AW323">INDEX(AU:AU,SMALL(IF($F$1:$F$500&lt;&gt;"",ROW($1:$500),1000),ROW(AU323)))&amp;""</f>
        <v/>
      </c>
      <c r="BG323" s="6" t="str">
        <f t="array" ref="BG323">INDEX(BE:BE,SMALL(IF($F$1:$F$500&lt;&gt;"",ROW($1:$500),1000),ROW(BE323)))&amp;""</f>
        <v/>
      </c>
      <c r="BL323" s="6"/>
      <c r="BQ323" s="6" t="str">
        <f t="array" ref="BQ323">INDEX(BO:BO,SMALL(IF($F$1:$F$500&lt;&gt;"",ROW($1:$500),1000),ROW(BO323)))&amp;""</f>
        <v/>
      </c>
      <c r="BV323" s="6"/>
      <c r="CA323" s="6" t="str">
        <f t="array" ref="CA323">INDEX(BY:BY,SMALL(IF($F$1:$F$500&lt;&gt;"",ROW($1:$500),1000),ROW(BY323)))&amp;""</f>
        <v/>
      </c>
    </row>
    <row r="324" spans="1:79">
      <c r="A324" s="8" t="s">
        <v>3479</v>
      </c>
      <c r="B324" s="8" t="s">
        <v>1432</v>
      </c>
      <c r="C324" s="8" t="s">
        <v>494</v>
      </c>
      <c r="D324" s="9">
        <v>9</v>
      </c>
      <c r="F324" s="8" t="str">
        <f t="shared" si="21"/>
        <v/>
      </c>
      <c r="G324" s="8" t="str">
        <f>IF(AND(VLOOKUP(C324,查询!$C$8:$E$15,3,FALSE)="启用",$B$1=D324),B324,"")</f>
        <v/>
      </c>
      <c r="H324" s="6" t="str">
        <f t="array" ref="H324">INDEX(F:F,SMALL(IF($F$1:$F$500&lt;&gt;"",ROW($1:$500),1000),ROW(F324)))&amp;""</f>
        <v/>
      </c>
      <c r="I324" s="6" t="str">
        <f t="array" ref="I324">INDEX(G:G,SMALL(IF($F$1:$F$500&lt;&gt;"",ROW($1:$500),1000),ROW(G324)))&amp;""</f>
        <v/>
      </c>
      <c r="N324" s="6"/>
      <c r="S324" s="6" t="str">
        <f t="array" ref="S324">INDEX(Q:Q,SMALL(IF($F$1:$F$500&lt;&gt;"",ROW($1:$500),1000),ROW(Q324)))&amp;""</f>
        <v/>
      </c>
      <c r="X324" s="6"/>
      <c r="AC324" s="6" t="str">
        <f t="array" ref="AC324">INDEX(AA:AA,SMALL(IF($F$1:$F$500&lt;&gt;"",ROW($1:$500),1000),ROW(AA324)))&amp;""</f>
        <v/>
      </c>
      <c r="AH324" s="6"/>
      <c r="AM324" s="6" t="str">
        <f t="array" ref="AM324">INDEX(AK:AK,SMALL(IF($F$1:$F$500&lt;&gt;"",ROW($1:$500),1000),ROW(AK324)))&amp;""</f>
        <v/>
      </c>
      <c r="AW324" s="6" t="str">
        <f t="array" ref="AW324">INDEX(AU:AU,SMALL(IF($F$1:$F$500&lt;&gt;"",ROW($1:$500),1000),ROW(AU324)))&amp;""</f>
        <v/>
      </c>
      <c r="BG324" s="6" t="str">
        <f t="array" ref="BG324">INDEX(BE:BE,SMALL(IF($F$1:$F$500&lt;&gt;"",ROW($1:$500),1000),ROW(BE324)))&amp;""</f>
        <v/>
      </c>
      <c r="BL324" s="6"/>
      <c r="BQ324" s="6" t="str">
        <f t="array" ref="BQ324">INDEX(BO:BO,SMALL(IF($F$1:$F$500&lt;&gt;"",ROW($1:$500),1000),ROW(BO324)))&amp;""</f>
        <v/>
      </c>
      <c r="BV324" s="6"/>
      <c r="CA324" s="6" t="str">
        <f t="array" ref="CA324">INDEX(BY:BY,SMALL(IF($F$1:$F$500&lt;&gt;"",ROW($1:$500),1000),ROW(BY324)))&amp;""</f>
        <v/>
      </c>
    </row>
    <row r="325" spans="1:79">
      <c r="A325" s="8" t="s">
        <v>3460</v>
      </c>
      <c r="B325" s="8" t="s">
        <v>1293</v>
      </c>
      <c r="C325" s="8" t="s">
        <v>1249</v>
      </c>
      <c r="D325" s="9">
        <v>9</v>
      </c>
      <c r="F325" s="8" t="str">
        <f t="shared" si="21"/>
        <v/>
      </c>
      <c r="G325" s="8" t="str">
        <f>IF(AND(VLOOKUP(C325,查询!$C$8:$E$15,3,FALSE)="启用",$B$1=D325),B325,"")</f>
        <v/>
      </c>
      <c r="H325" s="6" t="str">
        <f t="array" ref="H325">INDEX(F:F,SMALL(IF($F$1:$F$500&lt;&gt;"",ROW($1:$500),1000),ROW(F325)))&amp;""</f>
        <v/>
      </c>
      <c r="I325" s="6" t="str">
        <f t="array" ref="I325">INDEX(G:G,SMALL(IF($F$1:$F$500&lt;&gt;"",ROW($1:$500),1000),ROW(G325)))&amp;""</f>
        <v/>
      </c>
      <c r="N325" s="6"/>
      <c r="S325" s="6" t="str">
        <f t="array" ref="S325">INDEX(Q:Q,SMALL(IF($F$1:$F$500&lt;&gt;"",ROW($1:$500),1000),ROW(Q325)))&amp;""</f>
        <v/>
      </c>
      <c r="X325" s="6"/>
      <c r="AC325" s="6" t="str">
        <f t="array" ref="AC325">INDEX(AA:AA,SMALL(IF($F$1:$F$500&lt;&gt;"",ROW($1:$500),1000),ROW(AA325)))&amp;""</f>
        <v/>
      </c>
      <c r="AH325" s="6"/>
      <c r="AM325" s="6" t="str">
        <f t="array" ref="AM325">INDEX(AK:AK,SMALL(IF($F$1:$F$500&lt;&gt;"",ROW($1:$500),1000),ROW(AK325)))&amp;""</f>
        <v/>
      </c>
      <c r="AW325" s="6" t="str">
        <f t="array" ref="AW325">INDEX(AU:AU,SMALL(IF($F$1:$F$500&lt;&gt;"",ROW($1:$500),1000),ROW(AU325)))&amp;""</f>
        <v/>
      </c>
      <c r="BG325" s="6" t="str">
        <f t="array" ref="BG325">INDEX(BE:BE,SMALL(IF($F$1:$F$500&lt;&gt;"",ROW($1:$500),1000),ROW(BE325)))&amp;""</f>
        <v/>
      </c>
      <c r="BL325" s="6"/>
      <c r="BQ325" s="6" t="str">
        <f t="array" ref="BQ325">INDEX(BO:BO,SMALL(IF($F$1:$F$500&lt;&gt;"",ROW($1:$500),1000),ROW(BO325)))&amp;""</f>
        <v/>
      </c>
      <c r="BV325" s="6"/>
      <c r="CA325" s="6" t="str">
        <f t="array" ref="CA325">INDEX(BY:BY,SMALL(IF($F$1:$F$500&lt;&gt;"",ROW($1:$500),1000),ROW(BY325)))&amp;""</f>
        <v/>
      </c>
    </row>
    <row r="326" spans="1:79">
      <c r="A326" s="8" t="s">
        <v>3482</v>
      </c>
      <c r="B326" s="8" t="s">
        <v>1437</v>
      </c>
      <c r="C326" s="8" t="s">
        <v>494</v>
      </c>
      <c r="D326" s="9">
        <v>9</v>
      </c>
      <c r="F326" s="8" t="str">
        <f t="shared" si="21"/>
        <v/>
      </c>
      <c r="G326" s="8" t="str">
        <f>IF(AND(VLOOKUP(C326,查询!$C$8:$E$15,3,FALSE)="启用",$B$1=D326),B326,"")</f>
        <v/>
      </c>
      <c r="H326" s="6" t="str">
        <f t="array" ref="H326">INDEX(F:F,SMALL(IF($F$1:$F$500&lt;&gt;"",ROW($1:$500),1000),ROW(F326)))&amp;""</f>
        <v/>
      </c>
      <c r="I326" s="6" t="str">
        <f t="array" ref="I326">INDEX(G:G,SMALL(IF($F$1:$F$500&lt;&gt;"",ROW($1:$500),1000),ROW(G326)))&amp;""</f>
        <v/>
      </c>
      <c r="N326" s="6"/>
      <c r="S326" s="6" t="str">
        <f t="array" ref="S326">INDEX(Q:Q,SMALL(IF($F$1:$F$500&lt;&gt;"",ROW($1:$500),1000),ROW(Q326)))&amp;""</f>
        <v/>
      </c>
      <c r="X326" s="6"/>
      <c r="AC326" s="6" t="str">
        <f t="array" ref="AC326">INDEX(AA:AA,SMALL(IF($F$1:$F$500&lt;&gt;"",ROW($1:$500),1000),ROW(AA326)))&amp;""</f>
        <v/>
      </c>
      <c r="AH326" s="6"/>
      <c r="AM326" s="6" t="str">
        <f t="array" ref="AM326">INDEX(AK:AK,SMALL(IF($F$1:$F$500&lt;&gt;"",ROW($1:$500),1000),ROW(AK326)))&amp;""</f>
        <v/>
      </c>
      <c r="AW326" s="6" t="str">
        <f t="array" ref="AW326">INDEX(AU:AU,SMALL(IF($F$1:$F$500&lt;&gt;"",ROW($1:$500),1000),ROW(AU326)))&amp;""</f>
        <v/>
      </c>
      <c r="BG326" s="6" t="str">
        <f t="array" ref="BG326">INDEX(BE:BE,SMALL(IF($F$1:$F$500&lt;&gt;"",ROW($1:$500),1000),ROW(BE326)))&amp;""</f>
        <v/>
      </c>
      <c r="BL326" s="6"/>
      <c r="BQ326" s="6" t="str">
        <f t="array" ref="BQ326">INDEX(BO:BO,SMALL(IF($F$1:$F$500&lt;&gt;"",ROW($1:$500),1000),ROW(BO326)))&amp;""</f>
        <v/>
      </c>
      <c r="BV326" s="6"/>
      <c r="CA326" s="6" t="str">
        <f t="array" ref="CA326">INDEX(BY:BY,SMALL(IF($F$1:$F$500&lt;&gt;"",ROW($1:$500),1000),ROW(BY326)))&amp;""</f>
        <v/>
      </c>
    </row>
    <row r="327" spans="1:79">
      <c r="A327" s="8" t="s">
        <v>3486</v>
      </c>
      <c r="B327" s="8" t="s">
        <v>1457</v>
      </c>
      <c r="C327" s="8" t="s">
        <v>494</v>
      </c>
      <c r="D327" s="9">
        <v>9</v>
      </c>
      <c r="F327" s="8" t="str">
        <f t="shared" si="21"/>
        <v/>
      </c>
      <c r="G327" s="8" t="str">
        <f>IF(AND(VLOOKUP(C327,查询!$C$8:$E$15,3,FALSE)="启用",$B$1=D327),B327,"")</f>
        <v/>
      </c>
      <c r="H327" s="6" t="str">
        <f t="array" ref="H327">INDEX(F:F,SMALL(IF($F$1:$F$500&lt;&gt;"",ROW($1:$500),1000),ROW(F327)))&amp;""</f>
        <v/>
      </c>
      <c r="I327" s="6" t="str">
        <f t="array" ref="I327">INDEX(G:G,SMALL(IF($F$1:$F$500&lt;&gt;"",ROW($1:$500),1000),ROW(G327)))&amp;""</f>
        <v/>
      </c>
      <c r="N327" s="6"/>
      <c r="S327" s="6" t="str">
        <f t="array" ref="S327">INDEX(Q:Q,SMALL(IF($F$1:$F$500&lt;&gt;"",ROW($1:$500),1000),ROW(Q327)))&amp;""</f>
        <v/>
      </c>
      <c r="X327" s="6"/>
      <c r="AC327" s="6" t="str">
        <f t="array" ref="AC327">INDEX(AA:AA,SMALL(IF($F$1:$F$500&lt;&gt;"",ROW($1:$500),1000),ROW(AA327)))&amp;""</f>
        <v/>
      </c>
      <c r="AH327" s="6"/>
      <c r="AM327" s="6" t="str">
        <f t="array" ref="AM327">INDEX(AK:AK,SMALL(IF($F$1:$F$500&lt;&gt;"",ROW($1:$500),1000),ROW(AK327)))&amp;""</f>
        <v/>
      </c>
      <c r="AW327" s="6" t="str">
        <f t="array" ref="AW327">INDEX(AU:AU,SMALL(IF($F$1:$F$500&lt;&gt;"",ROW($1:$500),1000),ROW(AU327)))&amp;""</f>
        <v/>
      </c>
      <c r="BG327" s="6" t="str">
        <f t="array" ref="BG327">INDEX(BE:BE,SMALL(IF($F$1:$F$500&lt;&gt;"",ROW($1:$500),1000),ROW(BE327)))&amp;""</f>
        <v/>
      </c>
      <c r="BL327" s="6"/>
      <c r="BQ327" s="6" t="str">
        <f t="array" ref="BQ327">INDEX(BO:BO,SMALL(IF($F$1:$F$500&lt;&gt;"",ROW($1:$500),1000),ROW(BO327)))&amp;""</f>
        <v/>
      </c>
      <c r="BV327" s="6"/>
      <c r="CA327" s="6" t="str">
        <f t="array" ref="CA327">INDEX(BY:BY,SMALL(IF($F$1:$F$500&lt;&gt;"",ROW($1:$500),1000),ROW(BY327)))&amp;""</f>
        <v/>
      </c>
    </row>
    <row r="328" spans="1:79">
      <c r="A328" s="8" t="s">
        <v>3488</v>
      </c>
      <c r="B328" s="8" t="s">
        <v>1538</v>
      </c>
      <c r="C328" s="8" t="s">
        <v>494</v>
      </c>
      <c r="D328" s="9">
        <v>9</v>
      </c>
      <c r="F328" s="8" t="str">
        <f t="shared" si="21"/>
        <v/>
      </c>
      <c r="G328" s="8" t="str">
        <f>IF(AND(VLOOKUP(C328,查询!$C$8:$E$15,3,FALSE)="启用",$B$1=D328),B328,"")</f>
        <v/>
      </c>
      <c r="H328" s="6" t="str">
        <f t="array" ref="H328">INDEX(F:F,SMALL(IF($F$1:$F$500&lt;&gt;"",ROW($1:$500),1000),ROW(F328)))&amp;""</f>
        <v/>
      </c>
      <c r="I328" s="6" t="str">
        <f t="array" ref="I328">INDEX(G:G,SMALL(IF($F$1:$F$500&lt;&gt;"",ROW($1:$500),1000),ROW(G328)))&amp;""</f>
        <v/>
      </c>
      <c r="N328" s="6"/>
      <c r="S328" s="6" t="str">
        <f t="array" ref="S328">INDEX(Q:Q,SMALL(IF($F$1:$F$500&lt;&gt;"",ROW($1:$500),1000),ROW(Q328)))&amp;""</f>
        <v/>
      </c>
      <c r="X328" s="6"/>
      <c r="AC328" s="6" t="str">
        <f t="array" ref="AC328">INDEX(AA:AA,SMALL(IF($F$1:$F$500&lt;&gt;"",ROW($1:$500),1000),ROW(AA328)))&amp;""</f>
        <v/>
      </c>
      <c r="AH328" s="6"/>
      <c r="AM328" s="6" t="str">
        <f t="array" ref="AM328">INDEX(AK:AK,SMALL(IF($F$1:$F$500&lt;&gt;"",ROW($1:$500),1000),ROW(AK328)))&amp;""</f>
        <v/>
      </c>
      <c r="AW328" s="6" t="str">
        <f t="array" ref="AW328">INDEX(AU:AU,SMALL(IF($F$1:$F$500&lt;&gt;"",ROW($1:$500),1000),ROW(AU328)))&amp;""</f>
        <v/>
      </c>
      <c r="BG328" s="6" t="str">
        <f t="array" ref="BG328">INDEX(BE:BE,SMALL(IF($F$1:$F$500&lt;&gt;"",ROW($1:$500),1000),ROW(BE328)))&amp;""</f>
        <v/>
      </c>
      <c r="BL328" s="6"/>
      <c r="BQ328" s="6" t="str">
        <f t="array" ref="BQ328">INDEX(BO:BO,SMALL(IF($F$1:$F$500&lt;&gt;"",ROW($1:$500),1000),ROW(BO328)))&amp;""</f>
        <v/>
      </c>
      <c r="BV328" s="6"/>
      <c r="CA328" s="6" t="str">
        <f t="array" ref="CA328">INDEX(BY:BY,SMALL(IF($F$1:$F$500&lt;&gt;"",ROW($1:$500),1000),ROW(BY328)))&amp;""</f>
        <v/>
      </c>
    </row>
    <row r="329" spans="1:79">
      <c r="A329" s="8" t="s">
        <v>3495</v>
      </c>
      <c r="B329" s="8" t="s">
        <v>1570</v>
      </c>
      <c r="C329" s="8" t="s">
        <v>494</v>
      </c>
      <c r="D329" s="9">
        <v>9</v>
      </c>
      <c r="F329" s="8" t="str">
        <f t="shared" si="21"/>
        <v/>
      </c>
      <c r="G329" s="8" t="str">
        <f>IF(AND(VLOOKUP(C329,查询!$C$8:$E$15,3,FALSE)="启用",$B$1=D329),B329,"")</f>
        <v/>
      </c>
      <c r="H329" s="6" t="str">
        <f t="array" ref="H329">INDEX(F:F,SMALL(IF($F$1:$F$500&lt;&gt;"",ROW($1:$500),1000),ROW(F329)))&amp;""</f>
        <v/>
      </c>
      <c r="I329" s="6" t="str">
        <f t="array" ref="I329">INDEX(G:G,SMALL(IF($F$1:$F$500&lt;&gt;"",ROW($1:$500),1000),ROW(G329)))&amp;""</f>
        <v/>
      </c>
      <c r="N329" s="6"/>
      <c r="S329" s="6" t="str">
        <f t="array" ref="S329">INDEX(Q:Q,SMALL(IF($F$1:$F$500&lt;&gt;"",ROW($1:$500),1000),ROW(Q329)))&amp;""</f>
        <v/>
      </c>
      <c r="X329" s="6"/>
      <c r="AC329" s="6" t="str">
        <f t="array" ref="AC329">INDEX(AA:AA,SMALL(IF($F$1:$F$500&lt;&gt;"",ROW($1:$500),1000),ROW(AA329)))&amp;""</f>
        <v/>
      </c>
      <c r="AH329" s="6"/>
      <c r="AM329" s="6" t="str">
        <f t="array" ref="AM329">INDEX(AK:AK,SMALL(IF($F$1:$F$500&lt;&gt;"",ROW($1:$500),1000),ROW(AK329)))&amp;""</f>
        <v/>
      </c>
      <c r="AW329" s="6" t="str">
        <f t="array" ref="AW329">INDEX(AU:AU,SMALL(IF($F$1:$F$500&lt;&gt;"",ROW($1:$500),1000),ROW(AU329)))&amp;""</f>
        <v/>
      </c>
      <c r="BG329" s="6" t="str">
        <f t="array" ref="BG329">INDEX(BE:BE,SMALL(IF($F$1:$F$500&lt;&gt;"",ROW($1:$500),1000),ROW(BE329)))&amp;""</f>
        <v/>
      </c>
      <c r="BL329" s="6"/>
      <c r="BQ329" s="6" t="str">
        <f t="array" ref="BQ329">INDEX(BO:BO,SMALL(IF($F$1:$F$500&lt;&gt;"",ROW($1:$500),1000),ROW(BO329)))&amp;""</f>
        <v/>
      </c>
      <c r="BV329" s="6"/>
      <c r="CA329" s="6" t="str">
        <f t="array" ref="CA329">INDEX(BY:BY,SMALL(IF($F$1:$F$500&lt;&gt;"",ROW($1:$500),1000),ROW(BY329)))&amp;""</f>
        <v/>
      </c>
    </row>
    <row r="330" spans="1:79">
      <c r="A330" s="8" t="s">
        <v>3500</v>
      </c>
      <c r="B330" s="8" t="s">
        <v>1572</v>
      </c>
      <c r="C330" s="8" t="s">
        <v>494</v>
      </c>
      <c r="D330" s="9">
        <v>9</v>
      </c>
      <c r="F330" s="8" t="str">
        <f t="shared" si="21"/>
        <v/>
      </c>
      <c r="G330" s="8" t="str">
        <f>IF(AND(VLOOKUP(C330,查询!$C$8:$E$15,3,FALSE)="启用",$B$1=D330),B330,"")</f>
        <v/>
      </c>
      <c r="H330" s="6" t="str">
        <f t="array" ref="H330">INDEX(F:F,SMALL(IF($F$1:$F$500&lt;&gt;"",ROW($1:$500),1000),ROW(F330)))&amp;""</f>
        <v/>
      </c>
      <c r="I330" s="6" t="str">
        <f t="array" ref="I330">INDEX(G:G,SMALL(IF($F$1:$F$500&lt;&gt;"",ROW($1:$500),1000),ROW(G330)))&amp;""</f>
        <v/>
      </c>
      <c r="N330" s="6"/>
      <c r="S330" s="6" t="str">
        <f t="array" ref="S330">INDEX(Q:Q,SMALL(IF($F$1:$F$500&lt;&gt;"",ROW($1:$500),1000),ROW(Q330)))&amp;""</f>
        <v/>
      </c>
      <c r="X330" s="6"/>
      <c r="AC330" s="6" t="str">
        <f t="array" ref="AC330">INDEX(AA:AA,SMALL(IF($F$1:$F$500&lt;&gt;"",ROW($1:$500),1000),ROW(AA330)))&amp;""</f>
        <v/>
      </c>
      <c r="AH330" s="6"/>
      <c r="AM330" s="6" t="str">
        <f t="array" ref="AM330">INDEX(AK:AK,SMALL(IF($F$1:$F$500&lt;&gt;"",ROW($1:$500),1000),ROW(AK330)))&amp;""</f>
        <v/>
      </c>
      <c r="AW330" s="6" t="str">
        <f t="array" ref="AW330">INDEX(AU:AU,SMALL(IF($F$1:$F$500&lt;&gt;"",ROW($1:$500),1000),ROW(AU330)))&amp;""</f>
        <v/>
      </c>
      <c r="BG330" s="6" t="str">
        <f t="array" ref="BG330">INDEX(BE:BE,SMALL(IF($F$1:$F$500&lt;&gt;"",ROW($1:$500),1000),ROW(BE330)))&amp;""</f>
        <v/>
      </c>
      <c r="BL330" s="6"/>
      <c r="BQ330" s="6" t="str">
        <f t="array" ref="BQ330">INDEX(BO:BO,SMALL(IF($F$1:$F$500&lt;&gt;"",ROW($1:$500),1000),ROW(BO330)))&amp;""</f>
        <v/>
      </c>
      <c r="BV330" s="6"/>
      <c r="CA330" s="6" t="str">
        <f t="array" ref="CA330">INDEX(BY:BY,SMALL(IF($F$1:$F$500&lt;&gt;"",ROW($1:$500),1000),ROW(BY330)))&amp;""</f>
        <v/>
      </c>
    </row>
    <row r="331" spans="1:79">
      <c r="A331" s="8" t="s">
        <v>3465</v>
      </c>
      <c r="B331" s="8" t="s">
        <v>1320</v>
      </c>
      <c r="C331" s="8" t="s">
        <v>1249</v>
      </c>
      <c r="D331" s="9">
        <v>9</v>
      </c>
      <c r="F331" s="8" t="str">
        <f t="shared" si="21"/>
        <v/>
      </c>
      <c r="G331" s="8" t="str">
        <f>IF(AND(VLOOKUP(C331,查询!$C$8:$E$15,3,FALSE)="启用",$B$1=D331),B331,"")</f>
        <v/>
      </c>
      <c r="H331" s="6" t="str">
        <f t="array" ref="H331">INDEX(F:F,SMALL(IF($F$1:$F$500&lt;&gt;"",ROW($1:$500),1000),ROW(F331)))&amp;""</f>
        <v/>
      </c>
      <c r="I331" s="6" t="str">
        <f t="array" ref="I331">INDEX(G:G,SMALL(IF($F$1:$F$500&lt;&gt;"",ROW($1:$500),1000),ROW(G331)))&amp;""</f>
        <v/>
      </c>
      <c r="N331" s="6"/>
      <c r="S331" s="6" t="str">
        <f t="array" ref="S331">INDEX(Q:Q,SMALL(IF($F$1:$F$500&lt;&gt;"",ROW($1:$500),1000),ROW(Q331)))&amp;""</f>
        <v/>
      </c>
      <c r="X331" s="6"/>
      <c r="AC331" s="6" t="str">
        <f t="array" ref="AC331">INDEX(AA:AA,SMALL(IF($F$1:$F$500&lt;&gt;"",ROW($1:$500),1000),ROW(AA331)))&amp;""</f>
        <v/>
      </c>
      <c r="AH331" s="6"/>
      <c r="AM331" s="6" t="str">
        <f t="array" ref="AM331">INDEX(AK:AK,SMALL(IF($F$1:$F$500&lt;&gt;"",ROW($1:$500),1000),ROW(AK331)))&amp;""</f>
        <v/>
      </c>
      <c r="AW331" s="6" t="str">
        <f t="array" ref="AW331">INDEX(AU:AU,SMALL(IF($F$1:$F$500&lt;&gt;"",ROW($1:$500),1000),ROW(AU331)))&amp;""</f>
        <v/>
      </c>
      <c r="BG331" s="6" t="str">
        <f t="array" ref="BG331">INDEX(BE:BE,SMALL(IF($F$1:$F$500&lt;&gt;"",ROW($1:$500),1000),ROW(BE331)))&amp;""</f>
        <v/>
      </c>
      <c r="BL331" s="6"/>
      <c r="BQ331" s="6" t="str">
        <f t="array" ref="BQ331">INDEX(BO:BO,SMALL(IF($F$1:$F$500&lt;&gt;"",ROW($1:$500),1000),ROW(BO331)))&amp;""</f>
        <v/>
      </c>
      <c r="BV331" s="6"/>
      <c r="CA331" s="6" t="str">
        <f t="array" ref="CA331">INDEX(BY:BY,SMALL(IF($F$1:$F$500&lt;&gt;"",ROW($1:$500),1000),ROW(BY331)))&amp;""</f>
        <v/>
      </c>
    </row>
    <row r="332" spans="1:79">
      <c r="A332" s="8" t="s">
        <v>3512</v>
      </c>
      <c r="B332" s="8" t="s">
        <v>1663</v>
      </c>
      <c r="C332" s="8" t="s">
        <v>494</v>
      </c>
      <c r="D332" s="9">
        <v>9</v>
      </c>
      <c r="F332" s="8" t="str">
        <f t="shared" si="21"/>
        <v/>
      </c>
      <c r="G332" s="8" t="str">
        <f>IF(AND(VLOOKUP(C332,查询!$C$8:$E$15,3,FALSE)="启用",$B$1=D332),B332,"")</f>
        <v/>
      </c>
      <c r="H332" s="6" t="str">
        <f t="array" ref="H332">INDEX(F:F,SMALL(IF($F$1:$F$500&lt;&gt;"",ROW($1:$500),1000),ROW(F332)))&amp;""</f>
        <v/>
      </c>
      <c r="I332" s="6" t="str">
        <f t="array" ref="I332">INDEX(G:G,SMALL(IF($F$1:$F$500&lt;&gt;"",ROW($1:$500),1000),ROW(G332)))&amp;""</f>
        <v/>
      </c>
      <c r="N332" s="6"/>
      <c r="S332" s="6" t="str">
        <f t="array" ref="S332">INDEX(Q:Q,SMALL(IF($F$1:$F$500&lt;&gt;"",ROW($1:$500),1000),ROW(Q332)))&amp;""</f>
        <v/>
      </c>
      <c r="X332" s="6"/>
      <c r="AC332" s="6" t="str">
        <f t="array" ref="AC332">INDEX(AA:AA,SMALL(IF($F$1:$F$500&lt;&gt;"",ROW($1:$500),1000),ROW(AA332)))&amp;""</f>
        <v/>
      </c>
      <c r="AH332" s="6"/>
      <c r="AM332" s="6" t="str">
        <f t="array" ref="AM332">INDEX(AK:AK,SMALL(IF($F$1:$F$500&lt;&gt;"",ROW($1:$500),1000),ROW(AK332)))&amp;""</f>
        <v/>
      </c>
      <c r="AW332" s="6" t="str">
        <f t="array" ref="AW332">INDEX(AU:AU,SMALL(IF($F$1:$F$500&lt;&gt;"",ROW($1:$500),1000),ROW(AU332)))&amp;""</f>
        <v/>
      </c>
      <c r="BG332" s="6" t="str">
        <f t="array" ref="BG332">INDEX(BE:BE,SMALL(IF($F$1:$F$500&lt;&gt;"",ROW($1:$500),1000),ROW(BE332)))&amp;""</f>
        <v/>
      </c>
      <c r="BL332" s="6"/>
      <c r="BQ332" s="6" t="str">
        <f t="array" ref="BQ332">INDEX(BO:BO,SMALL(IF($F$1:$F$500&lt;&gt;"",ROW($1:$500),1000),ROW(BO332)))&amp;""</f>
        <v/>
      </c>
      <c r="BV332" s="6"/>
      <c r="CA332" s="6" t="str">
        <f t="array" ref="CA332">INDEX(BY:BY,SMALL(IF($F$1:$F$500&lt;&gt;"",ROW($1:$500),1000),ROW(BY332)))&amp;""</f>
        <v/>
      </c>
    </row>
    <row r="333" spans="1:79">
      <c r="A333" s="8" t="s">
        <v>3514</v>
      </c>
      <c r="B333" s="8" t="s">
        <v>1672</v>
      </c>
      <c r="C333" s="8" t="s">
        <v>494</v>
      </c>
      <c r="D333" s="9">
        <v>9</v>
      </c>
      <c r="F333" s="8" t="str">
        <f t="shared" si="21"/>
        <v/>
      </c>
      <c r="G333" s="8" t="str">
        <f>IF(AND(VLOOKUP(C333,查询!$C$8:$E$15,3,FALSE)="启用",$B$1=D333),B333,"")</f>
        <v/>
      </c>
      <c r="H333" s="6" t="str">
        <f t="array" ref="H333">INDEX(F:F,SMALL(IF($F$1:$F$500&lt;&gt;"",ROW($1:$500),1000),ROW(F333)))&amp;""</f>
        <v/>
      </c>
      <c r="I333" s="6" t="str">
        <f t="array" ref="I333">INDEX(G:G,SMALL(IF($F$1:$F$500&lt;&gt;"",ROW($1:$500),1000),ROW(G333)))&amp;""</f>
        <v/>
      </c>
      <c r="N333" s="6"/>
      <c r="S333" s="6" t="str">
        <f t="array" ref="S333">INDEX(Q:Q,SMALL(IF($F$1:$F$500&lt;&gt;"",ROW($1:$500),1000),ROW(Q333)))&amp;""</f>
        <v/>
      </c>
      <c r="X333" s="6"/>
      <c r="AC333" s="6" t="str">
        <f t="array" ref="AC333">INDEX(AA:AA,SMALL(IF($F$1:$F$500&lt;&gt;"",ROW($1:$500),1000),ROW(AA333)))&amp;""</f>
        <v/>
      </c>
      <c r="AH333" s="6"/>
      <c r="AM333" s="6" t="str">
        <f t="array" ref="AM333">INDEX(AK:AK,SMALL(IF($F$1:$F$500&lt;&gt;"",ROW($1:$500),1000),ROW(AK333)))&amp;""</f>
        <v/>
      </c>
      <c r="AW333" s="6" t="str">
        <f t="array" ref="AW333">INDEX(AU:AU,SMALL(IF($F$1:$F$500&lt;&gt;"",ROW($1:$500),1000),ROW(AU333)))&amp;""</f>
        <v/>
      </c>
      <c r="BG333" s="6" t="str">
        <f t="array" ref="BG333">INDEX(BE:BE,SMALL(IF($F$1:$F$500&lt;&gt;"",ROW($1:$500),1000),ROW(BE333)))&amp;""</f>
        <v/>
      </c>
      <c r="BL333" s="6"/>
      <c r="BQ333" s="6" t="str">
        <f t="array" ref="BQ333">INDEX(BO:BO,SMALL(IF($F$1:$F$500&lt;&gt;"",ROW($1:$500),1000),ROW(BO333)))&amp;""</f>
        <v/>
      </c>
      <c r="BV333" s="6"/>
      <c r="CA333" s="6" t="str">
        <f t="array" ref="CA333">INDEX(BY:BY,SMALL(IF($F$1:$F$500&lt;&gt;"",ROW($1:$500),1000),ROW(BY333)))&amp;""</f>
        <v/>
      </c>
    </row>
    <row r="334" spans="1:79">
      <c r="A334" s="8" t="s">
        <v>3517</v>
      </c>
      <c r="B334" s="8" t="s">
        <v>1706</v>
      </c>
      <c r="C334" s="8" t="s">
        <v>494</v>
      </c>
      <c r="D334" s="9">
        <v>9</v>
      </c>
      <c r="F334" s="8" t="str">
        <f t="shared" si="21"/>
        <v/>
      </c>
      <c r="G334" s="8" t="str">
        <f>IF(AND(VLOOKUP(C334,查询!$C$8:$E$15,3,FALSE)="启用",$B$1=D334),B334,"")</f>
        <v/>
      </c>
      <c r="H334" s="6" t="str">
        <f t="array" ref="H334">INDEX(F:F,SMALL(IF($F$1:$F$500&lt;&gt;"",ROW($1:$500),1000),ROW(F334)))&amp;""</f>
        <v/>
      </c>
      <c r="I334" s="6" t="str">
        <f t="array" ref="I334">INDEX(G:G,SMALL(IF($F$1:$F$500&lt;&gt;"",ROW($1:$500),1000),ROW(G334)))&amp;""</f>
        <v/>
      </c>
      <c r="N334" s="6"/>
      <c r="S334" s="6" t="str">
        <f t="array" ref="S334">INDEX(Q:Q,SMALL(IF($F$1:$F$500&lt;&gt;"",ROW($1:$500),1000),ROW(Q334)))&amp;""</f>
        <v/>
      </c>
      <c r="X334" s="6"/>
      <c r="AC334" s="6" t="str">
        <f t="array" ref="AC334">INDEX(AA:AA,SMALL(IF($F$1:$F$500&lt;&gt;"",ROW($1:$500),1000),ROW(AA334)))&amp;""</f>
        <v/>
      </c>
      <c r="AH334" s="6"/>
      <c r="AM334" s="6" t="str">
        <f t="array" ref="AM334">INDEX(AK:AK,SMALL(IF($F$1:$F$500&lt;&gt;"",ROW($1:$500),1000),ROW(AK334)))&amp;""</f>
        <v/>
      </c>
      <c r="AW334" s="6" t="str">
        <f t="array" ref="AW334">INDEX(AU:AU,SMALL(IF($F$1:$F$500&lt;&gt;"",ROW($1:$500),1000),ROW(AU334)))&amp;""</f>
        <v/>
      </c>
      <c r="BG334" s="6" t="str">
        <f t="array" ref="BG334">INDEX(BE:BE,SMALL(IF($F$1:$F$500&lt;&gt;"",ROW($1:$500),1000),ROW(BE334)))&amp;""</f>
        <v/>
      </c>
      <c r="BL334" s="6"/>
      <c r="BQ334" s="6" t="str">
        <f t="array" ref="BQ334">INDEX(BO:BO,SMALL(IF($F$1:$F$500&lt;&gt;"",ROW($1:$500),1000),ROW(BO334)))&amp;""</f>
        <v/>
      </c>
      <c r="BV334" s="6"/>
      <c r="CA334" s="6" t="str">
        <f t="array" ref="CA334">INDEX(BY:BY,SMALL(IF($F$1:$F$500&lt;&gt;"",ROW($1:$500),1000),ROW(BY334)))&amp;""</f>
        <v/>
      </c>
    </row>
    <row r="335" spans="1:79">
      <c r="X335" s="6"/>
      <c r="AH335" s="6"/>
    </row>
    <row r="336" spans="1:79">
      <c r="X336" s="6"/>
    </row>
    <row r="337" spans="24:24">
      <c r="X337" s="6"/>
    </row>
    <row r="338" spans="24:24">
      <c r="X338" s="6"/>
    </row>
  </sheetData>
  <sheetProtection selectLockedCells="1" selectUnlockedCells="1"/>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0"/>
  <sheetViews>
    <sheetView workbookViewId="0">
      <selection activeCell="A1" sqref="A1:AS1"/>
    </sheetView>
  </sheetViews>
  <sheetFormatPr defaultColWidth="9" defaultRowHeight="14"/>
  <cols>
    <col min="1" max="52" width="2.35454545454545" style="3" customWidth="1"/>
    <col min="53" max="16384" width="9" style="3"/>
  </cols>
  <sheetData>
    <row r="1" ht="17" customHeight="1" spans="1:46">
      <c r="A1" s="4" t="s">
        <v>3767</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5"/>
    </row>
    <row r="2" ht="17" customHeight="1"/>
    <row r="3" ht="17" customHeight="1"/>
    <row r="4" ht="17" customHeight="1"/>
    <row r="5" ht="17" customHeight="1"/>
    <row r="6" ht="17" customHeight="1"/>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row r="21" ht="17" customHeight="1"/>
    <row r="22" ht="17" customHeight="1"/>
    <row r="23" ht="17" customHeight="1"/>
    <row r="24" ht="17" customHeight="1"/>
    <row r="25" ht="17" customHeight="1"/>
    <row r="26" ht="17" customHeight="1"/>
    <row r="27" ht="17" customHeight="1"/>
    <row r="28" ht="17" customHeight="1"/>
    <row r="29" ht="17"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7" customHeight="1"/>
    <row r="53" ht="17" customHeight="1"/>
    <row r="54" ht="17" customHeight="1"/>
    <row r="55" ht="17" customHeight="1"/>
    <row r="56" ht="17" customHeight="1"/>
    <row r="57" ht="17" customHeight="1"/>
    <row r="58" ht="17" customHeight="1"/>
    <row r="59" ht="17" customHeight="1"/>
    <row r="60" ht="17" customHeight="1"/>
    <row r="61" ht="17" customHeight="1"/>
    <row r="62" ht="17" customHeight="1"/>
    <row r="63" ht="17" customHeight="1"/>
    <row r="64" ht="17" customHeight="1"/>
    <row r="65" ht="17" customHeight="1"/>
    <row r="66" ht="17" customHeight="1"/>
    <row r="67" ht="17" customHeight="1"/>
    <row r="68" ht="17" customHeight="1"/>
    <row r="69" ht="17" customHeight="1"/>
    <row r="70" ht="17" customHeight="1"/>
    <row r="71" ht="17" customHeight="1"/>
    <row r="72" ht="17" customHeight="1"/>
    <row r="73" ht="17" customHeight="1"/>
    <row r="74" ht="17" customHeight="1"/>
    <row r="75" ht="17" customHeight="1"/>
    <row r="76" ht="17" customHeight="1"/>
    <row r="77" ht="17" customHeight="1"/>
    <row r="78" ht="17" customHeight="1"/>
    <row r="79" ht="17"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17" customHeight="1"/>
    <row r="91" ht="17" customHeight="1"/>
    <row r="92" ht="17" customHeight="1"/>
    <row r="93" ht="17" customHeight="1"/>
    <row r="94" ht="17" customHeight="1"/>
    <row r="95" ht="17" customHeight="1"/>
    <row r="96" ht="17" customHeight="1"/>
    <row r="97" ht="17" customHeight="1"/>
    <row r="98" ht="17" customHeight="1"/>
    <row r="99" ht="17" customHeight="1"/>
    <row r="100" ht="17" customHeight="1"/>
  </sheetData>
  <mergeCells count="1">
    <mergeCell ref="A1:AS1"/>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opLeftCell="A22" workbookViewId="0">
      <selection activeCell="D55" sqref="D55"/>
    </sheetView>
  </sheetViews>
  <sheetFormatPr defaultColWidth="9" defaultRowHeight="14.5" outlineLevelCol="3"/>
  <cols>
    <col min="1" max="16384" width="9" style="1"/>
  </cols>
  <sheetData>
    <row r="1" spans="1:4">
      <c r="A1" s="2" t="s">
        <v>116</v>
      </c>
      <c r="B1" s="2" t="s">
        <v>117</v>
      </c>
      <c r="C1" s="2" t="s">
        <v>3768</v>
      </c>
      <c r="D1" s="2" t="s">
        <v>3769</v>
      </c>
    </row>
    <row r="2" spans="1:4">
      <c r="A2" s="1">
        <f>SUM(背包!S5*背包!V5)</f>
        <v>0</v>
      </c>
      <c r="B2" s="1">
        <f>SUM(背包!AP5*背包!AS5)</f>
        <v>0</v>
      </c>
      <c r="C2" s="1">
        <f>SUM(背包!S29*背包!V29)</f>
        <v>0</v>
      </c>
      <c r="D2" s="1">
        <f>SUM(背包!AP29*背包!AS29)</f>
        <v>0</v>
      </c>
    </row>
    <row r="3" spans="1:4">
      <c r="A3" s="1">
        <f>SUM(背包!S6*背包!V6)</f>
        <v>0</v>
      </c>
      <c r="B3" s="1">
        <f>SUM(背包!AP6*背包!AS6)</f>
        <v>0</v>
      </c>
      <c r="C3" s="1">
        <f>SUM(背包!S30*背包!V30)</f>
        <v>0</v>
      </c>
      <c r="D3" s="1">
        <f>SUM(背包!AP30*背包!AS30)</f>
        <v>0</v>
      </c>
    </row>
    <row r="4" spans="1:4">
      <c r="A4" s="1">
        <f>SUM(背包!S7*背包!V7)</f>
        <v>0</v>
      </c>
      <c r="B4" s="1">
        <f>SUM(背包!AP7*背包!AS7)</f>
        <v>0</v>
      </c>
      <c r="C4" s="1">
        <f>SUM(背包!S31*背包!V31)</f>
        <v>0</v>
      </c>
      <c r="D4" s="1">
        <f>SUM(背包!AP31*背包!AS31)</f>
        <v>0</v>
      </c>
    </row>
    <row r="5" spans="1:4">
      <c r="A5" s="1">
        <f>SUM(背包!S8*背包!V8)</f>
        <v>0</v>
      </c>
      <c r="B5" s="1">
        <f>SUM(背包!AP8*背包!AS8)</f>
        <v>0</v>
      </c>
      <c r="C5" s="1">
        <f>SUM(背包!S32*背包!V32)</f>
        <v>0</v>
      </c>
      <c r="D5" s="1">
        <f>SUM(背包!AP32*背包!AS32)</f>
        <v>0</v>
      </c>
    </row>
    <row r="6" spans="1:4">
      <c r="A6" s="1">
        <f>SUM(背包!S9*背包!V9)</f>
        <v>0</v>
      </c>
      <c r="B6" s="1">
        <f>SUM(背包!AP9*背包!AS9)</f>
        <v>0</v>
      </c>
      <c r="C6" s="1">
        <f>SUM(背包!S33*背包!V33)</f>
        <v>0</v>
      </c>
      <c r="D6" s="1">
        <f>SUM(背包!AP33*背包!AS33)</f>
        <v>0</v>
      </c>
    </row>
    <row r="7" spans="1:4">
      <c r="A7" s="1">
        <f>SUM(背包!S10*背包!V10)</f>
        <v>0</v>
      </c>
      <c r="B7" s="1">
        <f>SUM(背包!AP10*背包!AS10)</f>
        <v>0</v>
      </c>
      <c r="C7" s="1">
        <f>SUM(背包!S34*背包!V34)</f>
        <v>0</v>
      </c>
      <c r="D7" s="1">
        <f>SUM(背包!AP34*背包!AS34)</f>
        <v>0</v>
      </c>
    </row>
    <row r="8" spans="1:4">
      <c r="A8" s="1">
        <f>SUM(背包!S11*背包!V11)</f>
        <v>0</v>
      </c>
      <c r="B8" s="1">
        <f>SUM(背包!AP11*背包!AS11)</f>
        <v>0</v>
      </c>
      <c r="C8" s="1">
        <f>SUM(背包!S35*背包!V35)</f>
        <v>0</v>
      </c>
      <c r="D8" s="1">
        <f>SUM(背包!AP35*背包!AS35)</f>
        <v>0</v>
      </c>
    </row>
    <row r="9" spans="1:4">
      <c r="A9" s="1">
        <f>SUM(背包!S12*背包!V12)</f>
        <v>0</v>
      </c>
      <c r="B9" s="1">
        <f>SUM(背包!AP12*背包!AS12)</f>
        <v>0</v>
      </c>
      <c r="C9" s="1">
        <f>SUM(背包!S36*背包!V36)</f>
        <v>0</v>
      </c>
      <c r="D9" s="1">
        <f>SUM(背包!AP36*背包!AS36)</f>
        <v>0</v>
      </c>
    </row>
    <row r="10" spans="1:4">
      <c r="A10" s="1">
        <f>SUM(背包!S13*背包!V13)</f>
        <v>0</v>
      </c>
      <c r="B10" s="1">
        <f>SUM(背包!AP13*背包!AS13)</f>
        <v>0</v>
      </c>
      <c r="C10" s="1">
        <f>SUM(背包!S37*背包!V37)</f>
        <v>0</v>
      </c>
      <c r="D10" s="1">
        <f>SUM(背包!AP37*背包!AS37)</f>
        <v>0</v>
      </c>
    </row>
    <row r="11" spans="1:4">
      <c r="A11" s="1">
        <f>SUM(背包!S14*背包!V14)</f>
        <v>0</v>
      </c>
      <c r="B11" s="1">
        <f>SUM(背包!AP14*背包!AS14)</f>
        <v>0</v>
      </c>
      <c r="C11" s="1">
        <f>SUM(背包!S38*背包!V38)</f>
        <v>0</v>
      </c>
      <c r="D11" s="1">
        <f>SUM(背包!AP38*背包!AS38)</f>
        <v>0</v>
      </c>
    </row>
    <row r="13" spans="1:4">
      <c r="A13" s="1">
        <f>SUM(背包!S16*背包!V16)</f>
        <v>0</v>
      </c>
      <c r="B13" s="1">
        <f>SUM(背包!AP16*背包!AS16)</f>
        <v>0</v>
      </c>
      <c r="C13" s="1">
        <f>SUM(背包!S40*背包!V40)</f>
        <v>0</v>
      </c>
      <c r="D13" s="1">
        <f>SUM(背包!AP40*背包!AS40)</f>
        <v>0</v>
      </c>
    </row>
    <row r="14" spans="1:4">
      <c r="A14" s="1">
        <f>SUM(背包!S17*背包!V17)</f>
        <v>0</v>
      </c>
      <c r="B14" s="1">
        <f>SUM(背包!AP17*背包!AS17)</f>
        <v>0</v>
      </c>
      <c r="C14" s="1">
        <f>SUM(背包!S41*背包!V41)</f>
        <v>0</v>
      </c>
      <c r="D14" s="1">
        <f>SUM(背包!AP41*背包!AS41)</f>
        <v>0</v>
      </c>
    </row>
    <row r="15" spans="1:4">
      <c r="A15" s="1">
        <f>SUM(背包!S18*背包!V18)</f>
        <v>0</v>
      </c>
      <c r="B15" s="1">
        <f>SUM(背包!AP18*背包!AS18)</f>
        <v>0</v>
      </c>
      <c r="C15" s="1">
        <f>SUM(背包!S42*背包!V42)</f>
        <v>0</v>
      </c>
      <c r="D15" s="1">
        <f>SUM(背包!AP42*背包!AS42)</f>
        <v>0</v>
      </c>
    </row>
    <row r="16" spans="1:4">
      <c r="A16" s="1">
        <f>SUM(背包!S19*背包!V19)</f>
        <v>0</v>
      </c>
      <c r="B16" s="1">
        <f>SUM(背包!AP19*背包!AS19)</f>
        <v>0</v>
      </c>
      <c r="C16" s="1">
        <f>SUM(背包!S43*背包!V43)</f>
        <v>0</v>
      </c>
      <c r="D16" s="1">
        <f>SUM(背包!AP43*背包!AS43)</f>
        <v>0</v>
      </c>
    </row>
    <row r="17" spans="1:4">
      <c r="A17" s="1">
        <f>SUM(背包!S20*背包!V20)</f>
        <v>0</v>
      </c>
      <c r="B17" s="1">
        <f>SUM(背包!AP20*背包!AS20)</f>
        <v>0</v>
      </c>
      <c r="C17" s="1">
        <f>SUM(背包!S44*背包!V44)</f>
        <v>0</v>
      </c>
      <c r="D17" s="1">
        <f>SUM(背包!AP44*背包!AS44)</f>
        <v>0</v>
      </c>
    </row>
    <row r="18" spans="1:4">
      <c r="A18" s="1">
        <f>SUM(背包!S21*背包!V21)</f>
        <v>0</v>
      </c>
      <c r="B18" s="1">
        <f>SUM(背包!AP21*背包!AS21)</f>
        <v>0</v>
      </c>
      <c r="C18" s="1">
        <f>SUM(背包!S45*背包!V45)</f>
        <v>0</v>
      </c>
      <c r="D18" s="1">
        <f>SUM(背包!AP45*背包!AS45)</f>
        <v>0</v>
      </c>
    </row>
    <row r="19" spans="1:4">
      <c r="A19" s="1">
        <f>SUM(背包!S22*背包!V22)</f>
        <v>0</v>
      </c>
      <c r="B19" s="1">
        <f>SUM(背包!AP22*背包!AS22)</f>
        <v>0</v>
      </c>
      <c r="C19" s="1">
        <f>SUM(背包!S46*背包!V46)</f>
        <v>0</v>
      </c>
      <c r="D19" s="1">
        <f>SUM(背包!AP46*背包!AS46)</f>
        <v>0</v>
      </c>
    </row>
    <row r="20" spans="1:4">
      <c r="A20" s="1">
        <f>SUM(背包!S23*背包!V23)</f>
        <v>0</v>
      </c>
      <c r="B20" s="1">
        <f>SUM(背包!AP23*背包!AS23)</f>
        <v>0</v>
      </c>
      <c r="C20" s="1">
        <f>SUM(背包!S47*背包!V47)</f>
        <v>0</v>
      </c>
      <c r="D20" s="1">
        <f>SUM(背包!AP47*背包!AS47)</f>
        <v>0</v>
      </c>
    </row>
    <row r="21" spans="1:4">
      <c r="A21" s="1">
        <f>SUM(背包!S24*背包!V24)</f>
        <v>0</v>
      </c>
      <c r="B21" s="1">
        <f>SUM(背包!AP24*背包!AS24)</f>
        <v>0</v>
      </c>
      <c r="C21" s="1">
        <f>SUM(背包!S48*背包!V48)</f>
        <v>0</v>
      </c>
      <c r="D21" s="1">
        <f>SUM(背包!AP48*背包!AS48)</f>
        <v>0</v>
      </c>
    </row>
    <row r="22" spans="1:4">
      <c r="A22" s="1">
        <f>SUM(背包!S25*背包!V25)</f>
        <v>0</v>
      </c>
      <c r="B22" s="1">
        <f>SUM(背包!AP25*背包!AS25)</f>
        <v>0</v>
      </c>
      <c r="C22" s="1">
        <f>SUM(背包!S49*背包!V49)</f>
        <v>0</v>
      </c>
      <c r="D22" s="1">
        <f>SUM(背包!AP49*背包!AS49)</f>
        <v>0</v>
      </c>
    </row>
    <row r="24" spans="1:4">
      <c r="A24" s="2" t="s">
        <v>73</v>
      </c>
      <c r="C24" s="1">
        <f>SUM(背包!S51*背包!V51)</f>
        <v>0</v>
      </c>
      <c r="D24" s="1">
        <f>SUM(背包!AP51*背包!AS51)</f>
        <v>0</v>
      </c>
    </row>
    <row r="25" spans="1:4">
      <c r="A25" s="1" t="b">
        <v>0</v>
      </c>
      <c r="C25" s="1">
        <f>SUM(背包!S52*背包!V52)</f>
        <v>0</v>
      </c>
      <c r="D25" s="1">
        <f>SUM(背包!AP52*背包!AS52)</f>
        <v>0</v>
      </c>
    </row>
    <row r="26" spans="1:4">
      <c r="C26" s="1">
        <f>SUM(背包!S53*背包!V53)</f>
        <v>0</v>
      </c>
      <c r="D26" s="1">
        <f>SUM(背包!AP53*背包!AS53)</f>
        <v>0</v>
      </c>
    </row>
    <row r="27" spans="1:4">
      <c r="C27" s="1">
        <f>SUM(背包!S54*背包!V54)</f>
        <v>0</v>
      </c>
      <c r="D27" s="1">
        <f>SUM(背包!AP54*背包!AS54)</f>
        <v>0</v>
      </c>
    </row>
    <row r="28" spans="1:4">
      <c r="C28" s="1">
        <f>SUM(背包!S55*背包!V55)</f>
        <v>0</v>
      </c>
      <c r="D28" s="1">
        <f>SUM(背包!AP55*背包!AS55)</f>
        <v>0</v>
      </c>
    </row>
    <row r="29" spans="1:4">
      <c r="C29" s="1">
        <f>SUM(背包!S56*背包!V56)</f>
        <v>0</v>
      </c>
      <c r="D29" s="1">
        <f>SUM(背包!AP56*背包!AS56)</f>
        <v>0</v>
      </c>
    </row>
    <row r="30" spans="1:4">
      <c r="C30" s="1">
        <f>SUM(背包!S57*背包!V57)</f>
        <v>0</v>
      </c>
      <c r="D30" s="1">
        <f>SUM(背包!AP57*背包!AS57)</f>
        <v>0</v>
      </c>
    </row>
    <row r="31" spans="1:4">
      <c r="C31" s="1">
        <f>SUM(背包!S58*背包!V58)</f>
        <v>0</v>
      </c>
      <c r="D31" s="1">
        <f>SUM(背包!AP58*背包!AS58)</f>
        <v>0</v>
      </c>
    </row>
    <row r="32" spans="1:4">
      <c r="C32" s="1">
        <f>SUM(背包!S59*背包!V59)</f>
        <v>0</v>
      </c>
      <c r="D32" s="1">
        <f>SUM(背包!AP59*背包!AS59)</f>
        <v>0</v>
      </c>
    </row>
    <row r="33" spans="3:4">
      <c r="C33" s="1">
        <f>SUM(背包!S60*背包!V60)</f>
        <v>0</v>
      </c>
      <c r="D33" s="1">
        <f>SUM(背包!AP60*背包!AS60)</f>
        <v>0</v>
      </c>
    </row>
    <row r="35" spans="3:4">
      <c r="C35" s="1">
        <f>SUM(背包!S62*背包!V62)</f>
        <v>0</v>
      </c>
      <c r="D35" s="1">
        <f>SUM(背包!AP62*背包!AS62)</f>
        <v>0</v>
      </c>
    </row>
    <row r="36" spans="3:4">
      <c r="C36" s="1">
        <f>SUM(背包!S63*背包!V63)</f>
        <v>0</v>
      </c>
      <c r="D36" s="1">
        <f>SUM(背包!AP63*背包!AS63)</f>
        <v>0</v>
      </c>
    </row>
    <row r="37" spans="3:4">
      <c r="C37" s="1">
        <f>SUM(背包!S64*背包!V64)</f>
        <v>0</v>
      </c>
      <c r="D37" s="1">
        <f>SUM(背包!AP64*背包!AS64)</f>
        <v>0</v>
      </c>
    </row>
    <row r="38" spans="3:4">
      <c r="C38" s="1">
        <f>SUM(背包!S65*背包!V65)</f>
        <v>0</v>
      </c>
      <c r="D38" s="1">
        <f>SUM(背包!AP65*背包!AS65)</f>
        <v>0</v>
      </c>
    </row>
    <row r="39" spans="3:4">
      <c r="C39" s="1">
        <f>SUM(背包!S66*背包!V66)</f>
        <v>0</v>
      </c>
      <c r="D39" s="1">
        <f>SUM(背包!AP66*背包!AS66)</f>
        <v>0</v>
      </c>
    </row>
    <row r="40" spans="3:4">
      <c r="C40" s="1">
        <f>SUM(背包!S67*背包!V67)</f>
        <v>0</v>
      </c>
      <c r="D40" s="1">
        <f>SUM(背包!AP67*背包!AS67)</f>
        <v>0</v>
      </c>
    </row>
    <row r="41" spans="3:4">
      <c r="C41" s="1">
        <f>SUM(背包!S68*背包!V68)</f>
        <v>0</v>
      </c>
      <c r="D41" s="1">
        <f>SUM(背包!AP68*背包!AS68)</f>
        <v>0</v>
      </c>
    </row>
    <row r="42" spans="3:4">
      <c r="C42" s="1">
        <f>SUM(背包!S69*背包!V69)</f>
        <v>0</v>
      </c>
      <c r="D42" s="1">
        <f>SUM(背包!AP69*背包!AS69)</f>
        <v>0</v>
      </c>
    </row>
    <row r="43" spans="3:4">
      <c r="C43" s="1">
        <f>SUM(背包!S70*背包!V70)</f>
        <v>0</v>
      </c>
      <c r="D43" s="1">
        <f>SUM(背包!AP70*背包!AS70)</f>
        <v>0</v>
      </c>
    </row>
    <row r="44" spans="3:4">
      <c r="C44" s="1">
        <f>SUM(背包!S71*背包!V71)</f>
        <v>0</v>
      </c>
      <c r="D44" s="1">
        <f>SUM(背包!AP71*背包!AS71)</f>
        <v>0</v>
      </c>
    </row>
    <row r="46" spans="3:4">
      <c r="C46" s="1">
        <f>SUM(背包!S73*背包!V73)</f>
        <v>0</v>
      </c>
      <c r="D46" s="1">
        <f>SUM(背包!AP73*背包!AS73)</f>
        <v>0</v>
      </c>
    </row>
    <row r="47" spans="3:4">
      <c r="C47" s="1">
        <f>SUM(背包!S74*背包!V74)</f>
        <v>0</v>
      </c>
      <c r="D47" s="1">
        <f>SUM(背包!AP74*背包!AS74)</f>
        <v>0</v>
      </c>
    </row>
    <row r="48" spans="3:4">
      <c r="C48" s="1">
        <f>SUM(背包!S75*背包!V75)</f>
        <v>0</v>
      </c>
      <c r="D48" s="1">
        <f>SUM(背包!AP75*背包!AS75)</f>
        <v>0</v>
      </c>
    </row>
    <row r="49" spans="3:4">
      <c r="C49" s="1">
        <f>SUM(背包!S76*背包!V76)</f>
        <v>0</v>
      </c>
      <c r="D49" s="1">
        <f>SUM(背包!AP76*背包!AS76)</f>
        <v>0</v>
      </c>
    </row>
    <row r="50" spans="3:4">
      <c r="C50" s="1">
        <f>SUM(背包!S77*背包!V77)</f>
        <v>0</v>
      </c>
      <c r="D50" s="1">
        <f>SUM(背包!AP77*背包!AS77)</f>
        <v>0</v>
      </c>
    </row>
    <row r="51" spans="3:4">
      <c r="C51" s="1">
        <f>SUM(背包!S78*背包!V78)</f>
        <v>0</v>
      </c>
      <c r="D51" s="1">
        <f>SUM(背包!AP78*背包!AS78)</f>
        <v>0</v>
      </c>
    </row>
    <row r="52" spans="3:4">
      <c r="C52" s="1">
        <f>SUM(背包!S79*背包!V79)</f>
        <v>0</v>
      </c>
      <c r="D52" s="1">
        <f>SUM(背包!AP79*背包!AS79)</f>
        <v>0</v>
      </c>
    </row>
    <row r="53" spans="3:4">
      <c r="C53" s="1">
        <f>SUM(背包!S80*背包!V80)</f>
        <v>0</v>
      </c>
      <c r="D53" s="1">
        <f>SUM(背包!AP80*背包!AS80)</f>
        <v>0</v>
      </c>
    </row>
    <row r="54" spans="3:4">
      <c r="C54" s="1">
        <f>SUM(背包!S81*背包!V81)</f>
        <v>0</v>
      </c>
      <c r="D54" s="1">
        <f>SUM(背包!AP81*背包!AS81)</f>
        <v>0</v>
      </c>
    </row>
    <row r="55" spans="3:4">
      <c r="C55" s="1">
        <f>SUM(背包!S82*背包!V82)</f>
        <v>0</v>
      </c>
      <c r="D55" s="1">
        <f>SUM(背包!AP82*背包!AS82)</f>
        <v>0</v>
      </c>
    </row>
  </sheetData>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2" master="" otherUserPermission="visible"/>
  <rangeList sheetStid="10" master="" otherUserPermission="visible"/>
  <rangeList sheetStid="3" master="" otherUserPermission="visible"/>
  <rangeList sheetStid="8" master="" otherUserPermission="visible"/>
  <rangeList sheetStid="14" master="" otherUserPermission="visible"/>
  <rangeList sheetStid="15" master="" otherUserPermission="visible"/>
  <rangeList sheetStid="9" master="" otherUserPermission="visible"/>
  <rangeList sheetStid="4" master="" otherUserPermission="visible"/>
  <rangeList sheetStid="13" master="" otherUserPermission="visible"/>
  <rangeList sheetStid="16" master="" otherUserPermission="visible"/>
  <rangeList sheetStid="11" master="" otherUserPermission="visible"/>
  <rangeList sheetStid="12" master="" otherUserPermission="visible"/>
  <rangeList sheetStid="5"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背景</vt:lpstr>
      <vt:lpstr>主要</vt:lpstr>
      <vt:lpstr>法术书目录</vt:lpstr>
      <vt:lpstr>背包</vt:lpstr>
      <vt:lpstr>法术书I</vt:lpstr>
      <vt:lpstr>法术书II</vt:lpstr>
      <vt:lpstr>法术书III</vt:lpstr>
      <vt:lpstr>查询</vt:lpstr>
      <vt:lpstr>法术</vt:lpstr>
      <vt:lpstr>种族查询</vt:lpstr>
      <vt:lpstr>装备物品</vt:lpstr>
      <vt:lpstr>列表</vt:lpstr>
      <vt:lpstr>法师</vt:lpstr>
      <vt:lpstr>盟友</vt:lpstr>
      <vt:lpstr>DB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小明</cp:lastModifiedBy>
  <dcterms:created xsi:type="dcterms:W3CDTF">2018-02-27T11:14:00Z</dcterms:created>
  <dcterms:modified xsi:type="dcterms:W3CDTF">2026-07-06T21:19:32Z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false</vt:bool>
  </property>
  <property fmtid="{D5CDD505-2E9C-101B-9397-08002B2CF9AE}" pid="4" name="ICV">
    <vt:lpwstr>64415A568D0B4324AE32ABDCC3704B4B_12</vt:lpwstr>
  </property>
  <property fmtid="{D5CDD505-2E9C-101B-9397-08002B2CF9AE}" pid="5" name="CalculationRule">
    <vt:i4>0</vt:i4>
  </property>
</Properties>
</file>